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 Achary\Desktop\Sumesh\Projects\Mumbai-Rent-Intelligence-Platform\data\raw\"/>
    </mc:Choice>
  </mc:AlternateContent>
  <xr:revisionPtr revIDLastSave="0" documentId="13_ncr:1_{25C7FC6E-484B-4AAD-A991-D68D0ADAB9C1}" xr6:coauthVersionLast="47" xr6:coauthVersionMax="47" xr10:uidLastSave="{00000000-0000-0000-0000-000000000000}"/>
  <bookViews>
    <workbookView xWindow="-120" yWindow="-120" windowWidth="29040" windowHeight="15720" activeTab="5" xr2:uid="{498A7952-28D4-4E89-B5F4-938DA89BAB2C}"/>
  </bookViews>
  <sheets>
    <sheet name="Rent_Data" sheetId="1" r:id="rId1"/>
    <sheet name="Locality_Reference" sheetId="3" r:id="rId2"/>
    <sheet name="Locality_Tier_Benchmarks" sheetId="4" r:id="rId3"/>
    <sheet name="Income_Benchmarks" sheetId="2" r:id="rId4"/>
    <sheet name="Data_Profile" sheetId="5" r:id="rId5"/>
    <sheet name="Data_Dictionary" sheetId="6" r:id="rId6"/>
    <sheet name="Business_Glossary" sheetId="7" r:id="rId7"/>
  </sheets>
  <definedNames>
    <definedName name="_xlnm._FilterDatabase" localSheetId="5" hidden="1">Data_Dictionary!$A$1:$L$1</definedName>
    <definedName name="_xlnm._FilterDatabase" localSheetId="0" hidden="1">Rent_Data!$A$1:$Z$1156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B12" i="5"/>
  <c r="B11" i="5"/>
  <c r="B10" i="5"/>
  <c r="B9" i="5"/>
  <c r="B8" i="5"/>
  <c r="B7" i="5"/>
  <c r="B6" i="5"/>
  <c r="B5" i="5"/>
  <c r="B4" i="5"/>
  <c r="B3" i="5"/>
  <c r="B2" i="5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S3" i="1"/>
  <c r="Y3" i="1" s="1"/>
  <c r="T3" i="1"/>
  <c r="U3" i="1"/>
  <c r="V3" i="1"/>
  <c r="X3" i="1"/>
  <c r="S4" i="1"/>
  <c r="Y4" i="1" s="1"/>
  <c r="T4" i="1"/>
  <c r="U4" i="1"/>
  <c r="V4" i="1"/>
  <c r="X4" i="1"/>
  <c r="S5" i="1"/>
  <c r="Y5" i="1" s="1"/>
  <c r="T5" i="1"/>
  <c r="U5" i="1"/>
  <c r="V5" i="1"/>
  <c r="X5" i="1"/>
  <c r="S6" i="1"/>
  <c r="T6" i="1"/>
  <c r="U6" i="1"/>
  <c r="V6" i="1"/>
  <c r="X6" i="1"/>
  <c r="S7" i="1"/>
  <c r="T7" i="1"/>
  <c r="U7" i="1"/>
  <c r="V7" i="1"/>
  <c r="X7" i="1"/>
  <c r="S8" i="1"/>
  <c r="T8" i="1"/>
  <c r="U8" i="1"/>
  <c r="V8" i="1"/>
  <c r="X8" i="1"/>
  <c r="S9" i="1"/>
  <c r="T9" i="1"/>
  <c r="U9" i="1"/>
  <c r="V9" i="1"/>
  <c r="X9" i="1"/>
  <c r="Y9" i="1"/>
  <c r="S10" i="1"/>
  <c r="Y10" i="1" s="1"/>
  <c r="T10" i="1"/>
  <c r="U10" i="1"/>
  <c r="V10" i="1"/>
  <c r="X10" i="1"/>
  <c r="S11" i="1"/>
  <c r="Y11" i="1" s="1"/>
  <c r="T11" i="1"/>
  <c r="U11" i="1"/>
  <c r="V11" i="1"/>
  <c r="X11" i="1"/>
  <c r="S12" i="1"/>
  <c r="T12" i="1"/>
  <c r="U12" i="1"/>
  <c r="V12" i="1"/>
  <c r="X12" i="1"/>
  <c r="Y12" i="1"/>
  <c r="S13" i="1"/>
  <c r="T13" i="1"/>
  <c r="U13" i="1"/>
  <c r="V13" i="1"/>
  <c r="X13" i="1"/>
  <c r="Y13" i="1"/>
  <c r="S14" i="1"/>
  <c r="T14" i="1"/>
  <c r="U14" i="1"/>
  <c r="V14" i="1"/>
  <c r="X14" i="1"/>
  <c r="S15" i="1"/>
  <c r="T15" i="1"/>
  <c r="U15" i="1"/>
  <c r="V15" i="1"/>
  <c r="X15" i="1"/>
  <c r="S16" i="1"/>
  <c r="T16" i="1"/>
  <c r="U16" i="1"/>
  <c r="V16" i="1"/>
  <c r="X16" i="1"/>
  <c r="S17" i="1"/>
  <c r="T17" i="1"/>
  <c r="U17" i="1"/>
  <c r="V17" i="1"/>
  <c r="X17" i="1"/>
  <c r="Y17" i="1"/>
  <c r="S18" i="1"/>
  <c r="Y18" i="1" s="1"/>
  <c r="T18" i="1"/>
  <c r="U18" i="1"/>
  <c r="V18" i="1"/>
  <c r="X18" i="1"/>
  <c r="S19" i="1"/>
  <c r="Y19" i="1" s="1"/>
  <c r="T19" i="1"/>
  <c r="U19" i="1"/>
  <c r="V19" i="1"/>
  <c r="X19" i="1"/>
  <c r="S20" i="1"/>
  <c r="T20" i="1"/>
  <c r="U20" i="1"/>
  <c r="V20" i="1"/>
  <c r="X20" i="1"/>
  <c r="Y20" i="1"/>
  <c r="S21" i="1"/>
  <c r="Y21" i="1" s="1"/>
  <c r="T21" i="1"/>
  <c r="U21" i="1"/>
  <c r="V21" i="1"/>
  <c r="X21" i="1"/>
  <c r="S22" i="1"/>
  <c r="T22" i="1"/>
  <c r="U22" i="1"/>
  <c r="V22" i="1"/>
  <c r="X22" i="1"/>
  <c r="S23" i="1"/>
  <c r="T23" i="1"/>
  <c r="U23" i="1"/>
  <c r="V23" i="1"/>
  <c r="X23" i="1"/>
  <c r="S24" i="1"/>
  <c r="T24" i="1"/>
  <c r="U24" i="1"/>
  <c r="V24" i="1"/>
  <c r="X24" i="1"/>
  <c r="S25" i="1"/>
  <c r="T25" i="1"/>
  <c r="U25" i="1"/>
  <c r="V25" i="1"/>
  <c r="X25" i="1"/>
  <c r="Y25" i="1"/>
  <c r="S26" i="1"/>
  <c r="Y26" i="1" s="1"/>
  <c r="T26" i="1"/>
  <c r="U26" i="1"/>
  <c r="V26" i="1"/>
  <c r="X26" i="1"/>
  <c r="S27" i="1"/>
  <c r="Y27" i="1" s="1"/>
  <c r="T27" i="1"/>
  <c r="U27" i="1"/>
  <c r="V27" i="1"/>
  <c r="X27" i="1"/>
  <c r="S28" i="1"/>
  <c r="T28" i="1"/>
  <c r="U28" i="1"/>
  <c r="V28" i="1"/>
  <c r="X28" i="1"/>
  <c r="Y28" i="1"/>
  <c r="S29" i="1"/>
  <c r="T29" i="1"/>
  <c r="U29" i="1"/>
  <c r="V29" i="1"/>
  <c r="X29" i="1"/>
  <c r="Y29" i="1"/>
  <c r="S30" i="1"/>
  <c r="T30" i="1"/>
  <c r="U30" i="1"/>
  <c r="V30" i="1"/>
  <c r="X30" i="1"/>
  <c r="Y30" i="1"/>
  <c r="S31" i="1"/>
  <c r="T31" i="1"/>
  <c r="U31" i="1"/>
  <c r="V31" i="1"/>
  <c r="X31" i="1"/>
  <c r="S32" i="1"/>
  <c r="T32" i="1"/>
  <c r="U32" i="1"/>
  <c r="V32" i="1"/>
  <c r="X32" i="1"/>
  <c r="S33" i="1"/>
  <c r="T33" i="1"/>
  <c r="U33" i="1"/>
  <c r="V33" i="1"/>
  <c r="X33" i="1"/>
  <c r="Y33" i="1"/>
  <c r="S34" i="1"/>
  <c r="Y34" i="1" s="1"/>
  <c r="T34" i="1"/>
  <c r="U34" i="1"/>
  <c r="V34" i="1"/>
  <c r="X34" i="1"/>
  <c r="S35" i="1"/>
  <c r="Y35" i="1" s="1"/>
  <c r="T35" i="1"/>
  <c r="U35" i="1"/>
  <c r="V35" i="1"/>
  <c r="X35" i="1"/>
  <c r="S36" i="1"/>
  <c r="T36" i="1"/>
  <c r="U36" i="1"/>
  <c r="V36" i="1"/>
  <c r="X36" i="1"/>
  <c r="Y36" i="1"/>
  <c r="S37" i="1"/>
  <c r="T37" i="1"/>
  <c r="U37" i="1"/>
  <c r="V37" i="1"/>
  <c r="X37" i="1"/>
  <c r="Y37" i="1"/>
  <c r="S38" i="1"/>
  <c r="T38" i="1"/>
  <c r="U38" i="1"/>
  <c r="V38" i="1"/>
  <c r="X38" i="1"/>
  <c r="Y38" i="1"/>
  <c r="S39" i="1"/>
  <c r="T39" i="1"/>
  <c r="U39" i="1"/>
  <c r="V39" i="1"/>
  <c r="X39" i="1"/>
  <c r="S40" i="1"/>
  <c r="T40" i="1"/>
  <c r="U40" i="1"/>
  <c r="V40" i="1"/>
  <c r="X40" i="1"/>
  <c r="S41" i="1"/>
  <c r="T41" i="1"/>
  <c r="U41" i="1"/>
  <c r="V41" i="1"/>
  <c r="X41" i="1"/>
  <c r="Y41" i="1"/>
  <c r="S42" i="1"/>
  <c r="Y42" i="1" s="1"/>
  <c r="T42" i="1"/>
  <c r="U42" i="1"/>
  <c r="V42" i="1"/>
  <c r="X42" i="1"/>
  <c r="S43" i="1"/>
  <c r="Y43" i="1" s="1"/>
  <c r="T43" i="1"/>
  <c r="U43" i="1"/>
  <c r="V43" i="1"/>
  <c r="X43" i="1"/>
  <c r="S44" i="1"/>
  <c r="T44" i="1"/>
  <c r="U44" i="1"/>
  <c r="V44" i="1"/>
  <c r="X44" i="1"/>
  <c r="Y44" i="1"/>
  <c r="S45" i="1"/>
  <c r="T45" i="1"/>
  <c r="U45" i="1"/>
  <c r="V45" i="1"/>
  <c r="X45" i="1"/>
  <c r="Y45" i="1"/>
  <c r="S46" i="1"/>
  <c r="T46" i="1"/>
  <c r="U46" i="1"/>
  <c r="V46" i="1"/>
  <c r="X46" i="1"/>
  <c r="Y46" i="1"/>
  <c r="S47" i="1"/>
  <c r="T47" i="1"/>
  <c r="U47" i="1"/>
  <c r="V47" i="1"/>
  <c r="X47" i="1"/>
  <c r="S48" i="1"/>
  <c r="T48" i="1"/>
  <c r="U48" i="1"/>
  <c r="V48" i="1"/>
  <c r="X48" i="1"/>
  <c r="S49" i="1"/>
  <c r="T49" i="1"/>
  <c r="U49" i="1"/>
  <c r="V49" i="1"/>
  <c r="X49" i="1"/>
  <c r="Y49" i="1"/>
  <c r="S50" i="1"/>
  <c r="Y50" i="1" s="1"/>
  <c r="T50" i="1"/>
  <c r="U50" i="1"/>
  <c r="V50" i="1"/>
  <c r="X50" i="1"/>
  <c r="S51" i="1"/>
  <c r="Y51" i="1" s="1"/>
  <c r="T51" i="1"/>
  <c r="U51" i="1"/>
  <c r="V51" i="1"/>
  <c r="X51" i="1"/>
  <c r="S52" i="1"/>
  <c r="T52" i="1"/>
  <c r="U52" i="1"/>
  <c r="V52" i="1"/>
  <c r="X52" i="1"/>
  <c r="Y52" i="1"/>
  <c r="S53" i="1"/>
  <c r="T53" i="1"/>
  <c r="U53" i="1"/>
  <c r="V53" i="1"/>
  <c r="X53" i="1"/>
  <c r="Y53" i="1"/>
  <c r="S54" i="1"/>
  <c r="T54" i="1"/>
  <c r="U54" i="1"/>
  <c r="V54" i="1"/>
  <c r="X54" i="1"/>
  <c r="S55" i="1"/>
  <c r="T55" i="1"/>
  <c r="U55" i="1"/>
  <c r="V55" i="1"/>
  <c r="X55" i="1"/>
  <c r="S56" i="1"/>
  <c r="T56" i="1"/>
  <c r="U56" i="1"/>
  <c r="V56" i="1"/>
  <c r="X56" i="1"/>
  <c r="S57" i="1"/>
  <c r="Y57" i="1" s="1"/>
  <c r="T57" i="1"/>
  <c r="U57" i="1"/>
  <c r="V57" i="1"/>
  <c r="X57" i="1"/>
  <c r="S58" i="1"/>
  <c r="Y58" i="1" s="1"/>
  <c r="T58" i="1"/>
  <c r="U58" i="1"/>
  <c r="V58" i="1"/>
  <c r="X58" i="1"/>
  <c r="S59" i="1"/>
  <c r="Y59" i="1" s="1"/>
  <c r="T59" i="1"/>
  <c r="U59" i="1"/>
  <c r="V59" i="1"/>
  <c r="X59" i="1"/>
  <c r="S60" i="1"/>
  <c r="Y60" i="1" s="1"/>
  <c r="T60" i="1"/>
  <c r="U60" i="1"/>
  <c r="V60" i="1"/>
  <c r="X60" i="1"/>
  <c r="S61" i="1"/>
  <c r="T61" i="1"/>
  <c r="U61" i="1"/>
  <c r="V61" i="1"/>
  <c r="X61" i="1"/>
  <c r="Y61" i="1"/>
  <c r="S62" i="1"/>
  <c r="T62" i="1"/>
  <c r="U62" i="1"/>
  <c r="V62" i="1"/>
  <c r="X62" i="1"/>
  <c r="S63" i="1"/>
  <c r="T63" i="1"/>
  <c r="U63" i="1"/>
  <c r="V63" i="1"/>
  <c r="X63" i="1"/>
  <c r="S64" i="1"/>
  <c r="T64" i="1"/>
  <c r="U64" i="1"/>
  <c r="V64" i="1"/>
  <c r="X64" i="1"/>
  <c r="S65" i="1"/>
  <c r="T65" i="1"/>
  <c r="U65" i="1"/>
  <c r="V65" i="1"/>
  <c r="X65" i="1"/>
  <c r="Y65" i="1"/>
  <c r="S66" i="1"/>
  <c r="Y66" i="1" s="1"/>
  <c r="T66" i="1"/>
  <c r="U66" i="1"/>
  <c r="V66" i="1"/>
  <c r="X66" i="1"/>
  <c r="S67" i="1"/>
  <c r="Y67" i="1" s="1"/>
  <c r="T67" i="1"/>
  <c r="U67" i="1"/>
  <c r="V67" i="1"/>
  <c r="X67" i="1"/>
  <c r="S68" i="1"/>
  <c r="T68" i="1"/>
  <c r="U68" i="1"/>
  <c r="V68" i="1"/>
  <c r="X68" i="1"/>
  <c r="Y68" i="1"/>
  <c r="S69" i="1"/>
  <c r="T69" i="1"/>
  <c r="U69" i="1"/>
  <c r="V69" i="1"/>
  <c r="X69" i="1"/>
  <c r="Y69" i="1"/>
  <c r="S70" i="1"/>
  <c r="T70" i="1"/>
  <c r="U70" i="1"/>
  <c r="V70" i="1"/>
  <c r="X70" i="1"/>
  <c r="S71" i="1"/>
  <c r="T71" i="1"/>
  <c r="U71" i="1"/>
  <c r="V71" i="1"/>
  <c r="X71" i="1"/>
  <c r="S72" i="1"/>
  <c r="T72" i="1"/>
  <c r="U72" i="1"/>
  <c r="V72" i="1"/>
  <c r="X72" i="1"/>
  <c r="S73" i="1"/>
  <c r="T73" i="1"/>
  <c r="U73" i="1"/>
  <c r="V73" i="1"/>
  <c r="X73" i="1"/>
  <c r="Y73" i="1"/>
  <c r="S74" i="1"/>
  <c r="Y74" i="1" s="1"/>
  <c r="T74" i="1"/>
  <c r="U74" i="1"/>
  <c r="V74" i="1"/>
  <c r="X74" i="1"/>
  <c r="S75" i="1"/>
  <c r="Y75" i="1" s="1"/>
  <c r="T75" i="1"/>
  <c r="U75" i="1"/>
  <c r="V75" i="1"/>
  <c r="X75" i="1"/>
  <c r="S76" i="1"/>
  <c r="T76" i="1"/>
  <c r="U76" i="1"/>
  <c r="V76" i="1"/>
  <c r="X76" i="1"/>
  <c r="Y76" i="1"/>
  <c r="S77" i="1"/>
  <c r="T77" i="1"/>
  <c r="U77" i="1"/>
  <c r="V77" i="1"/>
  <c r="X77" i="1"/>
  <c r="Y77" i="1"/>
  <c r="S78" i="1"/>
  <c r="T78" i="1"/>
  <c r="U78" i="1"/>
  <c r="V78" i="1"/>
  <c r="X78" i="1"/>
  <c r="S79" i="1"/>
  <c r="T79" i="1"/>
  <c r="U79" i="1"/>
  <c r="V79" i="1"/>
  <c r="X79" i="1"/>
  <c r="S80" i="1"/>
  <c r="T80" i="1"/>
  <c r="U80" i="1"/>
  <c r="V80" i="1"/>
  <c r="X80" i="1"/>
  <c r="S81" i="1"/>
  <c r="T81" i="1"/>
  <c r="U81" i="1"/>
  <c r="V81" i="1"/>
  <c r="X81" i="1"/>
  <c r="Y81" i="1"/>
  <c r="S82" i="1"/>
  <c r="Y82" i="1" s="1"/>
  <c r="T82" i="1"/>
  <c r="U82" i="1"/>
  <c r="V82" i="1"/>
  <c r="X82" i="1"/>
  <c r="S83" i="1"/>
  <c r="Y83" i="1" s="1"/>
  <c r="T83" i="1"/>
  <c r="U83" i="1"/>
  <c r="V83" i="1"/>
  <c r="X83" i="1"/>
  <c r="S84" i="1"/>
  <c r="T84" i="1"/>
  <c r="U84" i="1"/>
  <c r="V84" i="1"/>
  <c r="X84" i="1"/>
  <c r="Y84" i="1"/>
  <c r="S85" i="1"/>
  <c r="Y85" i="1" s="1"/>
  <c r="T85" i="1"/>
  <c r="U85" i="1"/>
  <c r="V85" i="1"/>
  <c r="X85" i="1"/>
  <c r="S86" i="1"/>
  <c r="T86" i="1"/>
  <c r="U86" i="1"/>
  <c r="V86" i="1"/>
  <c r="X86" i="1"/>
  <c r="S87" i="1"/>
  <c r="T87" i="1"/>
  <c r="U87" i="1"/>
  <c r="V87" i="1"/>
  <c r="X87" i="1"/>
  <c r="S88" i="1"/>
  <c r="T88" i="1"/>
  <c r="U88" i="1"/>
  <c r="V88" i="1"/>
  <c r="X88" i="1"/>
  <c r="S89" i="1"/>
  <c r="T89" i="1"/>
  <c r="U89" i="1"/>
  <c r="V89" i="1"/>
  <c r="X89" i="1"/>
  <c r="S90" i="1"/>
  <c r="T90" i="1"/>
  <c r="U90" i="1"/>
  <c r="V90" i="1"/>
  <c r="X90" i="1"/>
  <c r="S91" i="1"/>
  <c r="T91" i="1"/>
  <c r="U91" i="1"/>
  <c r="V91" i="1"/>
  <c r="X91" i="1"/>
  <c r="S92" i="1"/>
  <c r="T92" i="1"/>
  <c r="U92" i="1"/>
  <c r="V92" i="1"/>
  <c r="X92" i="1"/>
  <c r="S93" i="1"/>
  <c r="T93" i="1"/>
  <c r="U93" i="1"/>
  <c r="V93" i="1"/>
  <c r="X93" i="1"/>
  <c r="S94" i="1"/>
  <c r="T94" i="1"/>
  <c r="U94" i="1"/>
  <c r="V94" i="1"/>
  <c r="X94" i="1"/>
  <c r="S95" i="1"/>
  <c r="T95" i="1"/>
  <c r="U95" i="1"/>
  <c r="V95" i="1"/>
  <c r="X95" i="1"/>
  <c r="S96" i="1"/>
  <c r="T96" i="1"/>
  <c r="U96" i="1"/>
  <c r="V96" i="1"/>
  <c r="X96" i="1"/>
  <c r="S97" i="1"/>
  <c r="T97" i="1"/>
  <c r="U97" i="1"/>
  <c r="V97" i="1"/>
  <c r="X97" i="1"/>
  <c r="S98" i="1"/>
  <c r="T98" i="1"/>
  <c r="U98" i="1"/>
  <c r="V98" i="1"/>
  <c r="X98" i="1"/>
  <c r="S99" i="1"/>
  <c r="T99" i="1"/>
  <c r="U99" i="1"/>
  <c r="V99" i="1"/>
  <c r="X99" i="1"/>
  <c r="S100" i="1"/>
  <c r="T100" i="1"/>
  <c r="U100" i="1"/>
  <c r="V100" i="1"/>
  <c r="X100" i="1"/>
  <c r="S101" i="1"/>
  <c r="T101" i="1"/>
  <c r="U101" i="1"/>
  <c r="V101" i="1"/>
  <c r="X101" i="1"/>
  <c r="S102" i="1"/>
  <c r="T102" i="1"/>
  <c r="U102" i="1"/>
  <c r="V102" i="1"/>
  <c r="X102" i="1"/>
  <c r="S103" i="1"/>
  <c r="T103" i="1"/>
  <c r="U103" i="1"/>
  <c r="V103" i="1"/>
  <c r="X103" i="1"/>
  <c r="S104" i="1"/>
  <c r="T104" i="1"/>
  <c r="U104" i="1"/>
  <c r="V104" i="1"/>
  <c r="X104" i="1"/>
  <c r="S105" i="1"/>
  <c r="T105" i="1"/>
  <c r="U105" i="1"/>
  <c r="V105" i="1"/>
  <c r="X105" i="1"/>
  <c r="S106" i="1"/>
  <c r="T106" i="1"/>
  <c r="U106" i="1"/>
  <c r="V106" i="1"/>
  <c r="X106" i="1"/>
  <c r="S107" i="1"/>
  <c r="T107" i="1"/>
  <c r="U107" i="1"/>
  <c r="V107" i="1"/>
  <c r="X107" i="1"/>
  <c r="S108" i="1"/>
  <c r="T108" i="1"/>
  <c r="U108" i="1"/>
  <c r="V108" i="1"/>
  <c r="X108" i="1"/>
  <c r="S109" i="1"/>
  <c r="T109" i="1"/>
  <c r="U109" i="1"/>
  <c r="V109" i="1"/>
  <c r="X109" i="1"/>
  <c r="S110" i="1"/>
  <c r="T110" i="1"/>
  <c r="U110" i="1"/>
  <c r="V110" i="1"/>
  <c r="X110" i="1"/>
  <c r="S111" i="1"/>
  <c r="T111" i="1"/>
  <c r="U111" i="1"/>
  <c r="V111" i="1"/>
  <c r="X111" i="1"/>
  <c r="S112" i="1"/>
  <c r="T112" i="1"/>
  <c r="U112" i="1"/>
  <c r="V112" i="1"/>
  <c r="X112" i="1"/>
  <c r="S113" i="1"/>
  <c r="T113" i="1"/>
  <c r="U113" i="1"/>
  <c r="V113" i="1"/>
  <c r="X113" i="1"/>
  <c r="S114" i="1"/>
  <c r="T114" i="1"/>
  <c r="U114" i="1"/>
  <c r="V114" i="1"/>
  <c r="X114" i="1"/>
  <c r="S115" i="1"/>
  <c r="T115" i="1"/>
  <c r="U115" i="1"/>
  <c r="V115" i="1"/>
  <c r="X115" i="1"/>
  <c r="S116" i="1"/>
  <c r="T116" i="1"/>
  <c r="U116" i="1"/>
  <c r="V116" i="1"/>
  <c r="X116" i="1"/>
  <c r="S117" i="1"/>
  <c r="T117" i="1"/>
  <c r="U117" i="1"/>
  <c r="V117" i="1"/>
  <c r="X117" i="1"/>
  <c r="S118" i="1"/>
  <c r="T118" i="1"/>
  <c r="U118" i="1"/>
  <c r="V118" i="1"/>
  <c r="X118" i="1"/>
  <c r="S119" i="1"/>
  <c r="T119" i="1"/>
  <c r="U119" i="1"/>
  <c r="V119" i="1"/>
  <c r="X119" i="1"/>
  <c r="S120" i="1"/>
  <c r="T120" i="1"/>
  <c r="U120" i="1"/>
  <c r="V120" i="1"/>
  <c r="X120" i="1"/>
  <c r="S121" i="1"/>
  <c r="T121" i="1"/>
  <c r="U121" i="1"/>
  <c r="V121" i="1"/>
  <c r="X121" i="1"/>
  <c r="S122" i="1"/>
  <c r="T122" i="1"/>
  <c r="U122" i="1"/>
  <c r="V122" i="1"/>
  <c r="X122" i="1"/>
  <c r="S123" i="1"/>
  <c r="T123" i="1"/>
  <c r="U123" i="1"/>
  <c r="V123" i="1"/>
  <c r="X123" i="1"/>
  <c r="S124" i="1"/>
  <c r="T124" i="1"/>
  <c r="U124" i="1"/>
  <c r="V124" i="1"/>
  <c r="X124" i="1"/>
  <c r="S125" i="1"/>
  <c r="T125" i="1"/>
  <c r="U125" i="1"/>
  <c r="V125" i="1"/>
  <c r="X125" i="1"/>
  <c r="S126" i="1"/>
  <c r="T126" i="1"/>
  <c r="U126" i="1"/>
  <c r="V126" i="1"/>
  <c r="X126" i="1"/>
  <c r="S127" i="1"/>
  <c r="T127" i="1"/>
  <c r="U127" i="1"/>
  <c r="V127" i="1"/>
  <c r="X127" i="1"/>
  <c r="S128" i="1"/>
  <c r="T128" i="1"/>
  <c r="U128" i="1"/>
  <c r="V128" i="1"/>
  <c r="X128" i="1"/>
  <c r="S129" i="1"/>
  <c r="T129" i="1"/>
  <c r="U129" i="1"/>
  <c r="V129" i="1"/>
  <c r="X129" i="1"/>
  <c r="S130" i="1"/>
  <c r="T130" i="1"/>
  <c r="U130" i="1"/>
  <c r="V130" i="1"/>
  <c r="X130" i="1"/>
  <c r="S131" i="1"/>
  <c r="T131" i="1"/>
  <c r="U131" i="1"/>
  <c r="V131" i="1"/>
  <c r="X131" i="1"/>
  <c r="S132" i="1"/>
  <c r="T132" i="1"/>
  <c r="U132" i="1"/>
  <c r="V132" i="1"/>
  <c r="X132" i="1"/>
  <c r="S133" i="1"/>
  <c r="T133" i="1"/>
  <c r="U133" i="1"/>
  <c r="V133" i="1"/>
  <c r="X133" i="1"/>
  <c r="S134" i="1"/>
  <c r="T134" i="1"/>
  <c r="U134" i="1"/>
  <c r="V134" i="1"/>
  <c r="X134" i="1"/>
  <c r="S135" i="1"/>
  <c r="T135" i="1"/>
  <c r="U135" i="1"/>
  <c r="V135" i="1"/>
  <c r="X135" i="1"/>
  <c r="S136" i="1"/>
  <c r="T136" i="1"/>
  <c r="U136" i="1"/>
  <c r="V136" i="1"/>
  <c r="X136" i="1"/>
  <c r="S137" i="1"/>
  <c r="T137" i="1"/>
  <c r="U137" i="1"/>
  <c r="V137" i="1"/>
  <c r="X137" i="1"/>
  <c r="S138" i="1"/>
  <c r="T138" i="1"/>
  <c r="U138" i="1"/>
  <c r="V138" i="1"/>
  <c r="X138" i="1"/>
  <c r="S139" i="1"/>
  <c r="T139" i="1"/>
  <c r="U139" i="1"/>
  <c r="V139" i="1"/>
  <c r="X139" i="1"/>
  <c r="S140" i="1"/>
  <c r="T140" i="1"/>
  <c r="U140" i="1"/>
  <c r="V140" i="1"/>
  <c r="X140" i="1"/>
  <c r="S141" i="1"/>
  <c r="T141" i="1"/>
  <c r="U141" i="1"/>
  <c r="V141" i="1"/>
  <c r="X141" i="1"/>
  <c r="S142" i="1"/>
  <c r="T142" i="1"/>
  <c r="U142" i="1"/>
  <c r="V142" i="1"/>
  <c r="X142" i="1"/>
  <c r="S143" i="1"/>
  <c r="T143" i="1"/>
  <c r="U143" i="1"/>
  <c r="V143" i="1"/>
  <c r="X143" i="1"/>
  <c r="S144" i="1"/>
  <c r="T144" i="1"/>
  <c r="U144" i="1"/>
  <c r="V144" i="1"/>
  <c r="X144" i="1"/>
  <c r="S145" i="1"/>
  <c r="T145" i="1"/>
  <c r="U145" i="1"/>
  <c r="V145" i="1"/>
  <c r="X145" i="1"/>
  <c r="S146" i="1"/>
  <c r="T146" i="1"/>
  <c r="U146" i="1"/>
  <c r="V146" i="1"/>
  <c r="X146" i="1"/>
  <c r="S147" i="1"/>
  <c r="T147" i="1"/>
  <c r="U147" i="1"/>
  <c r="V147" i="1"/>
  <c r="X147" i="1"/>
  <c r="S148" i="1"/>
  <c r="T148" i="1"/>
  <c r="U148" i="1"/>
  <c r="V148" i="1"/>
  <c r="X148" i="1"/>
  <c r="S149" i="1"/>
  <c r="T149" i="1"/>
  <c r="U149" i="1"/>
  <c r="V149" i="1"/>
  <c r="X149" i="1"/>
  <c r="S150" i="1"/>
  <c r="T150" i="1"/>
  <c r="U150" i="1"/>
  <c r="V150" i="1"/>
  <c r="X150" i="1"/>
  <c r="S151" i="1"/>
  <c r="T151" i="1"/>
  <c r="U151" i="1"/>
  <c r="V151" i="1"/>
  <c r="X151" i="1"/>
  <c r="S152" i="1"/>
  <c r="T152" i="1"/>
  <c r="U152" i="1"/>
  <c r="V152" i="1"/>
  <c r="X152" i="1"/>
  <c r="S153" i="1"/>
  <c r="T153" i="1"/>
  <c r="U153" i="1"/>
  <c r="V153" i="1"/>
  <c r="X153" i="1"/>
  <c r="Y153" i="1"/>
  <c r="S154" i="1"/>
  <c r="T154" i="1"/>
  <c r="U154" i="1"/>
  <c r="V154" i="1"/>
  <c r="X154" i="1"/>
  <c r="Y154" i="1"/>
  <c r="S155" i="1"/>
  <c r="Y155" i="1" s="1"/>
  <c r="T155" i="1"/>
  <c r="U155" i="1"/>
  <c r="V155" i="1"/>
  <c r="X155" i="1"/>
  <c r="S156" i="1"/>
  <c r="T156" i="1"/>
  <c r="U156" i="1"/>
  <c r="V156" i="1"/>
  <c r="X156" i="1"/>
  <c r="Y156" i="1"/>
  <c r="S157" i="1"/>
  <c r="T157" i="1"/>
  <c r="U157" i="1"/>
  <c r="V157" i="1"/>
  <c r="X157" i="1"/>
  <c r="S158" i="1"/>
  <c r="T158" i="1"/>
  <c r="U158" i="1"/>
  <c r="V158" i="1"/>
  <c r="X158" i="1"/>
  <c r="S159" i="1"/>
  <c r="T159" i="1"/>
  <c r="U159" i="1"/>
  <c r="V159" i="1"/>
  <c r="X159" i="1"/>
  <c r="S160" i="1"/>
  <c r="T160" i="1"/>
  <c r="U160" i="1"/>
  <c r="V160" i="1"/>
  <c r="X160" i="1"/>
  <c r="S161" i="1"/>
  <c r="Y161" i="1" s="1"/>
  <c r="T161" i="1"/>
  <c r="U161" i="1"/>
  <c r="V161" i="1"/>
  <c r="X161" i="1"/>
  <c r="S162" i="1"/>
  <c r="T162" i="1"/>
  <c r="U162" i="1"/>
  <c r="V162" i="1"/>
  <c r="X162" i="1"/>
  <c r="Y162" i="1"/>
  <c r="S163" i="1"/>
  <c r="T163" i="1"/>
  <c r="U163" i="1"/>
  <c r="V163" i="1"/>
  <c r="X163" i="1"/>
  <c r="Y163" i="1"/>
  <c r="S164" i="1"/>
  <c r="T164" i="1"/>
  <c r="U164" i="1"/>
  <c r="V164" i="1"/>
  <c r="X164" i="1"/>
  <c r="Y164" i="1"/>
  <c r="S165" i="1"/>
  <c r="T165" i="1"/>
  <c r="U165" i="1"/>
  <c r="V165" i="1"/>
  <c r="X165" i="1"/>
  <c r="S166" i="1"/>
  <c r="T166" i="1"/>
  <c r="U166" i="1"/>
  <c r="V166" i="1"/>
  <c r="X166" i="1"/>
  <c r="S167" i="1"/>
  <c r="T167" i="1"/>
  <c r="U167" i="1"/>
  <c r="V167" i="1"/>
  <c r="X167" i="1"/>
  <c r="S168" i="1"/>
  <c r="T168" i="1"/>
  <c r="U168" i="1"/>
  <c r="V168" i="1"/>
  <c r="X168" i="1"/>
  <c r="S169" i="1"/>
  <c r="T169" i="1"/>
  <c r="U169" i="1"/>
  <c r="V169" i="1"/>
  <c r="X169" i="1"/>
  <c r="Y169" i="1"/>
  <c r="S170" i="1"/>
  <c r="T170" i="1"/>
  <c r="U170" i="1"/>
  <c r="V170" i="1"/>
  <c r="X170" i="1"/>
  <c r="Y170" i="1"/>
  <c r="S171" i="1"/>
  <c r="Y171" i="1" s="1"/>
  <c r="T171" i="1"/>
  <c r="U171" i="1"/>
  <c r="V171" i="1"/>
  <c r="X171" i="1"/>
  <c r="S172" i="1"/>
  <c r="T172" i="1"/>
  <c r="U172" i="1"/>
  <c r="V172" i="1"/>
  <c r="X172" i="1"/>
  <c r="Y172" i="1"/>
  <c r="S173" i="1"/>
  <c r="T173" i="1"/>
  <c r="U173" i="1"/>
  <c r="V173" i="1"/>
  <c r="X173" i="1"/>
  <c r="S174" i="1"/>
  <c r="T174" i="1"/>
  <c r="U174" i="1"/>
  <c r="V174" i="1"/>
  <c r="X174" i="1"/>
  <c r="S175" i="1"/>
  <c r="T175" i="1"/>
  <c r="U175" i="1"/>
  <c r="V175" i="1"/>
  <c r="X175" i="1"/>
  <c r="S176" i="1"/>
  <c r="T176" i="1"/>
  <c r="U176" i="1"/>
  <c r="V176" i="1"/>
  <c r="X176" i="1"/>
  <c r="S177" i="1"/>
  <c r="T177" i="1"/>
  <c r="U177" i="1"/>
  <c r="V177" i="1"/>
  <c r="X177" i="1"/>
  <c r="S178" i="1"/>
  <c r="T178" i="1"/>
  <c r="U178" i="1"/>
  <c r="V178" i="1"/>
  <c r="X178" i="1"/>
  <c r="S179" i="1"/>
  <c r="T179" i="1"/>
  <c r="U179" i="1"/>
  <c r="V179" i="1"/>
  <c r="X179" i="1"/>
  <c r="S180" i="1"/>
  <c r="T180" i="1"/>
  <c r="U180" i="1"/>
  <c r="V180" i="1"/>
  <c r="X180" i="1"/>
  <c r="S181" i="1"/>
  <c r="T181" i="1"/>
  <c r="U181" i="1"/>
  <c r="V181" i="1"/>
  <c r="X181" i="1"/>
  <c r="S182" i="1"/>
  <c r="T182" i="1"/>
  <c r="U182" i="1"/>
  <c r="V182" i="1"/>
  <c r="X182" i="1"/>
  <c r="S183" i="1"/>
  <c r="T183" i="1"/>
  <c r="U183" i="1"/>
  <c r="V183" i="1"/>
  <c r="X183" i="1"/>
  <c r="S184" i="1"/>
  <c r="T184" i="1"/>
  <c r="U184" i="1"/>
  <c r="V184" i="1"/>
  <c r="X184" i="1"/>
  <c r="S185" i="1"/>
  <c r="T185" i="1"/>
  <c r="U185" i="1"/>
  <c r="V185" i="1"/>
  <c r="X185" i="1"/>
  <c r="S186" i="1"/>
  <c r="T186" i="1"/>
  <c r="U186" i="1"/>
  <c r="V186" i="1"/>
  <c r="X186" i="1"/>
  <c r="S187" i="1"/>
  <c r="T187" i="1"/>
  <c r="U187" i="1"/>
  <c r="V187" i="1"/>
  <c r="X187" i="1"/>
  <c r="S188" i="1"/>
  <c r="T188" i="1"/>
  <c r="U188" i="1"/>
  <c r="V188" i="1"/>
  <c r="X188" i="1"/>
  <c r="S189" i="1"/>
  <c r="T189" i="1"/>
  <c r="U189" i="1"/>
  <c r="V189" i="1"/>
  <c r="X189" i="1"/>
  <c r="S190" i="1"/>
  <c r="T190" i="1"/>
  <c r="U190" i="1"/>
  <c r="V190" i="1"/>
  <c r="X190" i="1"/>
  <c r="S191" i="1"/>
  <c r="T191" i="1"/>
  <c r="U191" i="1"/>
  <c r="V191" i="1"/>
  <c r="X191" i="1"/>
  <c r="S192" i="1"/>
  <c r="T192" i="1"/>
  <c r="U192" i="1"/>
  <c r="V192" i="1"/>
  <c r="X192" i="1"/>
  <c r="S193" i="1"/>
  <c r="T193" i="1"/>
  <c r="U193" i="1"/>
  <c r="V193" i="1"/>
  <c r="X193" i="1"/>
  <c r="S194" i="1"/>
  <c r="T194" i="1"/>
  <c r="U194" i="1"/>
  <c r="V194" i="1"/>
  <c r="X194" i="1"/>
  <c r="S195" i="1"/>
  <c r="T195" i="1"/>
  <c r="U195" i="1"/>
  <c r="V195" i="1"/>
  <c r="X195" i="1"/>
  <c r="S196" i="1"/>
  <c r="T196" i="1"/>
  <c r="U196" i="1"/>
  <c r="V196" i="1"/>
  <c r="X196" i="1"/>
  <c r="S197" i="1"/>
  <c r="T197" i="1"/>
  <c r="U197" i="1"/>
  <c r="V197" i="1"/>
  <c r="X197" i="1"/>
  <c r="S198" i="1"/>
  <c r="T198" i="1"/>
  <c r="U198" i="1"/>
  <c r="V198" i="1"/>
  <c r="X198" i="1"/>
  <c r="S199" i="1"/>
  <c r="T199" i="1"/>
  <c r="U199" i="1"/>
  <c r="V199" i="1"/>
  <c r="X199" i="1"/>
  <c r="S200" i="1"/>
  <c r="T200" i="1"/>
  <c r="U200" i="1"/>
  <c r="V200" i="1"/>
  <c r="X200" i="1"/>
  <c r="S201" i="1"/>
  <c r="T201" i="1"/>
  <c r="U201" i="1"/>
  <c r="V201" i="1"/>
  <c r="X201" i="1"/>
  <c r="S202" i="1"/>
  <c r="T202" i="1"/>
  <c r="U202" i="1"/>
  <c r="V202" i="1"/>
  <c r="X202" i="1"/>
  <c r="S203" i="1"/>
  <c r="T203" i="1"/>
  <c r="U203" i="1"/>
  <c r="V203" i="1"/>
  <c r="X203" i="1"/>
  <c r="S204" i="1"/>
  <c r="T204" i="1"/>
  <c r="U204" i="1"/>
  <c r="V204" i="1"/>
  <c r="X204" i="1"/>
  <c r="S205" i="1"/>
  <c r="T205" i="1"/>
  <c r="U205" i="1"/>
  <c r="V205" i="1"/>
  <c r="X205" i="1"/>
  <c r="S206" i="1"/>
  <c r="T206" i="1"/>
  <c r="U206" i="1"/>
  <c r="V206" i="1"/>
  <c r="X206" i="1"/>
  <c r="S207" i="1"/>
  <c r="T207" i="1"/>
  <c r="U207" i="1"/>
  <c r="V207" i="1"/>
  <c r="X207" i="1"/>
  <c r="S208" i="1"/>
  <c r="T208" i="1"/>
  <c r="U208" i="1"/>
  <c r="V208" i="1"/>
  <c r="X208" i="1"/>
  <c r="S209" i="1"/>
  <c r="T209" i="1"/>
  <c r="U209" i="1"/>
  <c r="V209" i="1"/>
  <c r="X209" i="1"/>
  <c r="S210" i="1"/>
  <c r="T210" i="1"/>
  <c r="U210" i="1"/>
  <c r="V210" i="1"/>
  <c r="X210" i="1"/>
  <c r="S211" i="1"/>
  <c r="T211" i="1"/>
  <c r="U211" i="1"/>
  <c r="V211" i="1"/>
  <c r="X211" i="1"/>
  <c r="S212" i="1"/>
  <c r="T212" i="1"/>
  <c r="U212" i="1"/>
  <c r="V212" i="1"/>
  <c r="X212" i="1"/>
  <c r="S213" i="1"/>
  <c r="T213" i="1"/>
  <c r="U213" i="1"/>
  <c r="V213" i="1"/>
  <c r="X213" i="1"/>
  <c r="S214" i="1"/>
  <c r="T214" i="1"/>
  <c r="U214" i="1"/>
  <c r="V214" i="1"/>
  <c r="X214" i="1"/>
  <c r="S215" i="1"/>
  <c r="T215" i="1"/>
  <c r="U215" i="1"/>
  <c r="V215" i="1"/>
  <c r="X215" i="1"/>
  <c r="S216" i="1"/>
  <c r="T216" i="1"/>
  <c r="U216" i="1"/>
  <c r="V216" i="1"/>
  <c r="X216" i="1"/>
  <c r="S217" i="1"/>
  <c r="T217" i="1"/>
  <c r="U217" i="1"/>
  <c r="V217" i="1"/>
  <c r="X217" i="1"/>
  <c r="S218" i="1"/>
  <c r="T218" i="1"/>
  <c r="U218" i="1"/>
  <c r="V218" i="1"/>
  <c r="X218" i="1"/>
  <c r="S219" i="1"/>
  <c r="T219" i="1"/>
  <c r="U219" i="1"/>
  <c r="V219" i="1"/>
  <c r="X219" i="1"/>
  <c r="S220" i="1"/>
  <c r="Y220" i="1" s="1"/>
  <c r="T220" i="1"/>
  <c r="U220" i="1"/>
  <c r="V220" i="1"/>
  <c r="X220" i="1"/>
  <c r="S221" i="1"/>
  <c r="Y221" i="1" s="1"/>
  <c r="T221" i="1"/>
  <c r="U221" i="1"/>
  <c r="V221" i="1"/>
  <c r="X221" i="1"/>
  <c r="S222" i="1"/>
  <c r="T222" i="1"/>
  <c r="U222" i="1"/>
  <c r="V222" i="1"/>
  <c r="X222" i="1"/>
  <c r="S223" i="1"/>
  <c r="T223" i="1"/>
  <c r="U223" i="1"/>
  <c r="V223" i="1"/>
  <c r="X223" i="1"/>
  <c r="S224" i="1"/>
  <c r="Y224" i="1" s="1"/>
  <c r="T224" i="1"/>
  <c r="U224" i="1"/>
  <c r="V224" i="1"/>
  <c r="X224" i="1"/>
  <c r="S225" i="1"/>
  <c r="Y225" i="1" s="1"/>
  <c r="T225" i="1"/>
  <c r="U225" i="1"/>
  <c r="V225" i="1"/>
  <c r="X225" i="1"/>
  <c r="S226" i="1"/>
  <c r="Y226" i="1" s="1"/>
  <c r="T226" i="1"/>
  <c r="U226" i="1"/>
  <c r="V226" i="1"/>
  <c r="X226" i="1"/>
  <c r="S227" i="1"/>
  <c r="Y227" i="1" s="1"/>
  <c r="T227" i="1"/>
  <c r="U227" i="1"/>
  <c r="V227" i="1"/>
  <c r="X227" i="1"/>
  <c r="S228" i="1"/>
  <c r="Y228" i="1" s="1"/>
  <c r="T228" i="1"/>
  <c r="U228" i="1"/>
  <c r="V228" i="1"/>
  <c r="X228" i="1"/>
  <c r="S229" i="1"/>
  <c r="Y229" i="1" s="1"/>
  <c r="T229" i="1"/>
  <c r="U229" i="1"/>
  <c r="V229" i="1"/>
  <c r="X229" i="1"/>
  <c r="S230" i="1"/>
  <c r="T230" i="1"/>
  <c r="U230" i="1"/>
  <c r="V230" i="1"/>
  <c r="X230" i="1"/>
  <c r="S231" i="1"/>
  <c r="T231" i="1"/>
  <c r="U231" i="1"/>
  <c r="V231" i="1"/>
  <c r="X231" i="1"/>
  <c r="S232" i="1"/>
  <c r="Y232" i="1" s="1"/>
  <c r="T232" i="1"/>
  <c r="U232" i="1"/>
  <c r="V232" i="1"/>
  <c r="X232" i="1"/>
  <c r="S233" i="1"/>
  <c r="Y233" i="1" s="1"/>
  <c r="T233" i="1"/>
  <c r="U233" i="1"/>
  <c r="V233" i="1"/>
  <c r="X233" i="1"/>
  <c r="S234" i="1"/>
  <c r="Y234" i="1" s="1"/>
  <c r="T234" i="1"/>
  <c r="U234" i="1"/>
  <c r="V234" i="1"/>
  <c r="X234" i="1"/>
  <c r="S235" i="1"/>
  <c r="Y235" i="1" s="1"/>
  <c r="T235" i="1"/>
  <c r="U235" i="1"/>
  <c r="V235" i="1"/>
  <c r="X235" i="1"/>
  <c r="S236" i="1"/>
  <c r="Y236" i="1" s="1"/>
  <c r="T236" i="1"/>
  <c r="U236" i="1"/>
  <c r="V236" i="1"/>
  <c r="X236" i="1"/>
  <c r="S237" i="1"/>
  <c r="Y237" i="1" s="1"/>
  <c r="T237" i="1"/>
  <c r="U237" i="1"/>
  <c r="V237" i="1"/>
  <c r="X237" i="1"/>
  <c r="S238" i="1"/>
  <c r="T238" i="1"/>
  <c r="U238" i="1"/>
  <c r="V238" i="1"/>
  <c r="X238" i="1"/>
  <c r="S239" i="1"/>
  <c r="T239" i="1"/>
  <c r="U239" i="1"/>
  <c r="V239" i="1"/>
  <c r="X239" i="1"/>
  <c r="S240" i="1"/>
  <c r="T240" i="1"/>
  <c r="U240" i="1"/>
  <c r="V240" i="1"/>
  <c r="X240" i="1"/>
  <c r="S241" i="1"/>
  <c r="T241" i="1"/>
  <c r="U241" i="1"/>
  <c r="V241" i="1"/>
  <c r="X241" i="1"/>
  <c r="S242" i="1"/>
  <c r="T242" i="1"/>
  <c r="U242" i="1"/>
  <c r="V242" i="1"/>
  <c r="X242" i="1"/>
  <c r="S243" i="1"/>
  <c r="T243" i="1"/>
  <c r="U243" i="1"/>
  <c r="V243" i="1"/>
  <c r="X243" i="1"/>
  <c r="S244" i="1"/>
  <c r="T244" i="1"/>
  <c r="U244" i="1"/>
  <c r="V244" i="1"/>
  <c r="X244" i="1"/>
  <c r="S245" i="1"/>
  <c r="T245" i="1"/>
  <c r="U245" i="1"/>
  <c r="V245" i="1"/>
  <c r="X245" i="1"/>
  <c r="S246" i="1"/>
  <c r="T246" i="1"/>
  <c r="U246" i="1"/>
  <c r="V246" i="1"/>
  <c r="X246" i="1"/>
  <c r="S247" i="1"/>
  <c r="T247" i="1"/>
  <c r="U247" i="1"/>
  <c r="V247" i="1"/>
  <c r="X247" i="1"/>
  <c r="S248" i="1"/>
  <c r="T248" i="1"/>
  <c r="U248" i="1"/>
  <c r="V248" i="1"/>
  <c r="X248" i="1"/>
  <c r="S249" i="1"/>
  <c r="T249" i="1"/>
  <c r="U249" i="1"/>
  <c r="V249" i="1"/>
  <c r="X249" i="1"/>
  <c r="S250" i="1"/>
  <c r="T250" i="1"/>
  <c r="U250" i="1"/>
  <c r="V250" i="1"/>
  <c r="X250" i="1"/>
  <c r="S251" i="1"/>
  <c r="T251" i="1"/>
  <c r="U251" i="1"/>
  <c r="V251" i="1"/>
  <c r="X251" i="1"/>
  <c r="S252" i="1"/>
  <c r="T252" i="1"/>
  <c r="U252" i="1"/>
  <c r="V252" i="1"/>
  <c r="X252" i="1"/>
  <c r="S253" i="1"/>
  <c r="T253" i="1"/>
  <c r="U253" i="1"/>
  <c r="V253" i="1"/>
  <c r="X253" i="1"/>
  <c r="S254" i="1"/>
  <c r="T254" i="1"/>
  <c r="U254" i="1"/>
  <c r="V254" i="1"/>
  <c r="X254" i="1"/>
  <c r="S255" i="1"/>
  <c r="T255" i="1"/>
  <c r="U255" i="1"/>
  <c r="V255" i="1"/>
  <c r="X255" i="1"/>
  <c r="S256" i="1"/>
  <c r="T256" i="1"/>
  <c r="U256" i="1"/>
  <c r="V256" i="1"/>
  <c r="X256" i="1"/>
  <c r="S257" i="1"/>
  <c r="T257" i="1"/>
  <c r="U257" i="1"/>
  <c r="V257" i="1"/>
  <c r="X257" i="1"/>
  <c r="S258" i="1"/>
  <c r="T258" i="1"/>
  <c r="U258" i="1"/>
  <c r="V258" i="1"/>
  <c r="X258" i="1"/>
  <c r="S259" i="1"/>
  <c r="T259" i="1"/>
  <c r="U259" i="1"/>
  <c r="V259" i="1"/>
  <c r="X259" i="1"/>
  <c r="S260" i="1"/>
  <c r="T260" i="1"/>
  <c r="U260" i="1"/>
  <c r="V260" i="1"/>
  <c r="X260" i="1"/>
  <c r="S261" i="1"/>
  <c r="T261" i="1"/>
  <c r="U261" i="1"/>
  <c r="V261" i="1"/>
  <c r="X261" i="1"/>
  <c r="S262" i="1"/>
  <c r="T262" i="1"/>
  <c r="U262" i="1"/>
  <c r="V262" i="1"/>
  <c r="X262" i="1"/>
  <c r="S263" i="1"/>
  <c r="T263" i="1"/>
  <c r="U263" i="1"/>
  <c r="V263" i="1"/>
  <c r="X263" i="1"/>
  <c r="S264" i="1"/>
  <c r="T264" i="1"/>
  <c r="U264" i="1"/>
  <c r="V264" i="1"/>
  <c r="X264" i="1"/>
  <c r="S265" i="1"/>
  <c r="T265" i="1"/>
  <c r="U265" i="1"/>
  <c r="V265" i="1"/>
  <c r="X265" i="1"/>
  <c r="S266" i="1"/>
  <c r="T266" i="1"/>
  <c r="U266" i="1"/>
  <c r="V266" i="1"/>
  <c r="X266" i="1"/>
  <c r="S267" i="1"/>
  <c r="T267" i="1"/>
  <c r="U267" i="1"/>
  <c r="V267" i="1"/>
  <c r="X267" i="1"/>
  <c r="S268" i="1"/>
  <c r="T268" i="1"/>
  <c r="U268" i="1"/>
  <c r="V268" i="1"/>
  <c r="X268" i="1"/>
  <c r="S269" i="1"/>
  <c r="T269" i="1"/>
  <c r="U269" i="1"/>
  <c r="V269" i="1"/>
  <c r="X269" i="1"/>
  <c r="S270" i="1"/>
  <c r="T270" i="1"/>
  <c r="U270" i="1"/>
  <c r="V270" i="1"/>
  <c r="X270" i="1"/>
  <c r="S271" i="1"/>
  <c r="T271" i="1"/>
  <c r="U271" i="1"/>
  <c r="V271" i="1"/>
  <c r="X271" i="1"/>
  <c r="S272" i="1"/>
  <c r="T272" i="1"/>
  <c r="U272" i="1"/>
  <c r="V272" i="1"/>
  <c r="X272" i="1"/>
  <c r="S273" i="1"/>
  <c r="T273" i="1"/>
  <c r="U273" i="1"/>
  <c r="V273" i="1"/>
  <c r="X273" i="1"/>
  <c r="S274" i="1"/>
  <c r="T274" i="1"/>
  <c r="U274" i="1"/>
  <c r="V274" i="1"/>
  <c r="X274" i="1"/>
  <c r="S275" i="1"/>
  <c r="T275" i="1"/>
  <c r="U275" i="1"/>
  <c r="V275" i="1"/>
  <c r="X275" i="1"/>
  <c r="S276" i="1"/>
  <c r="T276" i="1"/>
  <c r="U276" i="1"/>
  <c r="V276" i="1"/>
  <c r="X276" i="1"/>
  <c r="S277" i="1"/>
  <c r="T277" i="1"/>
  <c r="U277" i="1"/>
  <c r="V277" i="1"/>
  <c r="X277" i="1"/>
  <c r="S278" i="1"/>
  <c r="T278" i="1"/>
  <c r="U278" i="1"/>
  <c r="V278" i="1"/>
  <c r="X278" i="1"/>
  <c r="S279" i="1"/>
  <c r="T279" i="1"/>
  <c r="U279" i="1"/>
  <c r="V279" i="1"/>
  <c r="X279" i="1"/>
  <c r="S280" i="1"/>
  <c r="T280" i="1"/>
  <c r="U280" i="1"/>
  <c r="V280" i="1"/>
  <c r="X280" i="1"/>
  <c r="S281" i="1"/>
  <c r="T281" i="1"/>
  <c r="U281" i="1"/>
  <c r="V281" i="1"/>
  <c r="X281" i="1"/>
  <c r="S282" i="1"/>
  <c r="T282" i="1"/>
  <c r="U282" i="1"/>
  <c r="V282" i="1"/>
  <c r="X282" i="1"/>
  <c r="S283" i="1"/>
  <c r="T283" i="1"/>
  <c r="U283" i="1"/>
  <c r="V283" i="1"/>
  <c r="X283" i="1"/>
  <c r="S284" i="1"/>
  <c r="T284" i="1"/>
  <c r="U284" i="1"/>
  <c r="V284" i="1"/>
  <c r="X284" i="1"/>
  <c r="S285" i="1"/>
  <c r="T285" i="1"/>
  <c r="U285" i="1"/>
  <c r="V285" i="1"/>
  <c r="X285" i="1"/>
  <c r="S286" i="1"/>
  <c r="T286" i="1"/>
  <c r="U286" i="1"/>
  <c r="V286" i="1"/>
  <c r="X286" i="1"/>
  <c r="S287" i="1"/>
  <c r="T287" i="1"/>
  <c r="U287" i="1"/>
  <c r="V287" i="1"/>
  <c r="X287" i="1"/>
  <c r="S288" i="1"/>
  <c r="T288" i="1"/>
  <c r="U288" i="1"/>
  <c r="V288" i="1"/>
  <c r="X288" i="1"/>
  <c r="S289" i="1"/>
  <c r="T289" i="1"/>
  <c r="U289" i="1"/>
  <c r="V289" i="1"/>
  <c r="X289" i="1"/>
  <c r="S290" i="1"/>
  <c r="T290" i="1"/>
  <c r="U290" i="1"/>
  <c r="V290" i="1"/>
  <c r="X290" i="1"/>
  <c r="S291" i="1"/>
  <c r="T291" i="1"/>
  <c r="U291" i="1"/>
  <c r="V291" i="1"/>
  <c r="X291" i="1"/>
  <c r="S292" i="1"/>
  <c r="T292" i="1"/>
  <c r="U292" i="1"/>
  <c r="V292" i="1"/>
  <c r="X292" i="1"/>
  <c r="S293" i="1"/>
  <c r="T293" i="1"/>
  <c r="U293" i="1"/>
  <c r="V293" i="1"/>
  <c r="X293" i="1"/>
  <c r="S294" i="1"/>
  <c r="T294" i="1"/>
  <c r="U294" i="1"/>
  <c r="V294" i="1"/>
  <c r="X294" i="1"/>
  <c r="S295" i="1"/>
  <c r="T295" i="1"/>
  <c r="U295" i="1"/>
  <c r="V295" i="1"/>
  <c r="X295" i="1"/>
  <c r="S296" i="1"/>
  <c r="T296" i="1"/>
  <c r="U296" i="1"/>
  <c r="V296" i="1"/>
  <c r="X296" i="1"/>
  <c r="S297" i="1"/>
  <c r="T297" i="1"/>
  <c r="U297" i="1"/>
  <c r="V297" i="1"/>
  <c r="X297" i="1"/>
  <c r="S298" i="1"/>
  <c r="T298" i="1"/>
  <c r="U298" i="1"/>
  <c r="V298" i="1"/>
  <c r="X298" i="1"/>
  <c r="S299" i="1"/>
  <c r="T299" i="1"/>
  <c r="U299" i="1"/>
  <c r="V299" i="1"/>
  <c r="X299" i="1"/>
  <c r="S300" i="1"/>
  <c r="T300" i="1"/>
  <c r="U300" i="1"/>
  <c r="V300" i="1"/>
  <c r="X300" i="1"/>
  <c r="S301" i="1"/>
  <c r="T301" i="1"/>
  <c r="U301" i="1"/>
  <c r="V301" i="1"/>
  <c r="X301" i="1"/>
  <c r="S302" i="1"/>
  <c r="T302" i="1"/>
  <c r="U302" i="1"/>
  <c r="V302" i="1"/>
  <c r="X302" i="1"/>
  <c r="S303" i="1"/>
  <c r="T303" i="1"/>
  <c r="U303" i="1"/>
  <c r="V303" i="1"/>
  <c r="X303" i="1"/>
  <c r="S304" i="1"/>
  <c r="T304" i="1"/>
  <c r="U304" i="1"/>
  <c r="V304" i="1"/>
  <c r="X304" i="1"/>
  <c r="S305" i="1"/>
  <c r="T305" i="1"/>
  <c r="U305" i="1"/>
  <c r="V305" i="1"/>
  <c r="X305" i="1"/>
  <c r="S306" i="1"/>
  <c r="T306" i="1"/>
  <c r="U306" i="1"/>
  <c r="V306" i="1"/>
  <c r="X306" i="1"/>
  <c r="S307" i="1"/>
  <c r="T307" i="1"/>
  <c r="U307" i="1"/>
  <c r="V307" i="1"/>
  <c r="X307" i="1"/>
  <c r="S308" i="1"/>
  <c r="T308" i="1"/>
  <c r="U308" i="1"/>
  <c r="V308" i="1"/>
  <c r="X308" i="1"/>
  <c r="S309" i="1"/>
  <c r="T309" i="1"/>
  <c r="U309" i="1"/>
  <c r="V309" i="1"/>
  <c r="X309" i="1"/>
  <c r="S310" i="1"/>
  <c r="T310" i="1"/>
  <c r="U310" i="1"/>
  <c r="V310" i="1"/>
  <c r="X310" i="1"/>
  <c r="S311" i="1"/>
  <c r="T311" i="1"/>
  <c r="U311" i="1"/>
  <c r="V311" i="1"/>
  <c r="X311" i="1"/>
  <c r="S312" i="1"/>
  <c r="T312" i="1"/>
  <c r="U312" i="1"/>
  <c r="V312" i="1"/>
  <c r="X312" i="1"/>
  <c r="S313" i="1"/>
  <c r="T313" i="1"/>
  <c r="U313" i="1"/>
  <c r="V313" i="1"/>
  <c r="X313" i="1"/>
  <c r="S314" i="1"/>
  <c r="T314" i="1"/>
  <c r="U314" i="1"/>
  <c r="V314" i="1"/>
  <c r="X314" i="1"/>
  <c r="S315" i="1"/>
  <c r="T315" i="1"/>
  <c r="U315" i="1"/>
  <c r="V315" i="1"/>
  <c r="X315" i="1"/>
  <c r="S316" i="1"/>
  <c r="T316" i="1"/>
  <c r="U316" i="1"/>
  <c r="V316" i="1"/>
  <c r="X316" i="1"/>
  <c r="S317" i="1"/>
  <c r="T317" i="1"/>
  <c r="U317" i="1"/>
  <c r="V317" i="1"/>
  <c r="X317" i="1"/>
  <c r="S318" i="1"/>
  <c r="T318" i="1"/>
  <c r="U318" i="1"/>
  <c r="V318" i="1"/>
  <c r="X318" i="1"/>
  <c r="S319" i="1"/>
  <c r="T319" i="1"/>
  <c r="U319" i="1"/>
  <c r="V319" i="1"/>
  <c r="X319" i="1"/>
  <c r="S320" i="1"/>
  <c r="T320" i="1"/>
  <c r="U320" i="1"/>
  <c r="V320" i="1"/>
  <c r="X320" i="1"/>
  <c r="S321" i="1"/>
  <c r="T321" i="1"/>
  <c r="U321" i="1"/>
  <c r="V321" i="1"/>
  <c r="X321" i="1"/>
  <c r="S322" i="1"/>
  <c r="T322" i="1"/>
  <c r="U322" i="1"/>
  <c r="V322" i="1"/>
  <c r="X322" i="1"/>
  <c r="S323" i="1"/>
  <c r="T323" i="1"/>
  <c r="U323" i="1"/>
  <c r="V323" i="1"/>
  <c r="X323" i="1"/>
  <c r="S324" i="1"/>
  <c r="T324" i="1"/>
  <c r="U324" i="1"/>
  <c r="V324" i="1"/>
  <c r="X324" i="1"/>
  <c r="S325" i="1"/>
  <c r="T325" i="1"/>
  <c r="U325" i="1"/>
  <c r="V325" i="1"/>
  <c r="X325" i="1"/>
  <c r="S326" i="1"/>
  <c r="T326" i="1"/>
  <c r="U326" i="1"/>
  <c r="V326" i="1"/>
  <c r="X326" i="1"/>
  <c r="S327" i="1"/>
  <c r="T327" i="1"/>
  <c r="U327" i="1"/>
  <c r="V327" i="1"/>
  <c r="X327" i="1"/>
  <c r="S328" i="1"/>
  <c r="T328" i="1"/>
  <c r="U328" i="1"/>
  <c r="V328" i="1"/>
  <c r="X328" i="1"/>
  <c r="S329" i="1"/>
  <c r="T329" i="1"/>
  <c r="U329" i="1"/>
  <c r="V329" i="1"/>
  <c r="X329" i="1"/>
  <c r="S330" i="1"/>
  <c r="T330" i="1"/>
  <c r="U330" i="1"/>
  <c r="V330" i="1"/>
  <c r="X330" i="1"/>
  <c r="S331" i="1"/>
  <c r="T331" i="1"/>
  <c r="U331" i="1"/>
  <c r="V331" i="1"/>
  <c r="X331" i="1"/>
  <c r="S332" i="1"/>
  <c r="T332" i="1"/>
  <c r="U332" i="1"/>
  <c r="V332" i="1"/>
  <c r="X332" i="1"/>
  <c r="S333" i="1"/>
  <c r="T333" i="1"/>
  <c r="U333" i="1"/>
  <c r="V333" i="1"/>
  <c r="X333" i="1"/>
  <c r="S334" i="1"/>
  <c r="T334" i="1"/>
  <c r="U334" i="1"/>
  <c r="V334" i="1"/>
  <c r="X334" i="1"/>
  <c r="S335" i="1"/>
  <c r="T335" i="1"/>
  <c r="U335" i="1"/>
  <c r="V335" i="1"/>
  <c r="X335" i="1"/>
  <c r="S336" i="1"/>
  <c r="T336" i="1"/>
  <c r="U336" i="1"/>
  <c r="V336" i="1"/>
  <c r="X336" i="1"/>
  <c r="S337" i="1"/>
  <c r="T337" i="1"/>
  <c r="U337" i="1"/>
  <c r="V337" i="1"/>
  <c r="X337" i="1"/>
  <c r="S338" i="1"/>
  <c r="T338" i="1"/>
  <c r="U338" i="1"/>
  <c r="V338" i="1"/>
  <c r="X338" i="1"/>
  <c r="S339" i="1"/>
  <c r="T339" i="1"/>
  <c r="U339" i="1"/>
  <c r="V339" i="1"/>
  <c r="X339" i="1"/>
  <c r="S340" i="1"/>
  <c r="T340" i="1"/>
  <c r="U340" i="1"/>
  <c r="V340" i="1"/>
  <c r="X340" i="1"/>
  <c r="S341" i="1"/>
  <c r="Y341" i="1" s="1"/>
  <c r="T341" i="1"/>
  <c r="U341" i="1"/>
  <c r="V341" i="1"/>
  <c r="X341" i="1"/>
  <c r="S342" i="1"/>
  <c r="T342" i="1"/>
  <c r="U342" i="1"/>
  <c r="V342" i="1"/>
  <c r="X342" i="1"/>
  <c r="S343" i="1"/>
  <c r="Y343" i="1" s="1"/>
  <c r="T343" i="1"/>
  <c r="U343" i="1"/>
  <c r="V343" i="1"/>
  <c r="X343" i="1"/>
  <c r="S344" i="1"/>
  <c r="Y344" i="1" s="1"/>
  <c r="T344" i="1"/>
  <c r="U344" i="1"/>
  <c r="V344" i="1"/>
  <c r="X344" i="1"/>
  <c r="S345" i="1"/>
  <c r="T345" i="1"/>
  <c r="U345" i="1"/>
  <c r="V345" i="1"/>
  <c r="X345" i="1"/>
  <c r="S346" i="1"/>
  <c r="Y346" i="1" s="1"/>
  <c r="T346" i="1"/>
  <c r="U346" i="1"/>
  <c r="V346" i="1"/>
  <c r="X346" i="1"/>
  <c r="S347" i="1"/>
  <c r="Y347" i="1" s="1"/>
  <c r="T347" i="1"/>
  <c r="U347" i="1"/>
  <c r="V347" i="1"/>
  <c r="X347" i="1"/>
  <c r="S348" i="1"/>
  <c r="T348" i="1"/>
  <c r="U348" i="1"/>
  <c r="V348" i="1"/>
  <c r="X348" i="1"/>
  <c r="S349" i="1"/>
  <c r="T349" i="1"/>
  <c r="U349" i="1"/>
  <c r="V349" i="1"/>
  <c r="X349" i="1"/>
  <c r="S350" i="1"/>
  <c r="T350" i="1"/>
  <c r="U350" i="1"/>
  <c r="V350" i="1"/>
  <c r="X350" i="1"/>
  <c r="S351" i="1"/>
  <c r="Y351" i="1" s="1"/>
  <c r="T351" i="1"/>
  <c r="U351" i="1"/>
  <c r="V351" i="1"/>
  <c r="X351" i="1"/>
  <c r="S352" i="1"/>
  <c r="Y352" i="1" s="1"/>
  <c r="T352" i="1"/>
  <c r="U352" i="1"/>
  <c r="V352" i="1"/>
  <c r="X352" i="1"/>
  <c r="S353" i="1"/>
  <c r="T353" i="1"/>
  <c r="U353" i="1"/>
  <c r="V353" i="1"/>
  <c r="X353" i="1"/>
  <c r="S354" i="1"/>
  <c r="Y354" i="1" s="1"/>
  <c r="T354" i="1"/>
  <c r="U354" i="1"/>
  <c r="V354" i="1"/>
  <c r="X354" i="1"/>
  <c r="S355" i="1"/>
  <c r="Y355" i="1" s="1"/>
  <c r="T355" i="1"/>
  <c r="U355" i="1"/>
  <c r="V355" i="1"/>
  <c r="X355" i="1"/>
  <c r="S356" i="1"/>
  <c r="T356" i="1"/>
  <c r="U356" i="1"/>
  <c r="V356" i="1"/>
  <c r="X356" i="1"/>
  <c r="S357" i="1"/>
  <c r="T357" i="1"/>
  <c r="U357" i="1"/>
  <c r="V357" i="1"/>
  <c r="X357" i="1"/>
  <c r="S358" i="1"/>
  <c r="T358" i="1"/>
  <c r="U358" i="1"/>
  <c r="V358" i="1"/>
  <c r="X358" i="1"/>
  <c r="S359" i="1"/>
  <c r="Y359" i="1" s="1"/>
  <c r="T359" i="1"/>
  <c r="U359" i="1"/>
  <c r="V359" i="1"/>
  <c r="X359" i="1"/>
  <c r="S360" i="1"/>
  <c r="Y360" i="1" s="1"/>
  <c r="T360" i="1"/>
  <c r="U360" i="1"/>
  <c r="V360" i="1"/>
  <c r="X360" i="1"/>
  <c r="S361" i="1"/>
  <c r="T361" i="1"/>
  <c r="U361" i="1"/>
  <c r="V361" i="1"/>
  <c r="X361" i="1"/>
  <c r="S362" i="1"/>
  <c r="Y362" i="1" s="1"/>
  <c r="T362" i="1"/>
  <c r="U362" i="1"/>
  <c r="V362" i="1"/>
  <c r="X362" i="1"/>
  <c r="S363" i="1"/>
  <c r="Y363" i="1" s="1"/>
  <c r="T363" i="1"/>
  <c r="U363" i="1"/>
  <c r="V363" i="1"/>
  <c r="X363" i="1"/>
  <c r="S364" i="1"/>
  <c r="T364" i="1"/>
  <c r="U364" i="1"/>
  <c r="V364" i="1"/>
  <c r="X364" i="1"/>
  <c r="S365" i="1"/>
  <c r="T365" i="1"/>
  <c r="U365" i="1"/>
  <c r="V365" i="1"/>
  <c r="X365" i="1"/>
  <c r="S366" i="1"/>
  <c r="T366" i="1"/>
  <c r="U366" i="1"/>
  <c r="V366" i="1"/>
  <c r="X366" i="1"/>
  <c r="S367" i="1"/>
  <c r="Y367" i="1" s="1"/>
  <c r="T367" i="1"/>
  <c r="U367" i="1"/>
  <c r="V367" i="1"/>
  <c r="X367" i="1"/>
  <c r="S368" i="1"/>
  <c r="Y368" i="1" s="1"/>
  <c r="T368" i="1"/>
  <c r="U368" i="1"/>
  <c r="V368" i="1"/>
  <c r="X368" i="1"/>
  <c r="S369" i="1"/>
  <c r="T369" i="1"/>
  <c r="U369" i="1"/>
  <c r="V369" i="1"/>
  <c r="X369" i="1"/>
  <c r="S370" i="1"/>
  <c r="Y370" i="1" s="1"/>
  <c r="T370" i="1"/>
  <c r="U370" i="1"/>
  <c r="V370" i="1"/>
  <c r="X370" i="1"/>
  <c r="S371" i="1"/>
  <c r="Y371" i="1" s="1"/>
  <c r="T371" i="1"/>
  <c r="U371" i="1"/>
  <c r="V371" i="1"/>
  <c r="X371" i="1"/>
  <c r="S372" i="1"/>
  <c r="T372" i="1"/>
  <c r="U372" i="1"/>
  <c r="V372" i="1"/>
  <c r="X372" i="1"/>
  <c r="S373" i="1"/>
  <c r="T373" i="1"/>
  <c r="U373" i="1"/>
  <c r="V373" i="1"/>
  <c r="X373" i="1"/>
  <c r="S374" i="1"/>
  <c r="T374" i="1"/>
  <c r="U374" i="1"/>
  <c r="V374" i="1"/>
  <c r="X374" i="1"/>
  <c r="S375" i="1"/>
  <c r="Y375" i="1" s="1"/>
  <c r="T375" i="1"/>
  <c r="U375" i="1"/>
  <c r="V375" i="1"/>
  <c r="X375" i="1"/>
  <c r="S376" i="1"/>
  <c r="Y376" i="1" s="1"/>
  <c r="T376" i="1"/>
  <c r="U376" i="1"/>
  <c r="V376" i="1"/>
  <c r="X376" i="1"/>
  <c r="S377" i="1"/>
  <c r="T377" i="1"/>
  <c r="U377" i="1"/>
  <c r="V377" i="1"/>
  <c r="X377" i="1"/>
  <c r="S378" i="1"/>
  <c r="Y378" i="1" s="1"/>
  <c r="T378" i="1"/>
  <c r="U378" i="1"/>
  <c r="V378" i="1"/>
  <c r="X378" i="1"/>
  <c r="S379" i="1"/>
  <c r="Y379" i="1" s="1"/>
  <c r="T379" i="1"/>
  <c r="U379" i="1"/>
  <c r="V379" i="1"/>
  <c r="X379" i="1"/>
  <c r="S380" i="1"/>
  <c r="T380" i="1"/>
  <c r="U380" i="1"/>
  <c r="V380" i="1"/>
  <c r="X380" i="1"/>
  <c r="S381" i="1"/>
  <c r="T381" i="1"/>
  <c r="U381" i="1"/>
  <c r="V381" i="1"/>
  <c r="X381" i="1"/>
  <c r="S382" i="1"/>
  <c r="T382" i="1"/>
  <c r="U382" i="1"/>
  <c r="V382" i="1"/>
  <c r="X382" i="1"/>
  <c r="S383" i="1"/>
  <c r="Y383" i="1" s="1"/>
  <c r="T383" i="1"/>
  <c r="U383" i="1"/>
  <c r="V383" i="1"/>
  <c r="X383" i="1"/>
  <c r="S384" i="1"/>
  <c r="Y384" i="1" s="1"/>
  <c r="T384" i="1"/>
  <c r="U384" i="1"/>
  <c r="V384" i="1"/>
  <c r="X384" i="1"/>
  <c r="S385" i="1"/>
  <c r="T385" i="1"/>
  <c r="U385" i="1"/>
  <c r="V385" i="1"/>
  <c r="X385" i="1"/>
  <c r="S386" i="1"/>
  <c r="Y386" i="1" s="1"/>
  <c r="T386" i="1"/>
  <c r="U386" i="1"/>
  <c r="V386" i="1"/>
  <c r="X386" i="1"/>
  <c r="S387" i="1"/>
  <c r="Y387" i="1" s="1"/>
  <c r="T387" i="1"/>
  <c r="U387" i="1"/>
  <c r="V387" i="1"/>
  <c r="X387" i="1"/>
  <c r="S388" i="1"/>
  <c r="T388" i="1"/>
  <c r="U388" i="1"/>
  <c r="V388" i="1"/>
  <c r="X388" i="1"/>
  <c r="S389" i="1"/>
  <c r="T389" i="1"/>
  <c r="U389" i="1"/>
  <c r="V389" i="1"/>
  <c r="X389" i="1"/>
  <c r="S390" i="1"/>
  <c r="T390" i="1"/>
  <c r="U390" i="1"/>
  <c r="V390" i="1"/>
  <c r="X390" i="1"/>
  <c r="S391" i="1"/>
  <c r="Y391" i="1" s="1"/>
  <c r="T391" i="1"/>
  <c r="U391" i="1"/>
  <c r="V391" i="1"/>
  <c r="X391" i="1"/>
  <c r="S392" i="1"/>
  <c r="Y392" i="1" s="1"/>
  <c r="T392" i="1"/>
  <c r="U392" i="1"/>
  <c r="V392" i="1"/>
  <c r="X392" i="1"/>
  <c r="S393" i="1"/>
  <c r="T393" i="1"/>
  <c r="U393" i="1"/>
  <c r="V393" i="1"/>
  <c r="X393" i="1"/>
  <c r="S394" i="1"/>
  <c r="Y394" i="1" s="1"/>
  <c r="T394" i="1"/>
  <c r="U394" i="1"/>
  <c r="V394" i="1"/>
  <c r="X394" i="1"/>
  <c r="S395" i="1"/>
  <c r="Y395" i="1" s="1"/>
  <c r="T395" i="1"/>
  <c r="U395" i="1"/>
  <c r="V395" i="1"/>
  <c r="X395" i="1"/>
  <c r="S396" i="1"/>
  <c r="T396" i="1"/>
  <c r="U396" i="1"/>
  <c r="V396" i="1"/>
  <c r="X396" i="1"/>
  <c r="S397" i="1"/>
  <c r="T397" i="1"/>
  <c r="U397" i="1"/>
  <c r="V397" i="1"/>
  <c r="X397" i="1"/>
  <c r="S398" i="1"/>
  <c r="T398" i="1"/>
  <c r="U398" i="1"/>
  <c r="V398" i="1"/>
  <c r="X398" i="1"/>
  <c r="S399" i="1"/>
  <c r="T399" i="1"/>
  <c r="U399" i="1"/>
  <c r="V399" i="1"/>
  <c r="X399" i="1"/>
  <c r="S400" i="1"/>
  <c r="Y400" i="1" s="1"/>
  <c r="T400" i="1"/>
  <c r="U400" i="1"/>
  <c r="V400" i="1"/>
  <c r="X400" i="1"/>
  <c r="S401" i="1"/>
  <c r="Y401" i="1" s="1"/>
  <c r="T401" i="1"/>
  <c r="U401" i="1"/>
  <c r="V401" i="1"/>
  <c r="X401" i="1"/>
  <c r="S402" i="1"/>
  <c r="Y402" i="1" s="1"/>
  <c r="T402" i="1"/>
  <c r="U402" i="1"/>
  <c r="V402" i="1"/>
  <c r="X402" i="1"/>
  <c r="S403" i="1"/>
  <c r="Y403" i="1" s="1"/>
  <c r="T403" i="1"/>
  <c r="U403" i="1"/>
  <c r="V403" i="1"/>
  <c r="X403" i="1"/>
  <c r="S404" i="1"/>
  <c r="Y404" i="1" s="1"/>
  <c r="T404" i="1"/>
  <c r="U404" i="1"/>
  <c r="V404" i="1"/>
  <c r="X404" i="1"/>
  <c r="S405" i="1"/>
  <c r="T405" i="1"/>
  <c r="U405" i="1"/>
  <c r="V405" i="1"/>
  <c r="X405" i="1"/>
  <c r="S406" i="1"/>
  <c r="T406" i="1"/>
  <c r="U406" i="1"/>
  <c r="V406" i="1"/>
  <c r="X406" i="1"/>
  <c r="S407" i="1"/>
  <c r="T407" i="1"/>
  <c r="U407" i="1"/>
  <c r="V407" i="1"/>
  <c r="X407" i="1"/>
  <c r="S408" i="1"/>
  <c r="Y408" i="1" s="1"/>
  <c r="T408" i="1"/>
  <c r="U408" i="1"/>
  <c r="V408" i="1"/>
  <c r="X408" i="1"/>
  <c r="S409" i="1"/>
  <c r="Y409" i="1" s="1"/>
  <c r="T409" i="1"/>
  <c r="U409" i="1"/>
  <c r="V409" i="1"/>
  <c r="X409" i="1"/>
  <c r="S410" i="1"/>
  <c r="Y410" i="1" s="1"/>
  <c r="T410" i="1"/>
  <c r="U410" i="1"/>
  <c r="V410" i="1"/>
  <c r="X410" i="1"/>
  <c r="S411" i="1"/>
  <c r="Y411" i="1" s="1"/>
  <c r="T411" i="1"/>
  <c r="U411" i="1"/>
  <c r="V411" i="1"/>
  <c r="X411" i="1"/>
  <c r="S412" i="1"/>
  <c r="Y412" i="1" s="1"/>
  <c r="T412" i="1"/>
  <c r="U412" i="1"/>
  <c r="V412" i="1"/>
  <c r="X412" i="1"/>
  <c r="S413" i="1"/>
  <c r="T413" i="1"/>
  <c r="U413" i="1"/>
  <c r="V413" i="1"/>
  <c r="X413" i="1"/>
  <c r="S414" i="1"/>
  <c r="T414" i="1"/>
  <c r="U414" i="1"/>
  <c r="V414" i="1"/>
  <c r="X414" i="1"/>
  <c r="S415" i="1"/>
  <c r="T415" i="1"/>
  <c r="U415" i="1"/>
  <c r="V415" i="1"/>
  <c r="X415" i="1"/>
  <c r="S416" i="1"/>
  <c r="Y416" i="1" s="1"/>
  <c r="T416" i="1"/>
  <c r="U416" i="1"/>
  <c r="V416" i="1"/>
  <c r="X416" i="1"/>
  <c r="S417" i="1"/>
  <c r="Y417" i="1" s="1"/>
  <c r="T417" i="1"/>
  <c r="U417" i="1"/>
  <c r="V417" i="1"/>
  <c r="X417" i="1"/>
  <c r="S418" i="1"/>
  <c r="Y418" i="1" s="1"/>
  <c r="T418" i="1"/>
  <c r="U418" i="1"/>
  <c r="V418" i="1"/>
  <c r="X418" i="1"/>
  <c r="S419" i="1"/>
  <c r="Y419" i="1" s="1"/>
  <c r="T419" i="1"/>
  <c r="U419" i="1"/>
  <c r="V419" i="1"/>
  <c r="X419" i="1"/>
  <c r="S420" i="1"/>
  <c r="Y420" i="1" s="1"/>
  <c r="T420" i="1"/>
  <c r="U420" i="1"/>
  <c r="V420" i="1"/>
  <c r="X420" i="1"/>
  <c r="S421" i="1"/>
  <c r="T421" i="1"/>
  <c r="U421" i="1"/>
  <c r="V421" i="1"/>
  <c r="X421" i="1"/>
  <c r="S422" i="1"/>
  <c r="T422" i="1"/>
  <c r="U422" i="1"/>
  <c r="V422" i="1"/>
  <c r="X422" i="1"/>
  <c r="S423" i="1"/>
  <c r="T423" i="1"/>
  <c r="U423" i="1"/>
  <c r="V423" i="1"/>
  <c r="X423" i="1"/>
  <c r="S424" i="1"/>
  <c r="Y424" i="1" s="1"/>
  <c r="T424" i="1"/>
  <c r="U424" i="1"/>
  <c r="V424" i="1"/>
  <c r="X424" i="1"/>
  <c r="S425" i="1"/>
  <c r="Y425" i="1" s="1"/>
  <c r="T425" i="1"/>
  <c r="U425" i="1"/>
  <c r="V425" i="1"/>
  <c r="X425" i="1"/>
  <c r="S426" i="1"/>
  <c r="Y426" i="1" s="1"/>
  <c r="T426" i="1"/>
  <c r="U426" i="1"/>
  <c r="V426" i="1"/>
  <c r="X426" i="1"/>
  <c r="S427" i="1"/>
  <c r="Y427" i="1" s="1"/>
  <c r="T427" i="1"/>
  <c r="U427" i="1"/>
  <c r="V427" i="1"/>
  <c r="X427" i="1"/>
  <c r="S428" i="1"/>
  <c r="Y428" i="1" s="1"/>
  <c r="T428" i="1"/>
  <c r="U428" i="1"/>
  <c r="V428" i="1"/>
  <c r="X428" i="1"/>
  <c r="S429" i="1"/>
  <c r="T429" i="1"/>
  <c r="U429" i="1"/>
  <c r="V429" i="1"/>
  <c r="X429" i="1"/>
  <c r="S430" i="1"/>
  <c r="T430" i="1"/>
  <c r="U430" i="1"/>
  <c r="V430" i="1"/>
  <c r="X430" i="1"/>
  <c r="S431" i="1"/>
  <c r="T431" i="1"/>
  <c r="U431" i="1"/>
  <c r="V431" i="1"/>
  <c r="X431" i="1"/>
  <c r="S432" i="1"/>
  <c r="Y432" i="1" s="1"/>
  <c r="T432" i="1"/>
  <c r="U432" i="1"/>
  <c r="V432" i="1"/>
  <c r="X432" i="1"/>
  <c r="S433" i="1"/>
  <c r="Y433" i="1" s="1"/>
  <c r="T433" i="1"/>
  <c r="U433" i="1"/>
  <c r="V433" i="1"/>
  <c r="X433" i="1"/>
  <c r="S434" i="1"/>
  <c r="Y434" i="1" s="1"/>
  <c r="T434" i="1"/>
  <c r="U434" i="1"/>
  <c r="V434" i="1"/>
  <c r="X434" i="1"/>
  <c r="S435" i="1"/>
  <c r="Y435" i="1" s="1"/>
  <c r="T435" i="1"/>
  <c r="U435" i="1"/>
  <c r="V435" i="1"/>
  <c r="X435" i="1"/>
  <c r="S436" i="1"/>
  <c r="Y436" i="1" s="1"/>
  <c r="T436" i="1"/>
  <c r="U436" i="1"/>
  <c r="V436" i="1"/>
  <c r="X436" i="1"/>
  <c r="S437" i="1"/>
  <c r="T437" i="1"/>
  <c r="U437" i="1"/>
  <c r="V437" i="1"/>
  <c r="X437" i="1"/>
  <c r="S438" i="1"/>
  <c r="T438" i="1"/>
  <c r="U438" i="1"/>
  <c r="V438" i="1"/>
  <c r="X438" i="1"/>
  <c r="S439" i="1"/>
  <c r="T439" i="1"/>
  <c r="U439" i="1"/>
  <c r="V439" i="1"/>
  <c r="X439" i="1"/>
  <c r="S440" i="1"/>
  <c r="Y440" i="1" s="1"/>
  <c r="T440" i="1"/>
  <c r="U440" i="1"/>
  <c r="V440" i="1"/>
  <c r="X440" i="1"/>
  <c r="S441" i="1"/>
  <c r="Y441" i="1" s="1"/>
  <c r="T441" i="1"/>
  <c r="U441" i="1"/>
  <c r="V441" i="1"/>
  <c r="X441" i="1"/>
  <c r="S442" i="1"/>
  <c r="Y442" i="1" s="1"/>
  <c r="T442" i="1"/>
  <c r="U442" i="1"/>
  <c r="V442" i="1"/>
  <c r="X442" i="1"/>
  <c r="S443" i="1"/>
  <c r="Y443" i="1" s="1"/>
  <c r="T443" i="1"/>
  <c r="U443" i="1"/>
  <c r="V443" i="1"/>
  <c r="X443" i="1"/>
  <c r="S444" i="1"/>
  <c r="Y444" i="1" s="1"/>
  <c r="T444" i="1"/>
  <c r="U444" i="1"/>
  <c r="V444" i="1"/>
  <c r="X444" i="1"/>
  <c r="S445" i="1"/>
  <c r="T445" i="1"/>
  <c r="U445" i="1"/>
  <c r="V445" i="1"/>
  <c r="X445" i="1"/>
  <c r="S446" i="1"/>
  <c r="T446" i="1"/>
  <c r="U446" i="1"/>
  <c r="V446" i="1"/>
  <c r="X446" i="1"/>
  <c r="S447" i="1"/>
  <c r="T447" i="1"/>
  <c r="U447" i="1"/>
  <c r="V447" i="1"/>
  <c r="X447" i="1"/>
  <c r="S448" i="1"/>
  <c r="Y448" i="1" s="1"/>
  <c r="T448" i="1"/>
  <c r="U448" i="1"/>
  <c r="V448" i="1"/>
  <c r="X448" i="1"/>
  <c r="S449" i="1"/>
  <c r="Y449" i="1" s="1"/>
  <c r="T449" i="1"/>
  <c r="U449" i="1"/>
  <c r="V449" i="1"/>
  <c r="X449" i="1"/>
  <c r="S450" i="1"/>
  <c r="Y450" i="1" s="1"/>
  <c r="T450" i="1"/>
  <c r="U450" i="1"/>
  <c r="V450" i="1"/>
  <c r="X450" i="1"/>
  <c r="S451" i="1"/>
  <c r="Y451" i="1" s="1"/>
  <c r="T451" i="1"/>
  <c r="U451" i="1"/>
  <c r="V451" i="1"/>
  <c r="X451" i="1"/>
  <c r="S452" i="1"/>
  <c r="Y452" i="1" s="1"/>
  <c r="T452" i="1"/>
  <c r="U452" i="1"/>
  <c r="V452" i="1"/>
  <c r="X452" i="1"/>
  <c r="S453" i="1"/>
  <c r="T453" i="1"/>
  <c r="U453" i="1"/>
  <c r="V453" i="1"/>
  <c r="X453" i="1"/>
  <c r="S454" i="1"/>
  <c r="T454" i="1"/>
  <c r="U454" i="1"/>
  <c r="V454" i="1"/>
  <c r="X454" i="1"/>
  <c r="S455" i="1"/>
  <c r="T455" i="1"/>
  <c r="U455" i="1"/>
  <c r="V455" i="1"/>
  <c r="X455" i="1"/>
  <c r="S456" i="1"/>
  <c r="T456" i="1"/>
  <c r="U456" i="1"/>
  <c r="V456" i="1"/>
  <c r="X456" i="1"/>
  <c r="S457" i="1"/>
  <c r="T457" i="1"/>
  <c r="U457" i="1"/>
  <c r="V457" i="1"/>
  <c r="X457" i="1"/>
  <c r="S458" i="1"/>
  <c r="T458" i="1"/>
  <c r="U458" i="1"/>
  <c r="V458" i="1"/>
  <c r="X458" i="1"/>
  <c r="S459" i="1"/>
  <c r="T459" i="1"/>
  <c r="U459" i="1"/>
  <c r="V459" i="1"/>
  <c r="X459" i="1"/>
  <c r="S460" i="1"/>
  <c r="T460" i="1"/>
  <c r="U460" i="1"/>
  <c r="V460" i="1"/>
  <c r="X460" i="1"/>
  <c r="S461" i="1"/>
  <c r="T461" i="1"/>
  <c r="U461" i="1"/>
  <c r="V461" i="1"/>
  <c r="X461" i="1"/>
  <c r="S462" i="1"/>
  <c r="T462" i="1"/>
  <c r="U462" i="1"/>
  <c r="V462" i="1"/>
  <c r="X462" i="1"/>
  <c r="S463" i="1"/>
  <c r="T463" i="1"/>
  <c r="U463" i="1"/>
  <c r="V463" i="1"/>
  <c r="X463" i="1"/>
  <c r="S464" i="1"/>
  <c r="T464" i="1"/>
  <c r="U464" i="1"/>
  <c r="V464" i="1"/>
  <c r="X464" i="1"/>
  <c r="S465" i="1"/>
  <c r="T465" i="1"/>
  <c r="U465" i="1"/>
  <c r="V465" i="1"/>
  <c r="X465" i="1"/>
  <c r="S466" i="1"/>
  <c r="T466" i="1"/>
  <c r="U466" i="1"/>
  <c r="V466" i="1"/>
  <c r="X466" i="1"/>
  <c r="S467" i="1"/>
  <c r="T467" i="1"/>
  <c r="U467" i="1"/>
  <c r="V467" i="1"/>
  <c r="X467" i="1"/>
  <c r="S468" i="1"/>
  <c r="T468" i="1"/>
  <c r="U468" i="1"/>
  <c r="V468" i="1"/>
  <c r="X468" i="1"/>
  <c r="S469" i="1"/>
  <c r="T469" i="1"/>
  <c r="U469" i="1"/>
  <c r="V469" i="1"/>
  <c r="X469" i="1"/>
  <c r="S470" i="1"/>
  <c r="T470" i="1"/>
  <c r="U470" i="1"/>
  <c r="V470" i="1"/>
  <c r="X470" i="1"/>
  <c r="S471" i="1"/>
  <c r="T471" i="1"/>
  <c r="U471" i="1"/>
  <c r="V471" i="1"/>
  <c r="X471" i="1"/>
  <c r="S472" i="1"/>
  <c r="T472" i="1"/>
  <c r="U472" i="1"/>
  <c r="V472" i="1"/>
  <c r="X472" i="1"/>
  <c r="S473" i="1"/>
  <c r="T473" i="1"/>
  <c r="U473" i="1"/>
  <c r="V473" i="1"/>
  <c r="X473" i="1"/>
  <c r="S474" i="1"/>
  <c r="T474" i="1"/>
  <c r="U474" i="1"/>
  <c r="V474" i="1"/>
  <c r="X474" i="1"/>
  <c r="S475" i="1"/>
  <c r="T475" i="1"/>
  <c r="U475" i="1"/>
  <c r="V475" i="1"/>
  <c r="X475" i="1"/>
  <c r="S476" i="1"/>
  <c r="T476" i="1"/>
  <c r="U476" i="1"/>
  <c r="V476" i="1"/>
  <c r="X476" i="1"/>
  <c r="S477" i="1"/>
  <c r="T477" i="1"/>
  <c r="U477" i="1"/>
  <c r="V477" i="1"/>
  <c r="X477" i="1"/>
  <c r="S478" i="1"/>
  <c r="T478" i="1"/>
  <c r="U478" i="1"/>
  <c r="V478" i="1"/>
  <c r="X478" i="1"/>
  <c r="S479" i="1"/>
  <c r="T479" i="1"/>
  <c r="U479" i="1"/>
  <c r="V479" i="1"/>
  <c r="X479" i="1"/>
  <c r="S480" i="1"/>
  <c r="T480" i="1"/>
  <c r="U480" i="1"/>
  <c r="V480" i="1"/>
  <c r="X480" i="1"/>
  <c r="S481" i="1"/>
  <c r="T481" i="1"/>
  <c r="U481" i="1"/>
  <c r="V481" i="1"/>
  <c r="X481" i="1"/>
  <c r="S482" i="1"/>
  <c r="T482" i="1"/>
  <c r="U482" i="1"/>
  <c r="V482" i="1"/>
  <c r="X482" i="1"/>
  <c r="S483" i="1"/>
  <c r="T483" i="1"/>
  <c r="U483" i="1"/>
  <c r="V483" i="1"/>
  <c r="X483" i="1"/>
  <c r="S484" i="1"/>
  <c r="T484" i="1"/>
  <c r="U484" i="1"/>
  <c r="V484" i="1"/>
  <c r="X484" i="1"/>
  <c r="S485" i="1"/>
  <c r="T485" i="1"/>
  <c r="U485" i="1"/>
  <c r="V485" i="1"/>
  <c r="X485" i="1"/>
  <c r="S486" i="1"/>
  <c r="T486" i="1"/>
  <c r="U486" i="1"/>
  <c r="V486" i="1"/>
  <c r="X486" i="1"/>
  <c r="S487" i="1"/>
  <c r="T487" i="1"/>
  <c r="U487" i="1"/>
  <c r="V487" i="1"/>
  <c r="X487" i="1"/>
  <c r="S488" i="1"/>
  <c r="T488" i="1"/>
  <c r="U488" i="1"/>
  <c r="V488" i="1"/>
  <c r="X488" i="1"/>
  <c r="S489" i="1"/>
  <c r="T489" i="1"/>
  <c r="U489" i="1"/>
  <c r="V489" i="1"/>
  <c r="X489" i="1"/>
  <c r="S490" i="1"/>
  <c r="T490" i="1"/>
  <c r="U490" i="1"/>
  <c r="V490" i="1"/>
  <c r="X490" i="1"/>
  <c r="S491" i="1"/>
  <c r="T491" i="1"/>
  <c r="U491" i="1"/>
  <c r="V491" i="1"/>
  <c r="X491" i="1"/>
  <c r="S492" i="1"/>
  <c r="T492" i="1"/>
  <c r="U492" i="1"/>
  <c r="V492" i="1"/>
  <c r="X492" i="1"/>
  <c r="S493" i="1"/>
  <c r="T493" i="1"/>
  <c r="U493" i="1"/>
  <c r="V493" i="1"/>
  <c r="X493" i="1"/>
  <c r="S494" i="1"/>
  <c r="T494" i="1"/>
  <c r="U494" i="1"/>
  <c r="V494" i="1"/>
  <c r="X494" i="1"/>
  <c r="S495" i="1"/>
  <c r="T495" i="1"/>
  <c r="U495" i="1"/>
  <c r="V495" i="1"/>
  <c r="X495" i="1"/>
  <c r="S496" i="1"/>
  <c r="T496" i="1"/>
  <c r="U496" i="1"/>
  <c r="V496" i="1"/>
  <c r="X496" i="1"/>
  <c r="S497" i="1"/>
  <c r="T497" i="1"/>
  <c r="U497" i="1"/>
  <c r="V497" i="1"/>
  <c r="X497" i="1"/>
  <c r="S498" i="1"/>
  <c r="T498" i="1"/>
  <c r="U498" i="1"/>
  <c r="V498" i="1"/>
  <c r="X498" i="1"/>
  <c r="S499" i="1"/>
  <c r="T499" i="1"/>
  <c r="U499" i="1"/>
  <c r="V499" i="1"/>
  <c r="X499" i="1"/>
  <c r="S500" i="1"/>
  <c r="T500" i="1"/>
  <c r="U500" i="1"/>
  <c r="V500" i="1"/>
  <c r="X500" i="1"/>
  <c r="S501" i="1"/>
  <c r="T501" i="1"/>
  <c r="U501" i="1"/>
  <c r="V501" i="1"/>
  <c r="X501" i="1"/>
  <c r="S502" i="1"/>
  <c r="T502" i="1"/>
  <c r="U502" i="1"/>
  <c r="V502" i="1"/>
  <c r="X502" i="1"/>
  <c r="S503" i="1"/>
  <c r="T503" i="1"/>
  <c r="U503" i="1"/>
  <c r="V503" i="1"/>
  <c r="X503" i="1"/>
  <c r="S504" i="1"/>
  <c r="T504" i="1"/>
  <c r="U504" i="1"/>
  <c r="V504" i="1"/>
  <c r="X504" i="1"/>
  <c r="S505" i="1"/>
  <c r="T505" i="1"/>
  <c r="U505" i="1"/>
  <c r="V505" i="1"/>
  <c r="X505" i="1"/>
  <c r="S506" i="1"/>
  <c r="T506" i="1"/>
  <c r="U506" i="1"/>
  <c r="V506" i="1"/>
  <c r="X506" i="1"/>
  <c r="S507" i="1"/>
  <c r="T507" i="1"/>
  <c r="U507" i="1"/>
  <c r="V507" i="1"/>
  <c r="X507" i="1"/>
  <c r="S508" i="1"/>
  <c r="T508" i="1"/>
  <c r="U508" i="1"/>
  <c r="V508" i="1"/>
  <c r="X508" i="1"/>
  <c r="S509" i="1"/>
  <c r="T509" i="1"/>
  <c r="U509" i="1"/>
  <c r="V509" i="1"/>
  <c r="X509" i="1"/>
  <c r="S510" i="1"/>
  <c r="T510" i="1"/>
  <c r="U510" i="1"/>
  <c r="V510" i="1"/>
  <c r="X510" i="1"/>
  <c r="S511" i="1"/>
  <c r="T511" i="1"/>
  <c r="U511" i="1"/>
  <c r="V511" i="1"/>
  <c r="X511" i="1"/>
  <c r="S512" i="1"/>
  <c r="T512" i="1"/>
  <c r="U512" i="1"/>
  <c r="V512" i="1"/>
  <c r="X512" i="1"/>
  <c r="S513" i="1"/>
  <c r="T513" i="1"/>
  <c r="U513" i="1"/>
  <c r="V513" i="1"/>
  <c r="X513" i="1"/>
  <c r="S514" i="1"/>
  <c r="T514" i="1"/>
  <c r="U514" i="1"/>
  <c r="V514" i="1"/>
  <c r="X514" i="1"/>
  <c r="S515" i="1"/>
  <c r="T515" i="1"/>
  <c r="U515" i="1"/>
  <c r="V515" i="1"/>
  <c r="X515" i="1"/>
  <c r="S516" i="1"/>
  <c r="T516" i="1"/>
  <c r="U516" i="1"/>
  <c r="V516" i="1"/>
  <c r="X516" i="1"/>
  <c r="S517" i="1"/>
  <c r="T517" i="1"/>
  <c r="U517" i="1"/>
  <c r="V517" i="1"/>
  <c r="X517" i="1"/>
  <c r="S518" i="1"/>
  <c r="T518" i="1"/>
  <c r="U518" i="1"/>
  <c r="V518" i="1"/>
  <c r="X518" i="1"/>
  <c r="S519" i="1"/>
  <c r="T519" i="1"/>
  <c r="U519" i="1"/>
  <c r="V519" i="1"/>
  <c r="X519" i="1"/>
  <c r="S520" i="1"/>
  <c r="T520" i="1"/>
  <c r="U520" i="1"/>
  <c r="V520" i="1"/>
  <c r="X520" i="1"/>
  <c r="S521" i="1"/>
  <c r="T521" i="1"/>
  <c r="U521" i="1"/>
  <c r="V521" i="1"/>
  <c r="X521" i="1"/>
  <c r="S522" i="1"/>
  <c r="T522" i="1"/>
  <c r="U522" i="1"/>
  <c r="V522" i="1"/>
  <c r="X522" i="1"/>
  <c r="S523" i="1"/>
  <c r="T523" i="1"/>
  <c r="U523" i="1"/>
  <c r="V523" i="1"/>
  <c r="X523" i="1"/>
  <c r="S524" i="1"/>
  <c r="T524" i="1"/>
  <c r="U524" i="1"/>
  <c r="V524" i="1"/>
  <c r="X524" i="1"/>
  <c r="S525" i="1"/>
  <c r="T525" i="1"/>
  <c r="U525" i="1"/>
  <c r="V525" i="1"/>
  <c r="X525" i="1"/>
  <c r="S526" i="1"/>
  <c r="T526" i="1"/>
  <c r="U526" i="1"/>
  <c r="V526" i="1"/>
  <c r="X526" i="1"/>
  <c r="S527" i="1"/>
  <c r="T527" i="1"/>
  <c r="U527" i="1"/>
  <c r="V527" i="1"/>
  <c r="X527" i="1"/>
  <c r="S528" i="1"/>
  <c r="T528" i="1"/>
  <c r="U528" i="1"/>
  <c r="V528" i="1"/>
  <c r="X528" i="1"/>
  <c r="S529" i="1"/>
  <c r="T529" i="1"/>
  <c r="U529" i="1"/>
  <c r="V529" i="1"/>
  <c r="X529" i="1"/>
  <c r="S530" i="1"/>
  <c r="T530" i="1"/>
  <c r="U530" i="1"/>
  <c r="V530" i="1"/>
  <c r="X530" i="1"/>
  <c r="S531" i="1"/>
  <c r="T531" i="1"/>
  <c r="U531" i="1"/>
  <c r="V531" i="1"/>
  <c r="X531" i="1"/>
  <c r="S532" i="1"/>
  <c r="T532" i="1"/>
  <c r="U532" i="1"/>
  <c r="V532" i="1"/>
  <c r="X532" i="1"/>
  <c r="S533" i="1"/>
  <c r="T533" i="1"/>
  <c r="U533" i="1"/>
  <c r="V533" i="1"/>
  <c r="X533" i="1"/>
  <c r="S534" i="1"/>
  <c r="T534" i="1"/>
  <c r="U534" i="1"/>
  <c r="V534" i="1"/>
  <c r="X534" i="1"/>
  <c r="S535" i="1"/>
  <c r="T535" i="1"/>
  <c r="U535" i="1"/>
  <c r="V535" i="1"/>
  <c r="X535" i="1"/>
  <c r="S536" i="1"/>
  <c r="T536" i="1"/>
  <c r="U536" i="1"/>
  <c r="V536" i="1"/>
  <c r="X536" i="1"/>
  <c r="S537" i="1"/>
  <c r="T537" i="1"/>
  <c r="U537" i="1"/>
  <c r="V537" i="1"/>
  <c r="X537" i="1"/>
  <c r="S538" i="1"/>
  <c r="T538" i="1"/>
  <c r="U538" i="1"/>
  <c r="V538" i="1"/>
  <c r="X538" i="1"/>
  <c r="S539" i="1"/>
  <c r="T539" i="1"/>
  <c r="U539" i="1"/>
  <c r="V539" i="1"/>
  <c r="X539" i="1"/>
  <c r="S540" i="1"/>
  <c r="T540" i="1"/>
  <c r="U540" i="1"/>
  <c r="V540" i="1"/>
  <c r="X540" i="1"/>
  <c r="S541" i="1"/>
  <c r="T541" i="1"/>
  <c r="U541" i="1"/>
  <c r="V541" i="1"/>
  <c r="X541" i="1"/>
  <c r="S542" i="1"/>
  <c r="T542" i="1"/>
  <c r="U542" i="1"/>
  <c r="V542" i="1"/>
  <c r="X542" i="1"/>
  <c r="S543" i="1"/>
  <c r="T543" i="1"/>
  <c r="U543" i="1"/>
  <c r="V543" i="1"/>
  <c r="X543" i="1"/>
  <c r="S544" i="1"/>
  <c r="T544" i="1"/>
  <c r="U544" i="1"/>
  <c r="V544" i="1"/>
  <c r="X544" i="1"/>
  <c r="S545" i="1"/>
  <c r="T545" i="1"/>
  <c r="U545" i="1"/>
  <c r="V545" i="1"/>
  <c r="X545" i="1"/>
  <c r="S546" i="1"/>
  <c r="T546" i="1"/>
  <c r="U546" i="1"/>
  <c r="V546" i="1"/>
  <c r="X546" i="1"/>
  <c r="S547" i="1"/>
  <c r="T547" i="1"/>
  <c r="U547" i="1"/>
  <c r="V547" i="1"/>
  <c r="X547" i="1"/>
  <c r="S548" i="1"/>
  <c r="T548" i="1"/>
  <c r="U548" i="1"/>
  <c r="V548" i="1"/>
  <c r="X548" i="1"/>
  <c r="S549" i="1"/>
  <c r="T549" i="1"/>
  <c r="U549" i="1"/>
  <c r="V549" i="1"/>
  <c r="X549" i="1"/>
  <c r="S550" i="1"/>
  <c r="T550" i="1"/>
  <c r="U550" i="1"/>
  <c r="V550" i="1"/>
  <c r="X550" i="1"/>
  <c r="S551" i="1"/>
  <c r="T551" i="1"/>
  <c r="U551" i="1"/>
  <c r="V551" i="1"/>
  <c r="X551" i="1"/>
  <c r="S552" i="1"/>
  <c r="T552" i="1"/>
  <c r="U552" i="1"/>
  <c r="V552" i="1"/>
  <c r="X552" i="1"/>
  <c r="S553" i="1"/>
  <c r="T553" i="1"/>
  <c r="U553" i="1"/>
  <c r="V553" i="1"/>
  <c r="X553" i="1"/>
  <c r="S554" i="1"/>
  <c r="T554" i="1"/>
  <c r="U554" i="1"/>
  <c r="V554" i="1"/>
  <c r="X554" i="1"/>
  <c r="S555" i="1"/>
  <c r="T555" i="1"/>
  <c r="U555" i="1"/>
  <c r="V555" i="1"/>
  <c r="X555" i="1"/>
  <c r="S556" i="1"/>
  <c r="T556" i="1"/>
  <c r="U556" i="1"/>
  <c r="V556" i="1"/>
  <c r="X556" i="1"/>
  <c r="S557" i="1"/>
  <c r="T557" i="1"/>
  <c r="U557" i="1"/>
  <c r="V557" i="1"/>
  <c r="X557" i="1"/>
  <c r="S558" i="1"/>
  <c r="T558" i="1"/>
  <c r="U558" i="1"/>
  <c r="V558" i="1"/>
  <c r="X558" i="1"/>
  <c r="S559" i="1"/>
  <c r="T559" i="1"/>
  <c r="U559" i="1"/>
  <c r="V559" i="1"/>
  <c r="X559" i="1"/>
  <c r="S560" i="1"/>
  <c r="T560" i="1"/>
  <c r="U560" i="1"/>
  <c r="V560" i="1"/>
  <c r="X560" i="1"/>
  <c r="S561" i="1"/>
  <c r="T561" i="1"/>
  <c r="U561" i="1"/>
  <c r="V561" i="1"/>
  <c r="X561" i="1"/>
  <c r="S562" i="1"/>
  <c r="T562" i="1"/>
  <c r="U562" i="1"/>
  <c r="V562" i="1"/>
  <c r="X562" i="1"/>
  <c r="S563" i="1"/>
  <c r="T563" i="1"/>
  <c r="U563" i="1"/>
  <c r="V563" i="1"/>
  <c r="X563" i="1"/>
  <c r="S564" i="1"/>
  <c r="T564" i="1"/>
  <c r="U564" i="1"/>
  <c r="V564" i="1"/>
  <c r="X564" i="1"/>
  <c r="S565" i="1"/>
  <c r="T565" i="1"/>
  <c r="U565" i="1"/>
  <c r="V565" i="1"/>
  <c r="X565" i="1"/>
  <c r="S566" i="1"/>
  <c r="T566" i="1"/>
  <c r="U566" i="1"/>
  <c r="V566" i="1"/>
  <c r="X566" i="1"/>
  <c r="S567" i="1"/>
  <c r="T567" i="1"/>
  <c r="U567" i="1"/>
  <c r="V567" i="1"/>
  <c r="X567" i="1"/>
  <c r="S568" i="1"/>
  <c r="T568" i="1"/>
  <c r="U568" i="1"/>
  <c r="V568" i="1"/>
  <c r="X568" i="1"/>
  <c r="S569" i="1"/>
  <c r="T569" i="1"/>
  <c r="U569" i="1"/>
  <c r="V569" i="1"/>
  <c r="X569" i="1"/>
  <c r="S570" i="1"/>
  <c r="T570" i="1"/>
  <c r="U570" i="1"/>
  <c r="V570" i="1"/>
  <c r="X570" i="1"/>
  <c r="S571" i="1"/>
  <c r="T571" i="1"/>
  <c r="U571" i="1"/>
  <c r="V571" i="1"/>
  <c r="X571" i="1"/>
  <c r="S572" i="1"/>
  <c r="T572" i="1"/>
  <c r="U572" i="1"/>
  <c r="V572" i="1"/>
  <c r="X572" i="1"/>
  <c r="S573" i="1"/>
  <c r="T573" i="1"/>
  <c r="U573" i="1"/>
  <c r="V573" i="1"/>
  <c r="X573" i="1"/>
  <c r="S574" i="1"/>
  <c r="T574" i="1"/>
  <c r="U574" i="1"/>
  <c r="V574" i="1"/>
  <c r="X574" i="1"/>
  <c r="S575" i="1"/>
  <c r="T575" i="1"/>
  <c r="U575" i="1"/>
  <c r="V575" i="1"/>
  <c r="X575" i="1"/>
  <c r="S576" i="1"/>
  <c r="T576" i="1"/>
  <c r="U576" i="1"/>
  <c r="V576" i="1"/>
  <c r="X576" i="1"/>
  <c r="S577" i="1"/>
  <c r="T577" i="1"/>
  <c r="U577" i="1"/>
  <c r="V577" i="1"/>
  <c r="X577" i="1"/>
  <c r="S578" i="1"/>
  <c r="T578" i="1"/>
  <c r="U578" i="1"/>
  <c r="V578" i="1"/>
  <c r="X578" i="1"/>
  <c r="S579" i="1"/>
  <c r="T579" i="1"/>
  <c r="U579" i="1"/>
  <c r="V579" i="1"/>
  <c r="X579" i="1"/>
  <c r="S580" i="1"/>
  <c r="T580" i="1"/>
  <c r="U580" i="1"/>
  <c r="V580" i="1"/>
  <c r="X580" i="1"/>
  <c r="S581" i="1"/>
  <c r="T581" i="1"/>
  <c r="U581" i="1"/>
  <c r="V581" i="1"/>
  <c r="X581" i="1"/>
  <c r="S582" i="1"/>
  <c r="T582" i="1"/>
  <c r="U582" i="1"/>
  <c r="V582" i="1"/>
  <c r="X582" i="1"/>
  <c r="Y582" i="1"/>
  <c r="S583" i="1"/>
  <c r="Y583" i="1" s="1"/>
  <c r="T583" i="1"/>
  <c r="U583" i="1"/>
  <c r="V583" i="1"/>
  <c r="X583" i="1"/>
  <c r="S584" i="1"/>
  <c r="T584" i="1"/>
  <c r="U584" i="1"/>
  <c r="V584" i="1"/>
  <c r="X584" i="1"/>
  <c r="Y584" i="1"/>
  <c r="S585" i="1"/>
  <c r="T585" i="1"/>
  <c r="U585" i="1"/>
  <c r="V585" i="1"/>
  <c r="X585" i="1"/>
  <c r="Y585" i="1"/>
  <c r="S586" i="1"/>
  <c r="T586" i="1"/>
  <c r="U586" i="1"/>
  <c r="V586" i="1"/>
  <c r="X586" i="1"/>
  <c r="Y586" i="1"/>
  <c r="S587" i="1"/>
  <c r="Y587" i="1" s="1"/>
  <c r="T587" i="1"/>
  <c r="U587" i="1"/>
  <c r="V587" i="1"/>
  <c r="X587" i="1"/>
  <c r="S588" i="1"/>
  <c r="T588" i="1"/>
  <c r="U588" i="1"/>
  <c r="V588" i="1"/>
  <c r="X588" i="1"/>
  <c r="Y588" i="1"/>
  <c r="S589" i="1"/>
  <c r="T589" i="1"/>
  <c r="U589" i="1"/>
  <c r="V589" i="1"/>
  <c r="X589" i="1"/>
  <c r="Y589" i="1"/>
  <c r="S590" i="1"/>
  <c r="T590" i="1"/>
  <c r="U590" i="1"/>
  <c r="V590" i="1"/>
  <c r="X590" i="1"/>
  <c r="Y590" i="1"/>
  <c r="S591" i="1"/>
  <c r="Y591" i="1" s="1"/>
  <c r="T591" i="1"/>
  <c r="U591" i="1"/>
  <c r="V591" i="1"/>
  <c r="X591" i="1"/>
  <c r="S592" i="1"/>
  <c r="T592" i="1"/>
  <c r="U592" i="1"/>
  <c r="V592" i="1"/>
  <c r="X592" i="1"/>
  <c r="Y592" i="1"/>
  <c r="S593" i="1"/>
  <c r="T593" i="1"/>
  <c r="U593" i="1"/>
  <c r="V593" i="1"/>
  <c r="X593" i="1"/>
  <c r="Y593" i="1"/>
  <c r="S594" i="1"/>
  <c r="T594" i="1"/>
  <c r="U594" i="1"/>
  <c r="V594" i="1"/>
  <c r="X594" i="1"/>
  <c r="Y594" i="1"/>
  <c r="S595" i="1"/>
  <c r="Y595" i="1" s="1"/>
  <c r="T595" i="1"/>
  <c r="U595" i="1"/>
  <c r="V595" i="1"/>
  <c r="X595" i="1"/>
  <c r="S596" i="1"/>
  <c r="T596" i="1"/>
  <c r="U596" i="1"/>
  <c r="V596" i="1"/>
  <c r="X596" i="1"/>
  <c r="Y596" i="1"/>
  <c r="S597" i="1"/>
  <c r="T597" i="1"/>
  <c r="U597" i="1"/>
  <c r="V597" i="1"/>
  <c r="X597" i="1"/>
  <c r="Y597" i="1"/>
  <c r="S598" i="1"/>
  <c r="T598" i="1"/>
  <c r="U598" i="1"/>
  <c r="V598" i="1"/>
  <c r="X598" i="1"/>
  <c r="Y598" i="1"/>
  <c r="S599" i="1"/>
  <c r="Y599" i="1" s="1"/>
  <c r="T599" i="1"/>
  <c r="U599" i="1"/>
  <c r="V599" i="1"/>
  <c r="X599" i="1"/>
  <c r="S600" i="1"/>
  <c r="T600" i="1"/>
  <c r="U600" i="1"/>
  <c r="V600" i="1"/>
  <c r="X600" i="1"/>
  <c r="Y600" i="1"/>
  <c r="S601" i="1"/>
  <c r="T601" i="1"/>
  <c r="U601" i="1"/>
  <c r="V601" i="1"/>
  <c r="X601" i="1"/>
  <c r="Y601" i="1"/>
  <c r="S602" i="1"/>
  <c r="T602" i="1"/>
  <c r="U602" i="1"/>
  <c r="V602" i="1"/>
  <c r="X602" i="1"/>
  <c r="Y602" i="1"/>
  <c r="S603" i="1"/>
  <c r="Y603" i="1" s="1"/>
  <c r="T603" i="1"/>
  <c r="U603" i="1"/>
  <c r="V603" i="1"/>
  <c r="X603" i="1"/>
  <c r="S604" i="1"/>
  <c r="T604" i="1"/>
  <c r="U604" i="1"/>
  <c r="V604" i="1"/>
  <c r="X604" i="1"/>
  <c r="Y604" i="1"/>
  <c r="S605" i="1"/>
  <c r="T605" i="1"/>
  <c r="U605" i="1"/>
  <c r="V605" i="1"/>
  <c r="X605" i="1"/>
  <c r="Y605" i="1"/>
  <c r="S606" i="1"/>
  <c r="T606" i="1"/>
  <c r="U606" i="1"/>
  <c r="V606" i="1"/>
  <c r="X606" i="1"/>
  <c r="Y606" i="1"/>
  <c r="S607" i="1"/>
  <c r="Y607" i="1" s="1"/>
  <c r="T607" i="1"/>
  <c r="U607" i="1"/>
  <c r="V607" i="1"/>
  <c r="X607" i="1"/>
  <c r="S608" i="1"/>
  <c r="T608" i="1"/>
  <c r="U608" i="1"/>
  <c r="V608" i="1"/>
  <c r="X608" i="1"/>
  <c r="Y608" i="1"/>
  <c r="S609" i="1"/>
  <c r="T609" i="1"/>
  <c r="U609" i="1"/>
  <c r="V609" i="1"/>
  <c r="X609" i="1"/>
  <c r="Y609" i="1"/>
  <c r="S610" i="1"/>
  <c r="T610" i="1"/>
  <c r="U610" i="1"/>
  <c r="V610" i="1"/>
  <c r="X610" i="1"/>
  <c r="Y610" i="1"/>
  <c r="S611" i="1"/>
  <c r="Y611" i="1" s="1"/>
  <c r="T611" i="1"/>
  <c r="U611" i="1"/>
  <c r="V611" i="1"/>
  <c r="X611" i="1"/>
  <c r="S612" i="1"/>
  <c r="T612" i="1"/>
  <c r="U612" i="1"/>
  <c r="V612" i="1"/>
  <c r="X612" i="1"/>
  <c r="Y612" i="1"/>
  <c r="S613" i="1"/>
  <c r="T613" i="1"/>
  <c r="U613" i="1"/>
  <c r="V613" i="1"/>
  <c r="X613" i="1"/>
  <c r="Y613" i="1"/>
  <c r="S614" i="1"/>
  <c r="T614" i="1"/>
  <c r="U614" i="1"/>
  <c r="V614" i="1"/>
  <c r="X614" i="1"/>
  <c r="Y614" i="1"/>
  <c r="S615" i="1"/>
  <c r="Y615" i="1" s="1"/>
  <c r="T615" i="1"/>
  <c r="U615" i="1"/>
  <c r="V615" i="1"/>
  <c r="X615" i="1"/>
  <c r="S616" i="1"/>
  <c r="T616" i="1"/>
  <c r="U616" i="1"/>
  <c r="V616" i="1"/>
  <c r="X616" i="1"/>
  <c r="Y616" i="1"/>
  <c r="S617" i="1"/>
  <c r="T617" i="1"/>
  <c r="U617" i="1"/>
  <c r="V617" i="1"/>
  <c r="X617" i="1"/>
  <c r="Y617" i="1"/>
  <c r="S618" i="1"/>
  <c r="T618" i="1"/>
  <c r="U618" i="1"/>
  <c r="V618" i="1"/>
  <c r="X618" i="1"/>
  <c r="Y618" i="1"/>
  <c r="S619" i="1"/>
  <c r="Y619" i="1" s="1"/>
  <c r="T619" i="1"/>
  <c r="U619" i="1"/>
  <c r="V619" i="1"/>
  <c r="X619" i="1"/>
  <c r="S620" i="1"/>
  <c r="T620" i="1"/>
  <c r="U620" i="1"/>
  <c r="V620" i="1"/>
  <c r="X620" i="1"/>
  <c r="Y620" i="1"/>
  <c r="S621" i="1"/>
  <c r="T621" i="1"/>
  <c r="U621" i="1"/>
  <c r="V621" i="1"/>
  <c r="X621" i="1"/>
  <c r="Y621" i="1"/>
  <c r="S622" i="1"/>
  <c r="T622" i="1"/>
  <c r="U622" i="1"/>
  <c r="V622" i="1"/>
  <c r="X622" i="1"/>
  <c r="Y622" i="1"/>
  <c r="S623" i="1"/>
  <c r="Y623" i="1" s="1"/>
  <c r="T623" i="1"/>
  <c r="U623" i="1"/>
  <c r="V623" i="1"/>
  <c r="X623" i="1"/>
  <c r="S624" i="1"/>
  <c r="T624" i="1"/>
  <c r="U624" i="1"/>
  <c r="V624" i="1"/>
  <c r="X624" i="1"/>
  <c r="Y624" i="1"/>
  <c r="S625" i="1"/>
  <c r="T625" i="1"/>
  <c r="U625" i="1"/>
  <c r="V625" i="1"/>
  <c r="X625" i="1"/>
  <c r="Y625" i="1"/>
  <c r="S626" i="1"/>
  <c r="T626" i="1"/>
  <c r="U626" i="1"/>
  <c r="V626" i="1"/>
  <c r="X626" i="1"/>
  <c r="Y626" i="1"/>
  <c r="S627" i="1"/>
  <c r="Y627" i="1" s="1"/>
  <c r="T627" i="1"/>
  <c r="U627" i="1"/>
  <c r="V627" i="1"/>
  <c r="X627" i="1"/>
  <c r="S628" i="1"/>
  <c r="T628" i="1"/>
  <c r="U628" i="1"/>
  <c r="V628" i="1"/>
  <c r="X628" i="1"/>
  <c r="Y628" i="1"/>
  <c r="S629" i="1"/>
  <c r="T629" i="1"/>
  <c r="U629" i="1"/>
  <c r="V629" i="1"/>
  <c r="X629" i="1"/>
  <c r="Y629" i="1"/>
  <c r="S630" i="1"/>
  <c r="T630" i="1"/>
  <c r="U630" i="1"/>
  <c r="V630" i="1"/>
  <c r="X630" i="1"/>
  <c r="Y630" i="1"/>
  <c r="S631" i="1"/>
  <c r="Y631" i="1" s="1"/>
  <c r="T631" i="1"/>
  <c r="U631" i="1"/>
  <c r="V631" i="1"/>
  <c r="X631" i="1"/>
  <c r="S632" i="1"/>
  <c r="T632" i="1"/>
  <c r="U632" i="1"/>
  <c r="V632" i="1"/>
  <c r="X632" i="1"/>
  <c r="Y632" i="1"/>
  <c r="S633" i="1"/>
  <c r="T633" i="1"/>
  <c r="U633" i="1"/>
  <c r="V633" i="1"/>
  <c r="X633" i="1"/>
  <c r="Y633" i="1"/>
  <c r="S634" i="1"/>
  <c r="T634" i="1"/>
  <c r="U634" i="1"/>
  <c r="V634" i="1"/>
  <c r="X634" i="1"/>
  <c r="Y634" i="1"/>
  <c r="S635" i="1"/>
  <c r="Y635" i="1" s="1"/>
  <c r="T635" i="1"/>
  <c r="U635" i="1"/>
  <c r="V635" i="1"/>
  <c r="X635" i="1"/>
  <c r="S636" i="1"/>
  <c r="T636" i="1"/>
  <c r="U636" i="1"/>
  <c r="V636" i="1"/>
  <c r="X636" i="1"/>
  <c r="Y636" i="1"/>
  <c r="S637" i="1"/>
  <c r="T637" i="1"/>
  <c r="U637" i="1"/>
  <c r="V637" i="1"/>
  <c r="X637" i="1"/>
  <c r="Y637" i="1"/>
  <c r="S638" i="1"/>
  <c r="T638" i="1"/>
  <c r="U638" i="1"/>
  <c r="V638" i="1"/>
  <c r="X638" i="1"/>
  <c r="Y638" i="1"/>
  <c r="S639" i="1"/>
  <c r="Y639" i="1" s="1"/>
  <c r="T639" i="1"/>
  <c r="U639" i="1"/>
  <c r="V639" i="1"/>
  <c r="X639" i="1"/>
  <c r="S640" i="1"/>
  <c r="T640" i="1"/>
  <c r="U640" i="1"/>
  <c r="V640" i="1"/>
  <c r="X640" i="1"/>
  <c r="Y640" i="1"/>
  <c r="S641" i="1"/>
  <c r="T641" i="1"/>
  <c r="U641" i="1"/>
  <c r="V641" i="1"/>
  <c r="X641" i="1"/>
  <c r="Y641" i="1"/>
  <c r="S642" i="1"/>
  <c r="T642" i="1"/>
  <c r="U642" i="1"/>
  <c r="V642" i="1"/>
  <c r="X642" i="1"/>
  <c r="Y642" i="1"/>
  <c r="S643" i="1"/>
  <c r="Y643" i="1" s="1"/>
  <c r="T643" i="1"/>
  <c r="U643" i="1"/>
  <c r="V643" i="1"/>
  <c r="X643" i="1"/>
  <c r="S644" i="1"/>
  <c r="T644" i="1"/>
  <c r="U644" i="1"/>
  <c r="V644" i="1"/>
  <c r="X644" i="1"/>
  <c r="Y644" i="1"/>
  <c r="S645" i="1"/>
  <c r="T645" i="1"/>
  <c r="U645" i="1"/>
  <c r="V645" i="1"/>
  <c r="X645" i="1"/>
  <c r="Y645" i="1"/>
  <c r="S646" i="1"/>
  <c r="T646" i="1"/>
  <c r="U646" i="1"/>
  <c r="V646" i="1"/>
  <c r="X646" i="1"/>
  <c r="Y646" i="1"/>
  <c r="S647" i="1"/>
  <c r="Y647" i="1" s="1"/>
  <c r="T647" i="1"/>
  <c r="U647" i="1"/>
  <c r="V647" i="1"/>
  <c r="X647" i="1"/>
  <c r="S648" i="1"/>
  <c r="T648" i="1"/>
  <c r="U648" i="1"/>
  <c r="V648" i="1"/>
  <c r="X648" i="1"/>
  <c r="Y648" i="1"/>
  <c r="S649" i="1"/>
  <c r="T649" i="1"/>
  <c r="U649" i="1"/>
  <c r="V649" i="1"/>
  <c r="X649" i="1"/>
  <c r="Y649" i="1"/>
  <c r="S650" i="1"/>
  <c r="T650" i="1"/>
  <c r="U650" i="1"/>
  <c r="V650" i="1"/>
  <c r="X650" i="1"/>
  <c r="Y650" i="1"/>
  <c r="S651" i="1"/>
  <c r="Y651" i="1" s="1"/>
  <c r="T651" i="1"/>
  <c r="U651" i="1"/>
  <c r="V651" i="1"/>
  <c r="X651" i="1"/>
  <c r="S652" i="1"/>
  <c r="T652" i="1"/>
  <c r="U652" i="1"/>
  <c r="V652" i="1"/>
  <c r="X652" i="1"/>
  <c r="Y652" i="1"/>
  <c r="S653" i="1"/>
  <c r="T653" i="1"/>
  <c r="U653" i="1"/>
  <c r="V653" i="1"/>
  <c r="X653" i="1"/>
  <c r="Y653" i="1"/>
  <c r="S654" i="1"/>
  <c r="T654" i="1"/>
  <c r="U654" i="1"/>
  <c r="V654" i="1"/>
  <c r="X654" i="1"/>
  <c r="Y654" i="1"/>
  <c r="S655" i="1"/>
  <c r="Y655" i="1" s="1"/>
  <c r="T655" i="1"/>
  <c r="U655" i="1"/>
  <c r="V655" i="1"/>
  <c r="X655" i="1"/>
  <c r="S656" i="1"/>
  <c r="T656" i="1"/>
  <c r="U656" i="1"/>
  <c r="V656" i="1"/>
  <c r="X656" i="1"/>
  <c r="Y656" i="1"/>
  <c r="S657" i="1"/>
  <c r="T657" i="1"/>
  <c r="U657" i="1"/>
  <c r="V657" i="1"/>
  <c r="X657" i="1"/>
  <c r="Y657" i="1"/>
  <c r="S658" i="1"/>
  <c r="T658" i="1"/>
  <c r="U658" i="1"/>
  <c r="V658" i="1"/>
  <c r="X658" i="1"/>
  <c r="Y658" i="1"/>
  <c r="S659" i="1"/>
  <c r="Y659" i="1" s="1"/>
  <c r="T659" i="1"/>
  <c r="U659" i="1"/>
  <c r="V659" i="1"/>
  <c r="X659" i="1"/>
  <c r="S660" i="1"/>
  <c r="T660" i="1"/>
  <c r="U660" i="1"/>
  <c r="V660" i="1"/>
  <c r="X660" i="1"/>
  <c r="Y660" i="1"/>
  <c r="S661" i="1"/>
  <c r="T661" i="1"/>
  <c r="U661" i="1"/>
  <c r="V661" i="1"/>
  <c r="X661" i="1"/>
  <c r="Y661" i="1"/>
  <c r="S662" i="1"/>
  <c r="T662" i="1"/>
  <c r="U662" i="1"/>
  <c r="V662" i="1"/>
  <c r="X662" i="1"/>
  <c r="Y662" i="1"/>
  <c r="S663" i="1"/>
  <c r="Y663" i="1" s="1"/>
  <c r="T663" i="1"/>
  <c r="U663" i="1"/>
  <c r="V663" i="1"/>
  <c r="X663" i="1"/>
  <c r="S664" i="1"/>
  <c r="T664" i="1"/>
  <c r="U664" i="1"/>
  <c r="V664" i="1"/>
  <c r="X664" i="1"/>
  <c r="Y664" i="1"/>
  <c r="S665" i="1"/>
  <c r="T665" i="1"/>
  <c r="U665" i="1"/>
  <c r="V665" i="1"/>
  <c r="X665" i="1"/>
  <c r="Y665" i="1"/>
  <c r="S666" i="1"/>
  <c r="T666" i="1"/>
  <c r="U666" i="1"/>
  <c r="V666" i="1"/>
  <c r="X666" i="1"/>
  <c r="Y666" i="1"/>
  <c r="S667" i="1"/>
  <c r="Y667" i="1" s="1"/>
  <c r="T667" i="1"/>
  <c r="U667" i="1"/>
  <c r="V667" i="1"/>
  <c r="X667" i="1"/>
  <c r="S668" i="1"/>
  <c r="T668" i="1"/>
  <c r="U668" i="1"/>
  <c r="V668" i="1"/>
  <c r="X668" i="1"/>
  <c r="Y668" i="1"/>
  <c r="S669" i="1"/>
  <c r="T669" i="1"/>
  <c r="U669" i="1"/>
  <c r="V669" i="1"/>
  <c r="X669" i="1"/>
  <c r="Y669" i="1"/>
  <c r="S670" i="1"/>
  <c r="T670" i="1"/>
  <c r="U670" i="1"/>
  <c r="V670" i="1"/>
  <c r="X670" i="1"/>
  <c r="Y670" i="1"/>
  <c r="S671" i="1"/>
  <c r="Y671" i="1" s="1"/>
  <c r="T671" i="1"/>
  <c r="U671" i="1"/>
  <c r="V671" i="1"/>
  <c r="X671" i="1"/>
  <c r="S672" i="1"/>
  <c r="T672" i="1"/>
  <c r="U672" i="1"/>
  <c r="V672" i="1"/>
  <c r="X672" i="1"/>
  <c r="Y672" i="1"/>
  <c r="S673" i="1"/>
  <c r="T673" i="1"/>
  <c r="U673" i="1"/>
  <c r="V673" i="1"/>
  <c r="X673" i="1"/>
  <c r="Y673" i="1"/>
  <c r="S674" i="1"/>
  <c r="T674" i="1"/>
  <c r="U674" i="1"/>
  <c r="V674" i="1"/>
  <c r="X674" i="1"/>
  <c r="Y674" i="1"/>
  <c r="S675" i="1"/>
  <c r="Y675" i="1" s="1"/>
  <c r="T675" i="1"/>
  <c r="U675" i="1"/>
  <c r="V675" i="1"/>
  <c r="X675" i="1"/>
  <c r="S676" i="1"/>
  <c r="T676" i="1"/>
  <c r="U676" i="1"/>
  <c r="V676" i="1"/>
  <c r="X676" i="1"/>
  <c r="Y676" i="1"/>
  <c r="S677" i="1"/>
  <c r="T677" i="1"/>
  <c r="U677" i="1"/>
  <c r="V677" i="1"/>
  <c r="X677" i="1"/>
  <c r="Y677" i="1"/>
  <c r="S678" i="1"/>
  <c r="T678" i="1"/>
  <c r="U678" i="1"/>
  <c r="V678" i="1"/>
  <c r="X678" i="1"/>
  <c r="Y678" i="1"/>
  <c r="S679" i="1"/>
  <c r="Y679" i="1" s="1"/>
  <c r="T679" i="1"/>
  <c r="U679" i="1"/>
  <c r="V679" i="1"/>
  <c r="X679" i="1"/>
  <c r="S680" i="1"/>
  <c r="T680" i="1"/>
  <c r="U680" i="1"/>
  <c r="V680" i="1"/>
  <c r="X680" i="1"/>
  <c r="Y680" i="1"/>
  <c r="S681" i="1"/>
  <c r="T681" i="1"/>
  <c r="U681" i="1"/>
  <c r="V681" i="1"/>
  <c r="X681" i="1"/>
  <c r="Y681" i="1"/>
  <c r="S682" i="1"/>
  <c r="T682" i="1"/>
  <c r="U682" i="1"/>
  <c r="V682" i="1"/>
  <c r="X682" i="1"/>
  <c r="Y682" i="1"/>
  <c r="S683" i="1"/>
  <c r="Y683" i="1" s="1"/>
  <c r="T683" i="1"/>
  <c r="U683" i="1"/>
  <c r="V683" i="1"/>
  <c r="X683" i="1"/>
  <c r="S684" i="1"/>
  <c r="T684" i="1"/>
  <c r="U684" i="1"/>
  <c r="V684" i="1"/>
  <c r="X684" i="1"/>
  <c r="Y684" i="1"/>
  <c r="S685" i="1"/>
  <c r="T685" i="1"/>
  <c r="U685" i="1"/>
  <c r="V685" i="1"/>
  <c r="X685" i="1"/>
  <c r="Y685" i="1"/>
  <c r="S686" i="1"/>
  <c r="T686" i="1"/>
  <c r="U686" i="1"/>
  <c r="V686" i="1"/>
  <c r="X686" i="1"/>
  <c r="Y686" i="1"/>
  <c r="S687" i="1"/>
  <c r="Y687" i="1" s="1"/>
  <c r="T687" i="1"/>
  <c r="U687" i="1"/>
  <c r="V687" i="1"/>
  <c r="X687" i="1"/>
  <c r="S688" i="1"/>
  <c r="T688" i="1"/>
  <c r="U688" i="1"/>
  <c r="V688" i="1"/>
  <c r="X688" i="1"/>
  <c r="Y688" i="1"/>
  <c r="S689" i="1"/>
  <c r="T689" i="1"/>
  <c r="U689" i="1"/>
  <c r="V689" i="1"/>
  <c r="X689" i="1"/>
  <c r="Y689" i="1"/>
  <c r="S690" i="1"/>
  <c r="T690" i="1"/>
  <c r="U690" i="1"/>
  <c r="V690" i="1"/>
  <c r="X690" i="1"/>
  <c r="Y690" i="1"/>
  <c r="S691" i="1"/>
  <c r="Y691" i="1" s="1"/>
  <c r="T691" i="1"/>
  <c r="U691" i="1"/>
  <c r="V691" i="1"/>
  <c r="X691" i="1"/>
  <c r="S692" i="1"/>
  <c r="T692" i="1"/>
  <c r="U692" i="1"/>
  <c r="V692" i="1"/>
  <c r="X692" i="1"/>
  <c r="Y692" i="1"/>
  <c r="S693" i="1"/>
  <c r="T693" i="1"/>
  <c r="U693" i="1"/>
  <c r="V693" i="1"/>
  <c r="X693" i="1"/>
  <c r="Y693" i="1"/>
  <c r="S694" i="1"/>
  <c r="T694" i="1"/>
  <c r="U694" i="1"/>
  <c r="V694" i="1"/>
  <c r="X694" i="1"/>
  <c r="Y694" i="1"/>
  <c r="S695" i="1"/>
  <c r="Y695" i="1" s="1"/>
  <c r="T695" i="1"/>
  <c r="U695" i="1"/>
  <c r="V695" i="1"/>
  <c r="X695" i="1"/>
  <c r="S696" i="1"/>
  <c r="T696" i="1"/>
  <c r="U696" i="1"/>
  <c r="V696" i="1"/>
  <c r="X696" i="1"/>
  <c r="Y696" i="1"/>
  <c r="S697" i="1"/>
  <c r="T697" i="1"/>
  <c r="U697" i="1"/>
  <c r="V697" i="1"/>
  <c r="X697" i="1"/>
  <c r="Y697" i="1"/>
  <c r="S698" i="1"/>
  <c r="T698" i="1"/>
  <c r="U698" i="1"/>
  <c r="V698" i="1"/>
  <c r="X698" i="1"/>
  <c r="Y698" i="1"/>
  <c r="S699" i="1"/>
  <c r="Y699" i="1" s="1"/>
  <c r="T699" i="1"/>
  <c r="U699" i="1"/>
  <c r="V699" i="1"/>
  <c r="X699" i="1"/>
  <c r="S700" i="1"/>
  <c r="T700" i="1"/>
  <c r="U700" i="1"/>
  <c r="V700" i="1"/>
  <c r="X700" i="1"/>
  <c r="Y700" i="1"/>
  <c r="S701" i="1"/>
  <c r="T701" i="1"/>
  <c r="U701" i="1"/>
  <c r="V701" i="1"/>
  <c r="X701" i="1"/>
  <c r="Y701" i="1"/>
  <c r="S702" i="1"/>
  <c r="T702" i="1"/>
  <c r="U702" i="1"/>
  <c r="V702" i="1"/>
  <c r="X702" i="1"/>
  <c r="Y702" i="1"/>
  <c r="S703" i="1"/>
  <c r="Y703" i="1" s="1"/>
  <c r="T703" i="1"/>
  <c r="U703" i="1"/>
  <c r="V703" i="1"/>
  <c r="X703" i="1"/>
  <c r="S704" i="1"/>
  <c r="T704" i="1"/>
  <c r="U704" i="1"/>
  <c r="V704" i="1"/>
  <c r="X704" i="1"/>
  <c r="Y704" i="1"/>
  <c r="S705" i="1"/>
  <c r="T705" i="1"/>
  <c r="U705" i="1"/>
  <c r="V705" i="1"/>
  <c r="X705" i="1"/>
  <c r="Y705" i="1"/>
  <c r="S706" i="1"/>
  <c r="T706" i="1"/>
  <c r="U706" i="1"/>
  <c r="V706" i="1"/>
  <c r="X706" i="1"/>
  <c r="Y706" i="1"/>
  <c r="S707" i="1"/>
  <c r="Y707" i="1" s="1"/>
  <c r="T707" i="1"/>
  <c r="U707" i="1"/>
  <c r="V707" i="1"/>
  <c r="X707" i="1"/>
  <c r="S708" i="1"/>
  <c r="T708" i="1"/>
  <c r="U708" i="1"/>
  <c r="V708" i="1"/>
  <c r="X708" i="1"/>
  <c r="Y708" i="1"/>
  <c r="S709" i="1"/>
  <c r="T709" i="1"/>
  <c r="U709" i="1"/>
  <c r="V709" i="1"/>
  <c r="X709" i="1"/>
  <c r="Y709" i="1"/>
  <c r="S710" i="1"/>
  <c r="T710" i="1"/>
  <c r="U710" i="1"/>
  <c r="V710" i="1"/>
  <c r="X710" i="1"/>
  <c r="Y710" i="1"/>
  <c r="S711" i="1"/>
  <c r="Y711" i="1" s="1"/>
  <c r="T711" i="1"/>
  <c r="U711" i="1"/>
  <c r="V711" i="1"/>
  <c r="X711" i="1"/>
  <c r="S712" i="1"/>
  <c r="T712" i="1"/>
  <c r="U712" i="1"/>
  <c r="V712" i="1"/>
  <c r="X712" i="1"/>
  <c r="Y712" i="1"/>
  <c r="S713" i="1"/>
  <c r="T713" i="1"/>
  <c r="U713" i="1"/>
  <c r="V713" i="1"/>
  <c r="X713" i="1"/>
  <c r="Y713" i="1"/>
  <c r="S714" i="1"/>
  <c r="T714" i="1"/>
  <c r="U714" i="1"/>
  <c r="V714" i="1"/>
  <c r="X714" i="1"/>
  <c r="Y714" i="1"/>
  <c r="S715" i="1"/>
  <c r="Y715" i="1" s="1"/>
  <c r="T715" i="1"/>
  <c r="U715" i="1"/>
  <c r="V715" i="1"/>
  <c r="X715" i="1"/>
  <c r="S716" i="1"/>
  <c r="T716" i="1"/>
  <c r="U716" i="1"/>
  <c r="V716" i="1"/>
  <c r="X716" i="1"/>
  <c r="Y716" i="1"/>
  <c r="S717" i="1"/>
  <c r="T717" i="1"/>
  <c r="U717" i="1"/>
  <c r="V717" i="1"/>
  <c r="X717" i="1"/>
  <c r="Y717" i="1"/>
  <c r="S718" i="1"/>
  <c r="T718" i="1"/>
  <c r="U718" i="1"/>
  <c r="V718" i="1"/>
  <c r="X718" i="1"/>
  <c r="Y718" i="1"/>
  <c r="S719" i="1"/>
  <c r="Y719" i="1" s="1"/>
  <c r="T719" i="1"/>
  <c r="U719" i="1"/>
  <c r="V719" i="1"/>
  <c r="X719" i="1"/>
  <c r="S720" i="1"/>
  <c r="T720" i="1"/>
  <c r="U720" i="1"/>
  <c r="V720" i="1"/>
  <c r="X720" i="1"/>
  <c r="Y720" i="1"/>
  <c r="S721" i="1"/>
  <c r="T721" i="1"/>
  <c r="U721" i="1"/>
  <c r="V721" i="1"/>
  <c r="X721" i="1"/>
  <c r="Y721" i="1"/>
  <c r="S722" i="1"/>
  <c r="T722" i="1"/>
  <c r="U722" i="1"/>
  <c r="V722" i="1"/>
  <c r="X722" i="1"/>
  <c r="Y722" i="1"/>
  <c r="S723" i="1"/>
  <c r="Y723" i="1" s="1"/>
  <c r="T723" i="1"/>
  <c r="U723" i="1"/>
  <c r="V723" i="1"/>
  <c r="X723" i="1"/>
  <c r="S724" i="1"/>
  <c r="T724" i="1"/>
  <c r="U724" i="1"/>
  <c r="V724" i="1"/>
  <c r="X724" i="1"/>
  <c r="Y724" i="1"/>
  <c r="S725" i="1"/>
  <c r="T725" i="1"/>
  <c r="U725" i="1"/>
  <c r="V725" i="1"/>
  <c r="X725" i="1"/>
  <c r="Y725" i="1"/>
  <c r="S726" i="1"/>
  <c r="T726" i="1"/>
  <c r="U726" i="1"/>
  <c r="V726" i="1"/>
  <c r="X726" i="1"/>
  <c r="Y726" i="1"/>
  <c r="S727" i="1"/>
  <c r="Y727" i="1" s="1"/>
  <c r="T727" i="1"/>
  <c r="U727" i="1"/>
  <c r="V727" i="1"/>
  <c r="X727" i="1"/>
  <c r="S728" i="1"/>
  <c r="T728" i="1"/>
  <c r="U728" i="1"/>
  <c r="V728" i="1"/>
  <c r="X728" i="1"/>
  <c r="Y728" i="1"/>
  <c r="S729" i="1"/>
  <c r="T729" i="1"/>
  <c r="U729" i="1"/>
  <c r="V729" i="1"/>
  <c r="X729" i="1"/>
  <c r="Y729" i="1"/>
  <c r="S730" i="1"/>
  <c r="T730" i="1"/>
  <c r="U730" i="1"/>
  <c r="V730" i="1"/>
  <c r="X730" i="1"/>
  <c r="Y730" i="1"/>
  <c r="S731" i="1"/>
  <c r="Y731" i="1" s="1"/>
  <c r="T731" i="1"/>
  <c r="U731" i="1"/>
  <c r="V731" i="1"/>
  <c r="X731" i="1"/>
  <c r="S732" i="1"/>
  <c r="T732" i="1"/>
  <c r="U732" i="1"/>
  <c r="V732" i="1"/>
  <c r="X732" i="1"/>
  <c r="Y732" i="1"/>
  <c r="S733" i="1"/>
  <c r="T733" i="1"/>
  <c r="U733" i="1"/>
  <c r="V733" i="1"/>
  <c r="X733" i="1"/>
  <c r="Y733" i="1"/>
  <c r="S734" i="1"/>
  <c r="T734" i="1"/>
  <c r="U734" i="1"/>
  <c r="V734" i="1"/>
  <c r="X734" i="1"/>
  <c r="Y734" i="1"/>
  <c r="S735" i="1"/>
  <c r="Y735" i="1" s="1"/>
  <c r="T735" i="1"/>
  <c r="U735" i="1"/>
  <c r="V735" i="1"/>
  <c r="X735" i="1"/>
  <c r="S736" i="1"/>
  <c r="T736" i="1"/>
  <c r="U736" i="1"/>
  <c r="V736" i="1"/>
  <c r="X736" i="1"/>
  <c r="Y736" i="1"/>
  <c r="S737" i="1"/>
  <c r="T737" i="1"/>
  <c r="U737" i="1"/>
  <c r="V737" i="1"/>
  <c r="X737" i="1"/>
  <c r="Y737" i="1"/>
  <c r="S738" i="1"/>
  <c r="T738" i="1"/>
  <c r="U738" i="1"/>
  <c r="V738" i="1"/>
  <c r="X738" i="1"/>
  <c r="Y738" i="1"/>
  <c r="S739" i="1"/>
  <c r="Y739" i="1" s="1"/>
  <c r="T739" i="1"/>
  <c r="U739" i="1"/>
  <c r="V739" i="1"/>
  <c r="X739" i="1"/>
  <c r="S740" i="1"/>
  <c r="T740" i="1"/>
  <c r="U740" i="1"/>
  <c r="V740" i="1"/>
  <c r="X740" i="1"/>
  <c r="Y740" i="1"/>
  <c r="S741" i="1"/>
  <c r="T741" i="1"/>
  <c r="U741" i="1"/>
  <c r="V741" i="1"/>
  <c r="X741" i="1"/>
  <c r="Y741" i="1"/>
  <c r="S742" i="1"/>
  <c r="T742" i="1"/>
  <c r="U742" i="1"/>
  <c r="V742" i="1"/>
  <c r="X742" i="1"/>
  <c r="Y742" i="1"/>
  <c r="S743" i="1"/>
  <c r="Y743" i="1" s="1"/>
  <c r="T743" i="1"/>
  <c r="U743" i="1"/>
  <c r="V743" i="1"/>
  <c r="X743" i="1"/>
  <c r="S744" i="1"/>
  <c r="T744" i="1"/>
  <c r="U744" i="1"/>
  <c r="V744" i="1"/>
  <c r="X744" i="1"/>
  <c r="Y744" i="1"/>
  <c r="S745" i="1"/>
  <c r="T745" i="1"/>
  <c r="U745" i="1"/>
  <c r="V745" i="1"/>
  <c r="X745" i="1"/>
  <c r="Y745" i="1"/>
  <c r="S746" i="1"/>
  <c r="T746" i="1"/>
  <c r="U746" i="1"/>
  <c r="V746" i="1"/>
  <c r="X746" i="1"/>
  <c r="Y746" i="1"/>
  <c r="S747" i="1"/>
  <c r="Y747" i="1" s="1"/>
  <c r="T747" i="1"/>
  <c r="U747" i="1"/>
  <c r="V747" i="1"/>
  <c r="X747" i="1"/>
  <c r="S748" i="1"/>
  <c r="T748" i="1"/>
  <c r="U748" i="1"/>
  <c r="V748" i="1"/>
  <c r="X748" i="1"/>
  <c r="Y748" i="1"/>
  <c r="S749" i="1"/>
  <c r="T749" i="1"/>
  <c r="U749" i="1"/>
  <c r="V749" i="1"/>
  <c r="X749" i="1"/>
  <c r="Y749" i="1"/>
  <c r="S750" i="1"/>
  <c r="T750" i="1"/>
  <c r="U750" i="1"/>
  <c r="V750" i="1"/>
  <c r="X750" i="1"/>
  <c r="Y750" i="1"/>
  <c r="S751" i="1"/>
  <c r="Y751" i="1" s="1"/>
  <c r="T751" i="1"/>
  <c r="U751" i="1"/>
  <c r="V751" i="1"/>
  <c r="X751" i="1"/>
  <c r="S752" i="1"/>
  <c r="T752" i="1"/>
  <c r="U752" i="1"/>
  <c r="V752" i="1"/>
  <c r="X752" i="1"/>
  <c r="Y752" i="1"/>
  <c r="S753" i="1"/>
  <c r="T753" i="1"/>
  <c r="U753" i="1"/>
  <c r="V753" i="1"/>
  <c r="X753" i="1"/>
  <c r="Y753" i="1"/>
  <c r="S754" i="1"/>
  <c r="T754" i="1"/>
  <c r="U754" i="1"/>
  <c r="V754" i="1"/>
  <c r="X754" i="1"/>
  <c r="Y754" i="1"/>
  <c r="S755" i="1"/>
  <c r="Y755" i="1" s="1"/>
  <c r="T755" i="1"/>
  <c r="U755" i="1"/>
  <c r="V755" i="1"/>
  <c r="X755" i="1"/>
  <c r="S756" i="1"/>
  <c r="T756" i="1"/>
  <c r="U756" i="1"/>
  <c r="V756" i="1"/>
  <c r="X756" i="1"/>
  <c r="Y756" i="1"/>
  <c r="S757" i="1"/>
  <c r="T757" i="1"/>
  <c r="U757" i="1"/>
  <c r="V757" i="1"/>
  <c r="X757" i="1"/>
  <c r="Y757" i="1"/>
  <c r="S758" i="1"/>
  <c r="T758" i="1"/>
  <c r="U758" i="1"/>
  <c r="V758" i="1"/>
  <c r="X758" i="1"/>
  <c r="Y758" i="1"/>
  <c r="S759" i="1"/>
  <c r="Y759" i="1" s="1"/>
  <c r="T759" i="1"/>
  <c r="U759" i="1"/>
  <c r="V759" i="1"/>
  <c r="X759" i="1"/>
  <c r="S760" i="1"/>
  <c r="T760" i="1"/>
  <c r="U760" i="1"/>
  <c r="V760" i="1"/>
  <c r="X760" i="1"/>
  <c r="Y760" i="1"/>
  <c r="S761" i="1"/>
  <c r="T761" i="1"/>
  <c r="U761" i="1"/>
  <c r="V761" i="1"/>
  <c r="X761" i="1"/>
  <c r="Y761" i="1"/>
  <c r="S762" i="1"/>
  <c r="T762" i="1"/>
  <c r="U762" i="1"/>
  <c r="V762" i="1"/>
  <c r="X762" i="1"/>
  <c r="Y762" i="1"/>
  <c r="S763" i="1"/>
  <c r="Y763" i="1" s="1"/>
  <c r="T763" i="1"/>
  <c r="U763" i="1"/>
  <c r="V763" i="1"/>
  <c r="X763" i="1"/>
  <c r="S764" i="1"/>
  <c r="T764" i="1"/>
  <c r="U764" i="1"/>
  <c r="V764" i="1"/>
  <c r="X764" i="1"/>
  <c r="Y764" i="1"/>
  <c r="S765" i="1"/>
  <c r="T765" i="1"/>
  <c r="U765" i="1"/>
  <c r="V765" i="1"/>
  <c r="X765" i="1"/>
  <c r="Y765" i="1"/>
  <c r="S766" i="1"/>
  <c r="T766" i="1"/>
  <c r="U766" i="1"/>
  <c r="V766" i="1"/>
  <c r="X766" i="1"/>
  <c r="Y766" i="1"/>
  <c r="S767" i="1"/>
  <c r="Y767" i="1" s="1"/>
  <c r="T767" i="1"/>
  <c r="U767" i="1"/>
  <c r="V767" i="1"/>
  <c r="X767" i="1"/>
  <c r="S768" i="1"/>
  <c r="T768" i="1"/>
  <c r="U768" i="1"/>
  <c r="V768" i="1"/>
  <c r="X768" i="1"/>
  <c r="Y768" i="1"/>
  <c r="S769" i="1"/>
  <c r="T769" i="1"/>
  <c r="U769" i="1"/>
  <c r="V769" i="1"/>
  <c r="X769" i="1"/>
  <c r="Y769" i="1"/>
  <c r="S770" i="1"/>
  <c r="T770" i="1"/>
  <c r="U770" i="1"/>
  <c r="V770" i="1"/>
  <c r="X770" i="1"/>
  <c r="Y770" i="1"/>
  <c r="S771" i="1"/>
  <c r="Y771" i="1" s="1"/>
  <c r="T771" i="1"/>
  <c r="U771" i="1"/>
  <c r="V771" i="1"/>
  <c r="X771" i="1"/>
  <c r="S772" i="1"/>
  <c r="T772" i="1"/>
  <c r="U772" i="1"/>
  <c r="V772" i="1"/>
  <c r="X772" i="1"/>
  <c r="Y772" i="1"/>
  <c r="S773" i="1"/>
  <c r="T773" i="1"/>
  <c r="U773" i="1"/>
  <c r="V773" i="1"/>
  <c r="X773" i="1"/>
  <c r="Y773" i="1"/>
  <c r="S774" i="1"/>
  <c r="T774" i="1"/>
  <c r="U774" i="1"/>
  <c r="V774" i="1"/>
  <c r="X774" i="1"/>
  <c r="Y774" i="1"/>
  <c r="S775" i="1"/>
  <c r="Y775" i="1" s="1"/>
  <c r="T775" i="1"/>
  <c r="U775" i="1"/>
  <c r="V775" i="1"/>
  <c r="X775" i="1"/>
  <c r="S776" i="1"/>
  <c r="T776" i="1"/>
  <c r="U776" i="1"/>
  <c r="V776" i="1"/>
  <c r="X776" i="1"/>
  <c r="Y776" i="1"/>
  <c r="S777" i="1"/>
  <c r="T777" i="1"/>
  <c r="U777" i="1"/>
  <c r="V777" i="1"/>
  <c r="X777" i="1"/>
  <c r="Y777" i="1"/>
  <c r="S778" i="1"/>
  <c r="T778" i="1"/>
  <c r="U778" i="1"/>
  <c r="V778" i="1"/>
  <c r="X778" i="1"/>
  <c r="Y778" i="1"/>
  <c r="S779" i="1"/>
  <c r="Y779" i="1" s="1"/>
  <c r="T779" i="1"/>
  <c r="U779" i="1"/>
  <c r="V779" i="1"/>
  <c r="X779" i="1"/>
  <c r="S780" i="1"/>
  <c r="T780" i="1"/>
  <c r="U780" i="1"/>
  <c r="V780" i="1"/>
  <c r="X780" i="1"/>
  <c r="Y780" i="1"/>
  <c r="S781" i="1"/>
  <c r="T781" i="1"/>
  <c r="U781" i="1"/>
  <c r="V781" i="1"/>
  <c r="X781" i="1"/>
  <c r="Y781" i="1"/>
  <c r="S782" i="1"/>
  <c r="T782" i="1"/>
  <c r="U782" i="1"/>
  <c r="V782" i="1"/>
  <c r="X782" i="1"/>
  <c r="Y782" i="1"/>
  <c r="S783" i="1"/>
  <c r="Y783" i="1" s="1"/>
  <c r="T783" i="1"/>
  <c r="U783" i="1"/>
  <c r="V783" i="1"/>
  <c r="X783" i="1"/>
  <c r="S784" i="1"/>
  <c r="T784" i="1"/>
  <c r="U784" i="1"/>
  <c r="V784" i="1"/>
  <c r="X784" i="1"/>
  <c r="Y784" i="1"/>
  <c r="S785" i="1"/>
  <c r="T785" i="1"/>
  <c r="U785" i="1"/>
  <c r="V785" i="1"/>
  <c r="X785" i="1"/>
  <c r="Y785" i="1"/>
  <c r="S786" i="1"/>
  <c r="T786" i="1"/>
  <c r="U786" i="1"/>
  <c r="V786" i="1"/>
  <c r="X786" i="1"/>
  <c r="Y786" i="1"/>
  <c r="S787" i="1"/>
  <c r="Y787" i="1" s="1"/>
  <c r="T787" i="1"/>
  <c r="U787" i="1"/>
  <c r="V787" i="1"/>
  <c r="X787" i="1"/>
  <c r="S788" i="1"/>
  <c r="T788" i="1"/>
  <c r="U788" i="1"/>
  <c r="V788" i="1"/>
  <c r="X788" i="1"/>
  <c r="Y788" i="1"/>
  <c r="S789" i="1"/>
  <c r="T789" i="1"/>
  <c r="U789" i="1"/>
  <c r="V789" i="1"/>
  <c r="X789" i="1"/>
  <c r="Y789" i="1"/>
  <c r="S790" i="1"/>
  <c r="T790" i="1"/>
  <c r="U790" i="1"/>
  <c r="V790" i="1"/>
  <c r="X790" i="1"/>
  <c r="Y790" i="1"/>
  <c r="S791" i="1"/>
  <c r="Y791" i="1" s="1"/>
  <c r="T791" i="1"/>
  <c r="U791" i="1"/>
  <c r="V791" i="1"/>
  <c r="X791" i="1"/>
  <c r="S792" i="1"/>
  <c r="T792" i="1"/>
  <c r="U792" i="1"/>
  <c r="V792" i="1"/>
  <c r="X792" i="1"/>
  <c r="Y792" i="1"/>
  <c r="S793" i="1"/>
  <c r="T793" i="1"/>
  <c r="U793" i="1"/>
  <c r="V793" i="1"/>
  <c r="X793" i="1"/>
  <c r="Y793" i="1"/>
  <c r="S794" i="1"/>
  <c r="T794" i="1"/>
  <c r="U794" i="1"/>
  <c r="V794" i="1"/>
  <c r="X794" i="1"/>
  <c r="Y794" i="1"/>
  <c r="S795" i="1"/>
  <c r="Y795" i="1" s="1"/>
  <c r="T795" i="1"/>
  <c r="U795" i="1"/>
  <c r="V795" i="1"/>
  <c r="X795" i="1"/>
  <c r="S796" i="1"/>
  <c r="T796" i="1"/>
  <c r="U796" i="1"/>
  <c r="V796" i="1"/>
  <c r="X796" i="1"/>
  <c r="Y796" i="1"/>
  <c r="S797" i="1"/>
  <c r="T797" i="1"/>
  <c r="U797" i="1"/>
  <c r="V797" i="1"/>
  <c r="X797" i="1"/>
  <c r="Y797" i="1"/>
  <c r="S798" i="1"/>
  <c r="T798" i="1"/>
  <c r="U798" i="1"/>
  <c r="V798" i="1"/>
  <c r="X798" i="1"/>
  <c r="Y798" i="1"/>
  <c r="S799" i="1"/>
  <c r="Y799" i="1" s="1"/>
  <c r="T799" i="1"/>
  <c r="U799" i="1"/>
  <c r="V799" i="1"/>
  <c r="X799" i="1"/>
  <c r="S800" i="1"/>
  <c r="T800" i="1"/>
  <c r="U800" i="1"/>
  <c r="V800" i="1"/>
  <c r="X800" i="1"/>
  <c r="Y800" i="1"/>
  <c r="S801" i="1"/>
  <c r="T801" i="1"/>
  <c r="U801" i="1"/>
  <c r="V801" i="1"/>
  <c r="X801" i="1"/>
  <c r="Y801" i="1"/>
  <c r="S802" i="1"/>
  <c r="T802" i="1"/>
  <c r="U802" i="1"/>
  <c r="V802" i="1"/>
  <c r="X802" i="1"/>
  <c r="Y802" i="1"/>
  <c r="S803" i="1"/>
  <c r="Y803" i="1" s="1"/>
  <c r="T803" i="1"/>
  <c r="U803" i="1"/>
  <c r="V803" i="1"/>
  <c r="X803" i="1"/>
  <c r="S804" i="1"/>
  <c r="T804" i="1"/>
  <c r="U804" i="1"/>
  <c r="V804" i="1"/>
  <c r="X804" i="1"/>
  <c r="Y804" i="1"/>
  <c r="S805" i="1"/>
  <c r="T805" i="1"/>
  <c r="U805" i="1"/>
  <c r="V805" i="1"/>
  <c r="X805" i="1"/>
  <c r="Y805" i="1"/>
  <c r="S806" i="1"/>
  <c r="T806" i="1"/>
  <c r="U806" i="1"/>
  <c r="V806" i="1"/>
  <c r="X806" i="1"/>
  <c r="Y806" i="1"/>
  <c r="S807" i="1"/>
  <c r="Y807" i="1" s="1"/>
  <c r="T807" i="1"/>
  <c r="U807" i="1"/>
  <c r="V807" i="1"/>
  <c r="X807" i="1"/>
  <c r="S808" i="1"/>
  <c r="T808" i="1"/>
  <c r="U808" i="1"/>
  <c r="V808" i="1"/>
  <c r="X808" i="1"/>
  <c r="Y808" i="1"/>
  <c r="S809" i="1"/>
  <c r="T809" i="1"/>
  <c r="U809" i="1"/>
  <c r="V809" i="1"/>
  <c r="X809" i="1"/>
  <c r="Y809" i="1"/>
  <c r="S810" i="1"/>
  <c r="T810" i="1"/>
  <c r="U810" i="1"/>
  <c r="V810" i="1"/>
  <c r="X810" i="1"/>
  <c r="Y810" i="1"/>
  <c r="S811" i="1"/>
  <c r="Y811" i="1" s="1"/>
  <c r="T811" i="1"/>
  <c r="U811" i="1"/>
  <c r="V811" i="1"/>
  <c r="X811" i="1"/>
  <c r="S812" i="1"/>
  <c r="T812" i="1"/>
  <c r="U812" i="1"/>
  <c r="V812" i="1"/>
  <c r="X812" i="1"/>
  <c r="Y812" i="1"/>
  <c r="S813" i="1"/>
  <c r="T813" i="1"/>
  <c r="U813" i="1"/>
  <c r="V813" i="1"/>
  <c r="X813" i="1"/>
  <c r="Y813" i="1"/>
  <c r="S814" i="1"/>
  <c r="T814" i="1"/>
  <c r="U814" i="1"/>
  <c r="V814" i="1"/>
  <c r="X814" i="1"/>
  <c r="Y814" i="1"/>
  <c r="S815" i="1"/>
  <c r="Y815" i="1" s="1"/>
  <c r="T815" i="1"/>
  <c r="U815" i="1"/>
  <c r="V815" i="1"/>
  <c r="X815" i="1"/>
  <c r="S816" i="1"/>
  <c r="T816" i="1"/>
  <c r="U816" i="1"/>
  <c r="V816" i="1"/>
  <c r="X816" i="1"/>
  <c r="Y816" i="1"/>
  <c r="S817" i="1"/>
  <c r="T817" i="1"/>
  <c r="U817" i="1"/>
  <c r="V817" i="1"/>
  <c r="X817" i="1"/>
  <c r="Y817" i="1"/>
  <c r="S818" i="1"/>
  <c r="T818" i="1"/>
  <c r="U818" i="1"/>
  <c r="V818" i="1"/>
  <c r="X818" i="1"/>
  <c r="Y818" i="1"/>
  <c r="S819" i="1"/>
  <c r="Y819" i="1" s="1"/>
  <c r="T819" i="1"/>
  <c r="U819" i="1"/>
  <c r="V819" i="1"/>
  <c r="X819" i="1"/>
  <c r="S820" i="1"/>
  <c r="T820" i="1"/>
  <c r="U820" i="1"/>
  <c r="V820" i="1"/>
  <c r="X820" i="1"/>
  <c r="Y820" i="1"/>
  <c r="S821" i="1"/>
  <c r="T821" i="1"/>
  <c r="U821" i="1"/>
  <c r="V821" i="1"/>
  <c r="X821" i="1"/>
  <c r="Y821" i="1"/>
  <c r="S822" i="1"/>
  <c r="T822" i="1"/>
  <c r="U822" i="1"/>
  <c r="V822" i="1"/>
  <c r="X822" i="1"/>
  <c r="Y822" i="1"/>
  <c r="S823" i="1"/>
  <c r="Y823" i="1" s="1"/>
  <c r="T823" i="1"/>
  <c r="U823" i="1"/>
  <c r="V823" i="1"/>
  <c r="X823" i="1"/>
  <c r="S824" i="1"/>
  <c r="T824" i="1"/>
  <c r="U824" i="1"/>
  <c r="V824" i="1"/>
  <c r="X824" i="1"/>
  <c r="Y824" i="1"/>
  <c r="S825" i="1"/>
  <c r="T825" i="1"/>
  <c r="U825" i="1"/>
  <c r="V825" i="1"/>
  <c r="X825" i="1"/>
  <c r="Y825" i="1"/>
  <c r="S826" i="1"/>
  <c r="T826" i="1"/>
  <c r="U826" i="1"/>
  <c r="V826" i="1"/>
  <c r="X826" i="1"/>
  <c r="Y826" i="1"/>
  <c r="S827" i="1"/>
  <c r="Y827" i="1" s="1"/>
  <c r="T827" i="1"/>
  <c r="U827" i="1"/>
  <c r="V827" i="1"/>
  <c r="X827" i="1"/>
  <c r="S828" i="1"/>
  <c r="T828" i="1"/>
  <c r="U828" i="1"/>
  <c r="V828" i="1"/>
  <c r="X828" i="1"/>
  <c r="Y828" i="1"/>
  <c r="S829" i="1"/>
  <c r="T829" i="1"/>
  <c r="U829" i="1"/>
  <c r="V829" i="1"/>
  <c r="X829" i="1"/>
  <c r="Y829" i="1"/>
  <c r="S830" i="1"/>
  <c r="T830" i="1"/>
  <c r="U830" i="1"/>
  <c r="V830" i="1"/>
  <c r="X830" i="1"/>
  <c r="Y830" i="1"/>
  <c r="S831" i="1"/>
  <c r="Y831" i="1" s="1"/>
  <c r="T831" i="1"/>
  <c r="U831" i="1"/>
  <c r="V831" i="1"/>
  <c r="X831" i="1"/>
  <c r="S832" i="1"/>
  <c r="T832" i="1"/>
  <c r="U832" i="1"/>
  <c r="V832" i="1"/>
  <c r="X832" i="1"/>
  <c r="Y832" i="1"/>
  <c r="S833" i="1"/>
  <c r="T833" i="1"/>
  <c r="U833" i="1"/>
  <c r="V833" i="1"/>
  <c r="X833" i="1"/>
  <c r="Y833" i="1"/>
  <c r="S834" i="1"/>
  <c r="T834" i="1"/>
  <c r="U834" i="1"/>
  <c r="V834" i="1"/>
  <c r="X834" i="1"/>
  <c r="Y834" i="1"/>
  <c r="S835" i="1"/>
  <c r="Y835" i="1" s="1"/>
  <c r="T835" i="1"/>
  <c r="U835" i="1"/>
  <c r="V835" i="1"/>
  <c r="X835" i="1"/>
  <c r="S836" i="1"/>
  <c r="T836" i="1"/>
  <c r="U836" i="1"/>
  <c r="V836" i="1"/>
  <c r="X836" i="1"/>
  <c r="Y836" i="1"/>
  <c r="S837" i="1"/>
  <c r="T837" i="1"/>
  <c r="U837" i="1"/>
  <c r="V837" i="1"/>
  <c r="X837" i="1"/>
  <c r="Y837" i="1"/>
  <c r="S838" i="1"/>
  <c r="T838" i="1"/>
  <c r="U838" i="1"/>
  <c r="V838" i="1"/>
  <c r="X838" i="1"/>
  <c r="Y838" i="1"/>
  <c r="S839" i="1"/>
  <c r="Y839" i="1" s="1"/>
  <c r="T839" i="1"/>
  <c r="U839" i="1"/>
  <c r="V839" i="1"/>
  <c r="X839" i="1"/>
  <c r="S840" i="1"/>
  <c r="T840" i="1"/>
  <c r="U840" i="1"/>
  <c r="V840" i="1"/>
  <c r="X840" i="1"/>
  <c r="Y840" i="1"/>
  <c r="S841" i="1"/>
  <c r="T841" i="1"/>
  <c r="U841" i="1"/>
  <c r="V841" i="1"/>
  <c r="X841" i="1"/>
  <c r="Y841" i="1"/>
  <c r="S842" i="1"/>
  <c r="T842" i="1"/>
  <c r="U842" i="1"/>
  <c r="V842" i="1"/>
  <c r="X842" i="1"/>
  <c r="Y842" i="1"/>
  <c r="S843" i="1"/>
  <c r="Y843" i="1" s="1"/>
  <c r="T843" i="1"/>
  <c r="U843" i="1"/>
  <c r="V843" i="1"/>
  <c r="X843" i="1"/>
  <c r="S844" i="1"/>
  <c r="T844" i="1"/>
  <c r="U844" i="1"/>
  <c r="V844" i="1"/>
  <c r="X844" i="1"/>
  <c r="Y844" i="1"/>
  <c r="S845" i="1"/>
  <c r="T845" i="1"/>
  <c r="U845" i="1"/>
  <c r="V845" i="1"/>
  <c r="X845" i="1"/>
  <c r="Y845" i="1"/>
  <c r="S846" i="1"/>
  <c r="T846" i="1"/>
  <c r="U846" i="1"/>
  <c r="V846" i="1"/>
  <c r="X846" i="1"/>
  <c r="Y846" i="1"/>
  <c r="S847" i="1"/>
  <c r="Y847" i="1" s="1"/>
  <c r="T847" i="1"/>
  <c r="U847" i="1"/>
  <c r="V847" i="1"/>
  <c r="X847" i="1"/>
  <c r="S848" i="1"/>
  <c r="T848" i="1"/>
  <c r="U848" i="1"/>
  <c r="V848" i="1"/>
  <c r="X848" i="1"/>
  <c r="Y848" i="1"/>
  <c r="S849" i="1"/>
  <c r="T849" i="1"/>
  <c r="U849" i="1"/>
  <c r="V849" i="1"/>
  <c r="X849" i="1"/>
  <c r="Y849" i="1"/>
  <c r="S850" i="1"/>
  <c r="T850" i="1"/>
  <c r="U850" i="1"/>
  <c r="V850" i="1"/>
  <c r="X850" i="1"/>
  <c r="Y850" i="1"/>
  <c r="S851" i="1"/>
  <c r="Y851" i="1" s="1"/>
  <c r="T851" i="1"/>
  <c r="U851" i="1"/>
  <c r="V851" i="1"/>
  <c r="X851" i="1"/>
  <c r="S852" i="1"/>
  <c r="T852" i="1"/>
  <c r="U852" i="1"/>
  <c r="V852" i="1"/>
  <c r="X852" i="1"/>
  <c r="Y852" i="1"/>
  <c r="S853" i="1"/>
  <c r="T853" i="1"/>
  <c r="U853" i="1"/>
  <c r="V853" i="1"/>
  <c r="X853" i="1"/>
  <c r="Y853" i="1"/>
  <c r="S854" i="1"/>
  <c r="T854" i="1"/>
  <c r="U854" i="1"/>
  <c r="V854" i="1"/>
  <c r="X854" i="1"/>
  <c r="Y854" i="1"/>
  <c r="S855" i="1"/>
  <c r="Y855" i="1" s="1"/>
  <c r="T855" i="1"/>
  <c r="U855" i="1"/>
  <c r="V855" i="1"/>
  <c r="X855" i="1"/>
  <c r="S856" i="1"/>
  <c r="T856" i="1"/>
  <c r="U856" i="1"/>
  <c r="V856" i="1"/>
  <c r="X856" i="1"/>
  <c r="Y856" i="1"/>
  <c r="S857" i="1"/>
  <c r="T857" i="1"/>
  <c r="U857" i="1"/>
  <c r="V857" i="1"/>
  <c r="X857" i="1"/>
  <c r="Y857" i="1"/>
  <c r="S858" i="1"/>
  <c r="T858" i="1"/>
  <c r="U858" i="1"/>
  <c r="V858" i="1"/>
  <c r="X858" i="1"/>
  <c r="Y858" i="1"/>
  <c r="S859" i="1"/>
  <c r="Y859" i="1" s="1"/>
  <c r="T859" i="1"/>
  <c r="U859" i="1"/>
  <c r="V859" i="1"/>
  <c r="X859" i="1"/>
  <c r="S860" i="1"/>
  <c r="T860" i="1"/>
  <c r="U860" i="1"/>
  <c r="V860" i="1"/>
  <c r="X860" i="1"/>
  <c r="Y860" i="1"/>
  <c r="S861" i="1"/>
  <c r="T861" i="1"/>
  <c r="U861" i="1"/>
  <c r="V861" i="1"/>
  <c r="X861" i="1"/>
  <c r="Y861" i="1"/>
  <c r="S862" i="1"/>
  <c r="T862" i="1"/>
  <c r="U862" i="1"/>
  <c r="V862" i="1"/>
  <c r="X862" i="1"/>
  <c r="Y862" i="1"/>
  <c r="S863" i="1"/>
  <c r="Y863" i="1" s="1"/>
  <c r="T863" i="1"/>
  <c r="U863" i="1"/>
  <c r="V863" i="1"/>
  <c r="X863" i="1"/>
  <c r="S864" i="1"/>
  <c r="T864" i="1"/>
  <c r="U864" i="1"/>
  <c r="V864" i="1"/>
  <c r="X864" i="1"/>
  <c r="Y864" i="1"/>
  <c r="S865" i="1"/>
  <c r="T865" i="1"/>
  <c r="U865" i="1"/>
  <c r="V865" i="1"/>
  <c r="X865" i="1"/>
  <c r="Y865" i="1"/>
  <c r="S866" i="1"/>
  <c r="T866" i="1"/>
  <c r="U866" i="1"/>
  <c r="V866" i="1"/>
  <c r="X866" i="1"/>
  <c r="Y866" i="1"/>
  <c r="S867" i="1"/>
  <c r="Y867" i="1" s="1"/>
  <c r="T867" i="1"/>
  <c r="U867" i="1"/>
  <c r="V867" i="1"/>
  <c r="X867" i="1"/>
  <c r="S868" i="1"/>
  <c r="T868" i="1"/>
  <c r="U868" i="1"/>
  <c r="V868" i="1"/>
  <c r="X868" i="1"/>
  <c r="Y868" i="1"/>
  <c r="S869" i="1"/>
  <c r="T869" i="1"/>
  <c r="U869" i="1"/>
  <c r="V869" i="1"/>
  <c r="X869" i="1"/>
  <c r="Y869" i="1"/>
  <c r="S870" i="1"/>
  <c r="T870" i="1"/>
  <c r="U870" i="1"/>
  <c r="V870" i="1"/>
  <c r="X870" i="1"/>
  <c r="Y870" i="1"/>
  <c r="S871" i="1"/>
  <c r="Y871" i="1" s="1"/>
  <c r="T871" i="1"/>
  <c r="U871" i="1"/>
  <c r="V871" i="1"/>
  <c r="X871" i="1"/>
  <c r="S872" i="1"/>
  <c r="T872" i="1"/>
  <c r="U872" i="1"/>
  <c r="V872" i="1"/>
  <c r="X872" i="1"/>
  <c r="Y872" i="1"/>
  <c r="S873" i="1"/>
  <c r="T873" i="1"/>
  <c r="U873" i="1"/>
  <c r="V873" i="1"/>
  <c r="X873" i="1"/>
  <c r="Y873" i="1"/>
  <c r="S874" i="1"/>
  <c r="T874" i="1"/>
  <c r="U874" i="1"/>
  <c r="V874" i="1"/>
  <c r="X874" i="1"/>
  <c r="Y874" i="1"/>
  <c r="S875" i="1"/>
  <c r="Y875" i="1" s="1"/>
  <c r="T875" i="1"/>
  <c r="U875" i="1"/>
  <c r="V875" i="1"/>
  <c r="X875" i="1"/>
  <c r="S876" i="1"/>
  <c r="T876" i="1"/>
  <c r="U876" i="1"/>
  <c r="V876" i="1"/>
  <c r="X876" i="1"/>
  <c r="Y876" i="1"/>
  <c r="S877" i="1"/>
  <c r="T877" i="1"/>
  <c r="U877" i="1"/>
  <c r="V877" i="1"/>
  <c r="X877" i="1"/>
  <c r="Y877" i="1"/>
  <c r="S878" i="1"/>
  <c r="T878" i="1"/>
  <c r="U878" i="1"/>
  <c r="V878" i="1"/>
  <c r="X878" i="1"/>
  <c r="Y878" i="1"/>
  <c r="S879" i="1"/>
  <c r="Y879" i="1" s="1"/>
  <c r="T879" i="1"/>
  <c r="U879" i="1"/>
  <c r="V879" i="1"/>
  <c r="X879" i="1"/>
  <c r="S880" i="1"/>
  <c r="T880" i="1"/>
  <c r="U880" i="1"/>
  <c r="V880" i="1"/>
  <c r="X880" i="1"/>
  <c r="Y880" i="1"/>
  <c r="S881" i="1"/>
  <c r="T881" i="1"/>
  <c r="U881" i="1"/>
  <c r="V881" i="1"/>
  <c r="X881" i="1"/>
  <c r="Y881" i="1"/>
  <c r="S882" i="1"/>
  <c r="T882" i="1"/>
  <c r="U882" i="1"/>
  <c r="V882" i="1"/>
  <c r="X882" i="1"/>
  <c r="Y882" i="1"/>
  <c r="S883" i="1"/>
  <c r="Y883" i="1" s="1"/>
  <c r="T883" i="1"/>
  <c r="U883" i="1"/>
  <c r="V883" i="1"/>
  <c r="X883" i="1"/>
  <c r="S884" i="1"/>
  <c r="T884" i="1"/>
  <c r="U884" i="1"/>
  <c r="V884" i="1"/>
  <c r="X884" i="1"/>
  <c r="Y884" i="1"/>
  <c r="S885" i="1"/>
  <c r="T885" i="1"/>
  <c r="U885" i="1"/>
  <c r="V885" i="1"/>
  <c r="X885" i="1"/>
  <c r="Y885" i="1"/>
  <c r="S886" i="1"/>
  <c r="T886" i="1"/>
  <c r="U886" i="1"/>
  <c r="V886" i="1"/>
  <c r="X886" i="1"/>
  <c r="Y886" i="1"/>
  <c r="S887" i="1"/>
  <c r="Y887" i="1" s="1"/>
  <c r="T887" i="1"/>
  <c r="U887" i="1"/>
  <c r="V887" i="1"/>
  <c r="X887" i="1"/>
  <c r="S888" i="1"/>
  <c r="T888" i="1"/>
  <c r="U888" i="1"/>
  <c r="V888" i="1"/>
  <c r="X888" i="1"/>
  <c r="Y888" i="1"/>
  <c r="S889" i="1"/>
  <c r="T889" i="1"/>
  <c r="U889" i="1"/>
  <c r="V889" i="1"/>
  <c r="X889" i="1"/>
  <c r="Y889" i="1"/>
  <c r="S890" i="1"/>
  <c r="T890" i="1"/>
  <c r="U890" i="1"/>
  <c r="V890" i="1"/>
  <c r="X890" i="1"/>
  <c r="Y890" i="1"/>
  <c r="S891" i="1"/>
  <c r="Y891" i="1" s="1"/>
  <c r="T891" i="1"/>
  <c r="U891" i="1"/>
  <c r="V891" i="1"/>
  <c r="X891" i="1"/>
  <c r="S892" i="1"/>
  <c r="T892" i="1"/>
  <c r="U892" i="1"/>
  <c r="V892" i="1"/>
  <c r="X892" i="1"/>
  <c r="Y892" i="1"/>
  <c r="S893" i="1"/>
  <c r="T893" i="1"/>
  <c r="U893" i="1"/>
  <c r="V893" i="1"/>
  <c r="X893" i="1"/>
  <c r="Y893" i="1"/>
  <c r="S894" i="1"/>
  <c r="T894" i="1"/>
  <c r="U894" i="1"/>
  <c r="V894" i="1"/>
  <c r="X894" i="1"/>
  <c r="Y894" i="1"/>
  <c r="S895" i="1"/>
  <c r="Y895" i="1" s="1"/>
  <c r="T895" i="1"/>
  <c r="U895" i="1"/>
  <c r="V895" i="1"/>
  <c r="X895" i="1"/>
  <c r="S896" i="1"/>
  <c r="T896" i="1"/>
  <c r="U896" i="1"/>
  <c r="V896" i="1"/>
  <c r="X896" i="1"/>
  <c r="Y896" i="1"/>
  <c r="S897" i="1"/>
  <c r="T897" i="1"/>
  <c r="U897" i="1"/>
  <c r="V897" i="1"/>
  <c r="X897" i="1"/>
  <c r="Y897" i="1"/>
  <c r="S898" i="1"/>
  <c r="T898" i="1"/>
  <c r="U898" i="1"/>
  <c r="V898" i="1"/>
  <c r="X898" i="1"/>
  <c r="Y898" i="1"/>
  <c r="S899" i="1"/>
  <c r="Y899" i="1" s="1"/>
  <c r="T899" i="1"/>
  <c r="U899" i="1"/>
  <c r="V899" i="1"/>
  <c r="X899" i="1"/>
  <c r="S900" i="1"/>
  <c r="T900" i="1"/>
  <c r="U900" i="1"/>
  <c r="V900" i="1"/>
  <c r="X900" i="1"/>
  <c r="Y900" i="1"/>
  <c r="S901" i="1"/>
  <c r="T901" i="1"/>
  <c r="U901" i="1"/>
  <c r="V901" i="1"/>
  <c r="X901" i="1"/>
  <c r="Y901" i="1"/>
  <c r="S902" i="1"/>
  <c r="T902" i="1"/>
  <c r="U902" i="1"/>
  <c r="V902" i="1"/>
  <c r="X902" i="1"/>
  <c r="Y902" i="1"/>
  <c r="S903" i="1"/>
  <c r="Y903" i="1" s="1"/>
  <c r="T903" i="1"/>
  <c r="U903" i="1"/>
  <c r="V903" i="1"/>
  <c r="X903" i="1"/>
  <c r="S904" i="1"/>
  <c r="T904" i="1"/>
  <c r="U904" i="1"/>
  <c r="V904" i="1"/>
  <c r="X904" i="1"/>
  <c r="Y904" i="1"/>
  <c r="S905" i="1"/>
  <c r="T905" i="1"/>
  <c r="U905" i="1"/>
  <c r="V905" i="1"/>
  <c r="X905" i="1"/>
  <c r="Y905" i="1"/>
  <c r="S906" i="1"/>
  <c r="T906" i="1"/>
  <c r="U906" i="1"/>
  <c r="V906" i="1"/>
  <c r="X906" i="1"/>
  <c r="Y906" i="1"/>
  <c r="S907" i="1"/>
  <c r="Y907" i="1" s="1"/>
  <c r="T907" i="1"/>
  <c r="U907" i="1"/>
  <c r="V907" i="1"/>
  <c r="X907" i="1"/>
  <c r="S908" i="1"/>
  <c r="T908" i="1"/>
  <c r="U908" i="1"/>
  <c r="V908" i="1"/>
  <c r="X908" i="1"/>
  <c r="Y908" i="1"/>
  <c r="S909" i="1"/>
  <c r="T909" i="1"/>
  <c r="U909" i="1"/>
  <c r="V909" i="1"/>
  <c r="X909" i="1"/>
  <c r="Y909" i="1"/>
  <c r="S910" i="1"/>
  <c r="T910" i="1"/>
  <c r="U910" i="1"/>
  <c r="V910" i="1"/>
  <c r="X910" i="1"/>
  <c r="Y910" i="1"/>
  <c r="S911" i="1"/>
  <c r="Y911" i="1" s="1"/>
  <c r="T911" i="1"/>
  <c r="U911" i="1"/>
  <c r="V911" i="1"/>
  <c r="X911" i="1"/>
  <c r="S912" i="1"/>
  <c r="T912" i="1"/>
  <c r="U912" i="1"/>
  <c r="V912" i="1"/>
  <c r="X912" i="1"/>
  <c r="Y912" i="1"/>
  <c r="S913" i="1"/>
  <c r="T913" i="1"/>
  <c r="U913" i="1"/>
  <c r="V913" i="1"/>
  <c r="X913" i="1"/>
  <c r="Y913" i="1"/>
  <c r="S914" i="1"/>
  <c r="T914" i="1"/>
  <c r="U914" i="1"/>
  <c r="V914" i="1"/>
  <c r="X914" i="1"/>
  <c r="Y914" i="1"/>
  <c r="S915" i="1"/>
  <c r="Y915" i="1" s="1"/>
  <c r="T915" i="1"/>
  <c r="U915" i="1"/>
  <c r="V915" i="1"/>
  <c r="X915" i="1"/>
  <c r="S916" i="1"/>
  <c r="T916" i="1"/>
  <c r="U916" i="1"/>
  <c r="V916" i="1"/>
  <c r="X916" i="1"/>
  <c r="Y916" i="1"/>
  <c r="S917" i="1"/>
  <c r="T917" i="1"/>
  <c r="U917" i="1"/>
  <c r="V917" i="1"/>
  <c r="X917" i="1"/>
  <c r="Y917" i="1"/>
  <c r="S918" i="1"/>
  <c r="T918" i="1"/>
  <c r="U918" i="1"/>
  <c r="V918" i="1"/>
  <c r="X918" i="1"/>
  <c r="Y918" i="1"/>
  <c r="S919" i="1"/>
  <c r="T919" i="1"/>
  <c r="U919" i="1"/>
  <c r="V919" i="1"/>
  <c r="X919" i="1"/>
  <c r="Y919" i="1"/>
  <c r="S920" i="1"/>
  <c r="T920" i="1"/>
  <c r="U920" i="1"/>
  <c r="V920" i="1"/>
  <c r="X920" i="1"/>
  <c r="Y920" i="1"/>
  <c r="S921" i="1"/>
  <c r="T921" i="1"/>
  <c r="U921" i="1"/>
  <c r="V921" i="1"/>
  <c r="X921" i="1"/>
  <c r="Y921" i="1"/>
  <c r="S922" i="1"/>
  <c r="T922" i="1"/>
  <c r="U922" i="1"/>
  <c r="V922" i="1"/>
  <c r="X922" i="1"/>
  <c r="Y922" i="1"/>
  <c r="S923" i="1"/>
  <c r="T923" i="1"/>
  <c r="U923" i="1"/>
  <c r="V923" i="1"/>
  <c r="X923" i="1"/>
  <c r="Y923" i="1"/>
  <c r="S924" i="1"/>
  <c r="T924" i="1"/>
  <c r="U924" i="1"/>
  <c r="V924" i="1"/>
  <c r="X924" i="1"/>
  <c r="Y924" i="1"/>
  <c r="S925" i="1"/>
  <c r="T925" i="1"/>
  <c r="U925" i="1"/>
  <c r="V925" i="1"/>
  <c r="X925" i="1"/>
  <c r="Y925" i="1"/>
  <c r="S926" i="1"/>
  <c r="T926" i="1"/>
  <c r="U926" i="1"/>
  <c r="V926" i="1"/>
  <c r="X926" i="1"/>
  <c r="Y926" i="1"/>
  <c r="S927" i="1"/>
  <c r="T927" i="1"/>
  <c r="U927" i="1"/>
  <c r="V927" i="1"/>
  <c r="X927" i="1"/>
  <c r="Y927" i="1"/>
  <c r="S928" i="1"/>
  <c r="T928" i="1"/>
  <c r="U928" i="1"/>
  <c r="V928" i="1"/>
  <c r="X928" i="1"/>
  <c r="Y928" i="1"/>
  <c r="S929" i="1"/>
  <c r="T929" i="1"/>
  <c r="U929" i="1"/>
  <c r="V929" i="1"/>
  <c r="X929" i="1"/>
  <c r="Y929" i="1"/>
  <c r="S930" i="1"/>
  <c r="T930" i="1"/>
  <c r="U930" i="1"/>
  <c r="V930" i="1"/>
  <c r="X930" i="1"/>
  <c r="Y930" i="1"/>
  <c r="S931" i="1"/>
  <c r="T931" i="1"/>
  <c r="U931" i="1"/>
  <c r="V931" i="1"/>
  <c r="X931" i="1"/>
  <c r="Y931" i="1"/>
  <c r="S932" i="1"/>
  <c r="T932" i="1"/>
  <c r="U932" i="1"/>
  <c r="V932" i="1"/>
  <c r="X932" i="1"/>
  <c r="Y932" i="1"/>
  <c r="S933" i="1"/>
  <c r="T933" i="1"/>
  <c r="U933" i="1"/>
  <c r="V933" i="1"/>
  <c r="X933" i="1"/>
  <c r="Y933" i="1"/>
  <c r="S934" i="1"/>
  <c r="T934" i="1"/>
  <c r="U934" i="1"/>
  <c r="V934" i="1"/>
  <c r="X934" i="1"/>
  <c r="Y934" i="1"/>
  <c r="S935" i="1"/>
  <c r="T935" i="1"/>
  <c r="U935" i="1"/>
  <c r="V935" i="1"/>
  <c r="X935" i="1"/>
  <c r="Y935" i="1"/>
  <c r="S936" i="1"/>
  <c r="T936" i="1"/>
  <c r="U936" i="1"/>
  <c r="V936" i="1"/>
  <c r="X936" i="1"/>
  <c r="Y936" i="1"/>
  <c r="S937" i="1"/>
  <c r="T937" i="1"/>
  <c r="U937" i="1"/>
  <c r="V937" i="1"/>
  <c r="X937" i="1"/>
  <c r="Y937" i="1"/>
  <c r="S938" i="1"/>
  <c r="T938" i="1"/>
  <c r="U938" i="1"/>
  <c r="V938" i="1"/>
  <c r="X938" i="1"/>
  <c r="Y938" i="1"/>
  <c r="S939" i="1"/>
  <c r="T939" i="1"/>
  <c r="U939" i="1"/>
  <c r="V939" i="1"/>
  <c r="X939" i="1"/>
  <c r="Y939" i="1"/>
  <c r="S940" i="1"/>
  <c r="T940" i="1"/>
  <c r="U940" i="1"/>
  <c r="V940" i="1"/>
  <c r="X940" i="1"/>
  <c r="Y940" i="1"/>
  <c r="S941" i="1"/>
  <c r="T941" i="1"/>
  <c r="U941" i="1"/>
  <c r="V941" i="1"/>
  <c r="X941" i="1"/>
  <c r="Y941" i="1"/>
  <c r="S942" i="1"/>
  <c r="T942" i="1"/>
  <c r="U942" i="1"/>
  <c r="V942" i="1"/>
  <c r="X942" i="1"/>
  <c r="Y942" i="1"/>
  <c r="S943" i="1"/>
  <c r="T943" i="1"/>
  <c r="U943" i="1"/>
  <c r="V943" i="1"/>
  <c r="X943" i="1"/>
  <c r="Y943" i="1"/>
  <c r="S944" i="1"/>
  <c r="T944" i="1"/>
  <c r="U944" i="1"/>
  <c r="V944" i="1"/>
  <c r="X944" i="1"/>
  <c r="Y944" i="1"/>
  <c r="S945" i="1"/>
  <c r="T945" i="1"/>
  <c r="U945" i="1"/>
  <c r="V945" i="1"/>
  <c r="X945" i="1"/>
  <c r="Y945" i="1"/>
  <c r="S946" i="1"/>
  <c r="T946" i="1"/>
  <c r="U946" i="1"/>
  <c r="V946" i="1"/>
  <c r="X946" i="1"/>
  <c r="Y946" i="1"/>
  <c r="S947" i="1"/>
  <c r="T947" i="1"/>
  <c r="U947" i="1"/>
  <c r="V947" i="1"/>
  <c r="X947" i="1"/>
  <c r="Y947" i="1"/>
  <c r="S948" i="1"/>
  <c r="T948" i="1"/>
  <c r="U948" i="1"/>
  <c r="V948" i="1"/>
  <c r="X948" i="1"/>
  <c r="Y948" i="1"/>
  <c r="S949" i="1"/>
  <c r="T949" i="1"/>
  <c r="U949" i="1"/>
  <c r="V949" i="1"/>
  <c r="X949" i="1"/>
  <c r="Y949" i="1"/>
  <c r="S950" i="1"/>
  <c r="T950" i="1"/>
  <c r="U950" i="1"/>
  <c r="V950" i="1"/>
  <c r="X950" i="1"/>
  <c r="Y950" i="1"/>
  <c r="S951" i="1"/>
  <c r="T951" i="1"/>
  <c r="U951" i="1"/>
  <c r="V951" i="1"/>
  <c r="X951" i="1"/>
  <c r="Y951" i="1"/>
  <c r="S952" i="1"/>
  <c r="T952" i="1"/>
  <c r="U952" i="1"/>
  <c r="V952" i="1"/>
  <c r="X952" i="1"/>
  <c r="Y952" i="1"/>
  <c r="S953" i="1"/>
  <c r="T953" i="1"/>
  <c r="U953" i="1"/>
  <c r="V953" i="1"/>
  <c r="X953" i="1"/>
  <c r="Y953" i="1"/>
  <c r="S954" i="1"/>
  <c r="T954" i="1"/>
  <c r="U954" i="1"/>
  <c r="V954" i="1"/>
  <c r="X954" i="1"/>
  <c r="Y954" i="1"/>
  <c r="S955" i="1"/>
  <c r="T955" i="1"/>
  <c r="U955" i="1"/>
  <c r="V955" i="1"/>
  <c r="X955" i="1"/>
  <c r="Y955" i="1"/>
  <c r="S956" i="1"/>
  <c r="T956" i="1"/>
  <c r="U956" i="1"/>
  <c r="V956" i="1"/>
  <c r="X956" i="1"/>
  <c r="Y956" i="1"/>
  <c r="S957" i="1"/>
  <c r="T957" i="1"/>
  <c r="U957" i="1"/>
  <c r="V957" i="1"/>
  <c r="X957" i="1"/>
  <c r="Y957" i="1"/>
  <c r="S958" i="1"/>
  <c r="T958" i="1"/>
  <c r="U958" i="1"/>
  <c r="V958" i="1"/>
  <c r="X958" i="1"/>
  <c r="Y958" i="1"/>
  <c r="S959" i="1"/>
  <c r="T959" i="1"/>
  <c r="U959" i="1"/>
  <c r="V959" i="1"/>
  <c r="X959" i="1"/>
  <c r="Y959" i="1"/>
  <c r="S960" i="1"/>
  <c r="T960" i="1"/>
  <c r="U960" i="1"/>
  <c r="V960" i="1"/>
  <c r="X960" i="1"/>
  <c r="Y960" i="1"/>
  <c r="S961" i="1"/>
  <c r="T961" i="1"/>
  <c r="U961" i="1"/>
  <c r="V961" i="1"/>
  <c r="X961" i="1"/>
  <c r="Y961" i="1"/>
  <c r="S962" i="1"/>
  <c r="T962" i="1"/>
  <c r="U962" i="1"/>
  <c r="V962" i="1"/>
  <c r="X962" i="1"/>
  <c r="Y962" i="1"/>
  <c r="S963" i="1"/>
  <c r="T963" i="1"/>
  <c r="U963" i="1"/>
  <c r="V963" i="1"/>
  <c r="X963" i="1"/>
  <c r="Y963" i="1"/>
  <c r="S964" i="1"/>
  <c r="T964" i="1"/>
  <c r="U964" i="1"/>
  <c r="V964" i="1"/>
  <c r="X964" i="1"/>
  <c r="Y964" i="1"/>
  <c r="S965" i="1"/>
  <c r="T965" i="1"/>
  <c r="U965" i="1"/>
  <c r="V965" i="1"/>
  <c r="X965" i="1"/>
  <c r="Y965" i="1"/>
  <c r="S966" i="1"/>
  <c r="T966" i="1"/>
  <c r="U966" i="1"/>
  <c r="V966" i="1"/>
  <c r="X966" i="1"/>
  <c r="Y966" i="1"/>
  <c r="S967" i="1"/>
  <c r="T967" i="1"/>
  <c r="U967" i="1"/>
  <c r="V967" i="1"/>
  <c r="X967" i="1"/>
  <c r="Y967" i="1"/>
  <c r="S968" i="1"/>
  <c r="T968" i="1"/>
  <c r="U968" i="1"/>
  <c r="V968" i="1"/>
  <c r="X968" i="1"/>
  <c r="Y968" i="1"/>
  <c r="S969" i="1"/>
  <c r="T969" i="1"/>
  <c r="U969" i="1"/>
  <c r="V969" i="1"/>
  <c r="X969" i="1"/>
  <c r="Y969" i="1"/>
  <c r="S970" i="1"/>
  <c r="T970" i="1"/>
  <c r="U970" i="1"/>
  <c r="V970" i="1"/>
  <c r="X970" i="1"/>
  <c r="Y970" i="1"/>
  <c r="S971" i="1"/>
  <c r="T971" i="1"/>
  <c r="U971" i="1"/>
  <c r="V971" i="1"/>
  <c r="X971" i="1"/>
  <c r="Y971" i="1"/>
  <c r="S972" i="1"/>
  <c r="T972" i="1"/>
  <c r="U972" i="1"/>
  <c r="V972" i="1"/>
  <c r="X972" i="1"/>
  <c r="Y972" i="1"/>
  <c r="S973" i="1"/>
  <c r="T973" i="1"/>
  <c r="U973" i="1"/>
  <c r="V973" i="1"/>
  <c r="X973" i="1"/>
  <c r="Y973" i="1"/>
  <c r="S974" i="1"/>
  <c r="T974" i="1"/>
  <c r="U974" i="1"/>
  <c r="V974" i="1"/>
  <c r="X974" i="1"/>
  <c r="Y974" i="1"/>
  <c r="S975" i="1"/>
  <c r="T975" i="1"/>
  <c r="U975" i="1"/>
  <c r="V975" i="1"/>
  <c r="X975" i="1"/>
  <c r="Y975" i="1"/>
  <c r="S976" i="1"/>
  <c r="T976" i="1"/>
  <c r="U976" i="1"/>
  <c r="V976" i="1"/>
  <c r="X976" i="1"/>
  <c r="Y976" i="1"/>
  <c r="S977" i="1"/>
  <c r="T977" i="1"/>
  <c r="U977" i="1"/>
  <c r="V977" i="1"/>
  <c r="X977" i="1"/>
  <c r="Y977" i="1"/>
  <c r="S978" i="1"/>
  <c r="T978" i="1"/>
  <c r="U978" i="1"/>
  <c r="V978" i="1"/>
  <c r="X978" i="1"/>
  <c r="Y978" i="1"/>
  <c r="S979" i="1"/>
  <c r="T979" i="1"/>
  <c r="U979" i="1"/>
  <c r="V979" i="1"/>
  <c r="X979" i="1"/>
  <c r="Y979" i="1"/>
  <c r="S980" i="1"/>
  <c r="T980" i="1"/>
  <c r="U980" i="1"/>
  <c r="V980" i="1"/>
  <c r="X980" i="1"/>
  <c r="Y980" i="1"/>
  <c r="S981" i="1"/>
  <c r="T981" i="1"/>
  <c r="U981" i="1"/>
  <c r="V981" i="1"/>
  <c r="X981" i="1"/>
  <c r="Y981" i="1"/>
  <c r="S982" i="1"/>
  <c r="T982" i="1"/>
  <c r="U982" i="1"/>
  <c r="V982" i="1"/>
  <c r="X982" i="1"/>
  <c r="Y982" i="1"/>
  <c r="S983" i="1"/>
  <c r="T983" i="1"/>
  <c r="U983" i="1"/>
  <c r="V983" i="1"/>
  <c r="X983" i="1"/>
  <c r="Y983" i="1"/>
  <c r="S984" i="1"/>
  <c r="T984" i="1"/>
  <c r="U984" i="1"/>
  <c r="V984" i="1"/>
  <c r="X984" i="1"/>
  <c r="Y984" i="1"/>
  <c r="S985" i="1"/>
  <c r="T985" i="1"/>
  <c r="U985" i="1"/>
  <c r="V985" i="1"/>
  <c r="X985" i="1"/>
  <c r="Y985" i="1"/>
  <c r="S986" i="1"/>
  <c r="T986" i="1"/>
  <c r="U986" i="1"/>
  <c r="V986" i="1"/>
  <c r="X986" i="1"/>
  <c r="Y986" i="1"/>
  <c r="S987" i="1"/>
  <c r="T987" i="1"/>
  <c r="U987" i="1"/>
  <c r="V987" i="1"/>
  <c r="X987" i="1"/>
  <c r="Y987" i="1"/>
  <c r="S988" i="1"/>
  <c r="T988" i="1"/>
  <c r="U988" i="1"/>
  <c r="V988" i="1"/>
  <c r="X988" i="1"/>
  <c r="Y988" i="1"/>
  <c r="S989" i="1"/>
  <c r="T989" i="1"/>
  <c r="U989" i="1"/>
  <c r="V989" i="1"/>
  <c r="X989" i="1"/>
  <c r="Y989" i="1"/>
  <c r="S990" i="1"/>
  <c r="T990" i="1"/>
  <c r="U990" i="1"/>
  <c r="V990" i="1"/>
  <c r="X990" i="1"/>
  <c r="Y990" i="1"/>
  <c r="S991" i="1"/>
  <c r="T991" i="1"/>
  <c r="U991" i="1"/>
  <c r="V991" i="1"/>
  <c r="X991" i="1"/>
  <c r="Y991" i="1"/>
  <c r="S992" i="1"/>
  <c r="T992" i="1"/>
  <c r="U992" i="1"/>
  <c r="V992" i="1"/>
  <c r="X992" i="1"/>
  <c r="Y992" i="1"/>
  <c r="S993" i="1"/>
  <c r="T993" i="1"/>
  <c r="U993" i="1"/>
  <c r="V993" i="1"/>
  <c r="X993" i="1"/>
  <c r="Y993" i="1"/>
  <c r="S994" i="1"/>
  <c r="T994" i="1"/>
  <c r="U994" i="1"/>
  <c r="V994" i="1"/>
  <c r="X994" i="1"/>
  <c r="Y994" i="1"/>
  <c r="S995" i="1"/>
  <c r="T995" i="1"/>
  <c r="U995" i="1"/>
  <c r="V995" i="1"/>
  <c r="X995" i="1"/>
  <c r="Y995" i="1"/>
  <c r="S996" i="1"/>
  <c r="T996" i="1"/>
  <c r="U996" i="1"/>
  <c r="V996" i="1"/>
  <c r="X996" i="1"/>
  <c r="Y996" i="1"/>
  <c r="S997" i="1"/>
  <c r="T997" i="1"/>
  <c r="U997" i="1"/>
  <c r="V997" i="1"/>
  <c r="X997" i="1"/>
  <c r="Y997" i="1"/>
  <c r="S998" i="1"/>
  <c r="T998" i="1"/>
  <c r="U998" i="1"/>
  <c r="V998" i="1"/>
  <c r="X998" i="1"/>
  <c r="Y998" i="1"/>
  <c r="S999" i="1"/>
  <c r="T999" i="1"/>
  <c r="U999" i="1"/>
  <c r="V999" i="1"/>
  <c r="X999" i="1"/>
  <c r="Y999" i="1"/>
  <c r="S1000" i="1"/>
  <c r="T1000" i="1"/>
  <c r="U1000" i="1"/>
  <c r="V1000" i="1"/>
  <c r="X1000" i="1"/>
  <c r="Y1000" i="1"/>
  <c r="S1001" i="1"/>
  <c r="T1001" i="1"/>
  <c r="U1001" i="1"/>
  <c r="V1001" i="1"/>
  <c r="X1001" i="1"/>
  <c r="Y1001" i="1"/>
  <c r="S1002" i="1"/>
  <c r="T1002" i="1"/>
  <c r="U1002" i="1"/>
  <c r="V1002" i="1"/>
  <c r="X1002" i="1"/>
  <c r="Y1002" i="1"/>
  <c r="S1003" i="1"/>
  <c r="T1003" i="1"/>
  <c r="U1003" i="1"/>
  <c r="V1003" i="1"/>
  <c r="X1003" i="1"/>
  <c r="Y1003" i="1"/>
  <c r="S1004" i="1"/>
  <c r="T1004" i="1"/>
  <c r="U1004" i="1"/>
  <c r="V1004" i="1"/>
  <c r="X1004" i="1"/>
  <c r="Y1004" i="1"/>
  <c r="S1005" i="1"/>
  <c r="T1005" i="1"/>
  <c r="U1005" i="1"/>
  <c r="V1005" i="1"/>
  <c r="X1005" i="1"/>
  <c r="Y1005" i="1"/>
  <c r="S1006" i="1"/>
  <c r="T1006" i="1"/>
  <c r="U1006" i="1"/>
  <c r="V1006" i="1"/>
  <c r="X1006" i="1"/>
  <c r="Y1006" i="1"/>
  <c r="S1007" i="1"/>
  <c r="T1007" i="1"/>
  <c r="U1007" i="1"/>
  <c r="V1007" i="1"/>
  <c r="X1007" i="1"/>
  <c r="Y1007" i="1"/>
  <c r="S1008" i="1"/>
  <c r="T1008" i="1"/>
  <c r="U1008" i="1"/>
  <c r="V1008" i="1"/>
  <c r="X1008" i="1"/>
  <c r="Y1008" i="1"/>
  <c r="S1009" i="1"/>
  <c r="T1009" i="1"/>
  <c r="U1009" i="1"/>
  <c r="V1009" i="1"/>
  <c r="X1009" i="1"/>
  <c r="Y1009" i="1"/>
  <c r="S1010" i="1"/>
  <c r="T1010" i="1"/>
  <c r="U1010" i="1"/>
  <c r="V1010" i="1"/>
  <c r="X1010" i="1"/>
  <c r="Y1010" i="1"/>
  <c r="S1011" i="1"/>
  <c r="T1011" i="1"/>
  <c r="U1011" i="1"/>
  <c r="V1011" i="1"/>
  <c r="X1011" i="1"/>
  <c r="Y1011" i="1"/>
  <c r="S1012" i="1"/>
  <c r="T1012" i="1"/>
  <c r="U1012" i="1"/>
  <c r="V1012" i="1"/>
  <c r="X1012" i="1"/>
  <c r="Y1012" i="1"/>
  <c r="S1013" i="1"/>
  <c r="T1013" i="1"/>
  <c r="U1013" i="1"/>
  <c r="V1013" i="1"/>
  <c r="X1013" i="1"/>
  <c r="Y1013" i="1"/>
  <c r="S1014" i="1"/>
  <c r="T1014" i="1"/>
  <c r="U1014" i="1"/>
  <c r="V1014" i="1"/>
  <c r="X1014" i="1"/>
  <c r="Y1014" i="1"/>
  <c r="S1015" i="1"/>
  <c r="T1015" i="1"/>
  <c r="U1015" i="1"/>
  <c r="V1015" i="1"/>
  <c r="X1015" i="1"/>
  <c r="Y1015" i="1"/>
  <c r="S1016" i="1"/>
  <c r="T1016" i="1"/>
  <c r="U1016" i="1"/>
  <c r="V1016" i="1"/>
  <c r="X1016" i="1"/>
  <c r="Y1016" i="1"/>
  <c r="S1017" i="1"/>
  <c r="T1017" i="1"/>
  <c r="U1017" i="1"/>
  <c r="V1017" i="1"/>
  <c r="X1017" i="1"/>
  <c r="Y1017" i="1"/>
  <c r="S1018" i="1"/>
  <c r="T1018" i="1"/>
  <c r="U1018" i="1"/>
  <c r="V1018" i="1"/>
  <c r="X1018" i="1"/>
  <c r="Y1018" i="1"/>
  <c r="S1019" i="1"/>
  <c r="T1019" i="1"/>
  <c r="U1019" i="1"/>
  <c r="V1019" i="1"/>
  <c r="X1019" i="1"/>
  <c r="Y1019" i="1"/>
  <c r="S1020" i="1"/>
  <c r="T1020" i="1"/>
  <c r="U1020" i="1"/>
  <c r="V1020" i="1"/>
  <c r="X1020" i="1"/>
  <c r="Y1020" i="1"/>
  <c r="S1021" i="1"/>
  <c r="T1021" i="1"/>
  <c r="U1021" i="1"/>
  <c r="V1021" i="1"/>
  <c r="X1021" i="1"/>
  <c r="Y1021" i="1"/>
  <c r="S1022" i="1"/>
  <c r="T1022" i="1"/>
  <c r="U1022" i="1"/>
  <c r="V1022" i="1"/>
  <c r="X1022" i="1"/>
  <c r="Y1022" i="1"/>
  <c r="S1023" i="1"/>
  <c r="T1023" i="1"/>
  <c r="U1023" i="1"/>
  <c r="V1023" i="1"/>
  <c r="X1023" i="1"/>
  <c r="Y1023" i="1"/>
  <c r="S1024" i="1"/>
  <c r="T1024" i="1"/>
  <c r="U1024" i="1"/>
  <c r="V1024" i="1"/>
  <c r="X1024" i="1"/>
  <c r="Y1024" i="1"/>
  <c r="S1025" i="1"/>
  <c r="T1025" i="1"/>
  <c r="U1025" i="1"/>
  <c r="V1025" i="1"/>
  <c r="X1025" i="1"/>
  <c r="Y1025" i="1"/>
  <c r="S1026" i="1"/>
  <c r="T1026" i="1"/>
  <c r="U1026" i="1"/>
  <c r="V1026" i="1"/>
  <c r="X1026" i="1"/>
  <c r="Y1026" i="1"/>
  <c r="S1027" i="1"/>
  <c r="T1027" i="1"/>
  <c r="U1027" i="1"/>
  <c r="V1027" i="1"/>
  <c r="X1027" i="1"/>
  <c r="Y1027" i="1"/>
  <c r="S1028" i="1"/>
  <c r="T1028" i="1"/>
  <c r="U1028" i="1"/>
  <c r="V1028" i="1"/>
  <c r="X1028" i="1"/>
  <c r="Y1028" i="1"/>
  <c r="S1029" i="1"/>
  <c r="T1029" i="1"/>
  <c r="U1029" i="1"/>
  <c r="V1029" i="1"/>
  <c r="X1029" i="1"/>
  <c r="Y1029" i="1"/>
  <c r="S1030" i="1"/>
  <c r="T1030" i="1"/>
  <c r="U1030" i="1"/>
  <c r="V1030" i="1"/>
  <c r="X1030" i="1"/>
  <c r="Y1030" i="1"/>
  <c r="S1031" i="1"/>
  <c r="T1031" i="1"/>
  <c r="U1031" i="1"/>
  <c r="V1031" i="1"/>
  <c r="X1031" i="1"/>
  <c r="Y1031" i="1"/>
  <c r="S1032" i="1"/>
  <c r="T1032" i="1"/>
  <c r="U1032" i="1"/>
  <c r="V1032" i="1"/>
  <c r="X1032" i="1"/>
  <c r="Y1032" i="1"/>
  <c r="S1033" i="1"/>
  <c r="T1033" i="1"/>
  <c r="U1033" i="1"/>
  <c r="V1033" i="1"/>
  <c r="X1033" i="1"/>
  <c r="Y1033" i="1"/>
  <c r="S1034" i="1"/>
  <c r="T1034" i="1"/>
  <c r="U1034" i="1"/>
  <c r="V1034" i="1"/>
  <c r="X1034" i="1"/>
  <c r="Y1034" i="1"/>
  <c r="S1035" i="1"/>
  <c r="T1035" i="1"/>
  <c r="U1035" i="1"/>
  <c r="V1035" i="1"/>
  <c r="X1035" i="1"/>
  <c r="Y1035" i="1"/>
  <c r="S1036" i="1"/>
  <c r="T1036" i="1"/>
  <c r="U1036" i="1"/>
  <c r="V1036" i="1"/>
  <c r="X1036" i="1"/>
  <c r="Y1036" i="1"/>
  <c r="S1037" i="1"/>
  <c r="T1037" i="1"/>
  <c r="U1037" i="1"/>
  <c r="V1037" i="1"/>
  <c r="X1037" i="1"/>
  <c r="Y1037" i="1"/>
  <c r="S1038" i="1"/>
  <c r="T1038" i="1"/>
  <c r="U1038" i="1"/>
  <c r="V1038" i="1"/>
  <c r="X1038" i="1"/>
  <c r="Y1038" i="1"/>
  <c r="S1039" i="1"/>
  <c r="T1039" i="1"/>
  <c r="U1039" i="1"/>
  <c r="V1039" i="1"/>
  <c r="X1039" i="1"/>
  <c r="Y1039" i="1"/>
  <c r="S1040" i="1"/>
  <c r="T1040" i="1"/>
  <c r="U1040" i="1"/>
  <c r="V1040" i="1"/>
  <c r="X1040" i="1"/>
  <c r="Y1040" i="1"/>
  <c r="S1041" i="1"/>
  <c r="T1041" i="1"/>
  <c r="U1041" i="1"/>
  <c r="V1041" i="1"/>
  <c r="X1041" i="1"/>
  <c r="Y1041" i="1"/>
  <c r="S1042" i="1"/>
  <c r="T1042" i="1"/>
  <c r="U1042" i="1"/>
  <c r="V1042" i="1"/>
  <c r="X1042" i="1"/>
  <c r="Y1042" i="1"/>
  <c r="S1043" i="1"/>
  <c r="T1043" i="1"/>
  <c r="U1043" i="1"/>
  <c r="V1043" i="1"/>
  <c r="X1043" i="1"/>
  <c r="Y1043" i="1"/>
  <c r="S1044" i="1"/>
  <c r="T1044" i="1"/>
  <c r="U1044" i="1"/>
  <c r="V1044" i="1"/>
  <c r="X1044" i="1"/>
  <c r="Y1044" i="1"/>
  <c r="S1045" i="1"/>
  <c r="T1045" i="1"/>
  <c r="U1045" i="1"/>
  <c r="V1045" i="1"/>
  <c r="X1045" i="1"/>
  <c r="Y1045" i="1"/>
  <c r="S1046" i="1"/>
  <c r="T1046" i="1"/>
  <c r="U1046" i="1"/>
  <c r="V1046" i="1"/>
  <c r="X1046" i="1"/>
  <c r="Y1046" i="1"/>
  <c r="S1047" i="1"/>
  <c r="T1047" i="1"/>
  <c r="U1047" i="1"/>
  <c r="V1047" i="1"/>
  <c r="X1047" i="1"/>
  <c r="Y1047" i="1"/>
  <c r="S1048" i="1"/>
  <c r="T1048" i="1"/>
  <c r="U1048" i="1"/>
  <c r="V1048" i="1"/>
  <c r="X1048" i="1"/>
  <c r="Y1048" i="1"/>
  <c r="S1049" i="1"/>
  <c r="T1049" i="1"/>
  <c r="U1049" i="1"/>
  <c r="V1049" i="1"/>
  <c r="X1049" i="1"/>
  <c r="Y1049" i="1"/>
  <c r="S1050" i="1"/>
  <c r="T1050" i="1"/>
  <c r="U1050" i="1"/>
  <c r="V1050" i="1"/>
  <c r="X1050" i="1"/>
  <c r="Y1050" i="1"/>
  <c r="S1051" i="1"/>
  <c r="T1051" i="1"/>
  <c r="U1051" i="1"/>
  <c r="V1051" i="1"/>
  <c r="X1051" i="1"/>
  <c r="Y1051" i="1"/>
  <c r="S1052" i="1"/>
  <c r="T1052" i="1"/>
  <c r="U1052" i="1"/>
  <c r="V1052" i="1"/>
  <c r="X1052" i="1"/>
  <c r="Y1052" i="1"/>
  <c r="S1053" i="1"/>
  <c r="T1053" i="1"/>
  <c r="U1053" i="1"/>
  <c r="V1053" i="1"/>
  <c r="X1053" i="1"/>
  <c r="Y1053" i="1"/>
  <c r="S1054" i="1"/>
  <c r="T1054" i="1"/>
  <c r="U1054" i="1"/>
  <c r="V1054" i="1"/>
  <c r="X1054" i="1"/>
  <c r="Y1054" i="1"/>
  <c r="S1055" i="1"/>
  <c r="T1055" i="1"/>
  <c r="U1055" i="1"/>
  <c r="V1055" i="1"/>
  <c r="X1055" i="1"/>
  <c r="Y1055" i="1"/>
  <c r="S1056" i="1"/>
  <c r="T1056" i="1"/>
  <c r="U1056" i="1"/>
  <c r="V1056" i="1"/>
  <c r="X1056" i="1"/>
  <c r="Y1056" i="1"/>
  <c r="S1057" i="1"/>
  <c r="T1057" i="1"/>
  <c r="U1057" i="1"/>
  <c r="V1057" i="1"/>
  <c r="X1057" i="1"/>
  <c r="Y1057" i="1"/>
  <c r="S1058" i="1"/>
  <c r="T1058" i="1"/>
  <c r="U1058" i="1"/>
  <c r="V1058" i="1"/>
  <c r="X1058" i="1"/>
  <c r="Y1058" i="1"/>
  <c r="S1059" i="1"/>
  <c r="T1059" i="1"/>
  <c r="U1059" i="1"/>
  <c r="V1059" i="1"/>
  <c r="X1059" i="1"/>
  <c r="Y1059" i="1"/>
  <c r="S1060" i="1"/>
  <c r="T1060" i="1"/>
  <c r="U1060" i="1"/>
  <c r="V1060" i="1"/>
  <c r="X1060" i="1"/>
  <c r="Y1060" i="1"/>
  <c r="S1061" i="1"/>
  <c r="T1061" i="1"/>
  <c r="U1061" i="1"/>
  <c r="V1061" i="1"/>
  <c r="X1061" i="1"/>
  <c r="Y1061" i="1"/>
  <c r="S1062" i="1"/>
  <c r="T1062" i="1"/>
  <c r="U1062" i="1"/>
  <c r="V1062" i="1"/>
  <c r="X1062" i="1"/>
  <c r="Y1062" i="1"/>
  <c r="S1063" i="1"/>
  <c r="T1063" i="1"/>
  <c r="U1063" i="1"/>
  <c r="V1063" i="1"/>
  <c r="X1063" i="1"/>
  <c r="Y1063" i="1"/>
  <c r="S1064" i="1"/>
  <c r="T1064" i="1"/>
  <c r="U1064" i="1"/>
  <c r="V1064" i="1"/>
  <c r="X1064" i="1"/>
  <c r="Y1064" i="1"/>
  <c r="S1065" i="1"/>
  <c r="T1065" i="1"/>
  <c r="U1065" i="1"/>
  <c r="V1065" i="1"/>
  <c r="X1065" i="1"/>
  <c r="Y1065" i="1"/>
  <c r="S1066" i="1"/>
  <c r="T1066" i="1"/>
  <c r="U1066" i="1"/>
  <c r="V1066" i="1"/>
  <c r="X1066" i="1"/>
  <c r="Y1066" i="1"/>
  <c r="S1067" i="1"/>
  <c r="T1067" i="1"/>
  <c r="U1067" i="1"/>
  <c r="V1067" i="1"/>
  <c r="X1067" i="1"/>
  <c r="Y1067" i="1"/>
  <c r="S1068" i="1"/>
  <c r="T1068" i="1"/>
  <c r="U1068" i="1"/>
  <c r="V1068" i="1"/>
  <c r="X1068" i="1"/>
  <c r="Y1068" i="1"/>
  <c r="S1069" i="1"/>
  <c r="T1069" i="1"/>
  <c r="U1069" i="1"/>
  <c r="V1069" i="1"/>
  <c r="X1069" i="1"/>
  <c r="Y1069" i="1"/>
  <c r="S1070" i="1"/>
  <c r="T1070" i="1"/>
  <c r="U1070" i="1"/>
  <c r="V1070" i="1"/>
  <c r="X1070" i="1"/>
  <c r="Y1070" i="1"/>
  <c r="S1071" i="1"/>
  <c r="T1071" i="1"/>
  <c r="U1071" i="1"/>
  <c r="V1071" i="1"/>
  <c r="X1071" i="1"/>
  <c r="Y1071" i="1"/>
  <c r="S1072" i="1"/>
  <c r="T1072" i="1"/>
  <c r="U1072" i="1"/>
  <c r="V1072" i="1"/>
  <c r="X1072" i="1"/>
  <c r="Y1072" i="1"/>
  <c r="S1073" i="1"/>
  <c r="T1073" i="1"/>
  <c r="U1073" i="1"/>
  <c r="V1073" i="1"/>
  <c r="X1073" i="1"/>
  <c r="Y1073" i="1"/>
  <c r="S1074" i="1"/>
  <c r="T1074" i="1"/>
  <c r="U1074" i="1"/>
  <c r="V1074" i="1"/>
  <c r="X1074" i="1"/>
  <c r="Y1074" i="1"/>
  <c r="S1075" i="1"/>
  <c r="T1075" i="1"/>
  <c r="U1075" i="1"/>
  <c r="V1075" i="1"/>
  <c r="X1075" i="1"/>
  <c r="Y1075" i="1"/>
  <c r="S1076" i="1"/>
  <c r="T1076" i="1"/>
  <c r="U1076" i="1"/>
  <c r="V1076" i="1"/>
  <c r="X1076" i="1"/>
  <c r="Y1076" i="1"/>
  <c r="S1077" i="1"/>
  <c r="T1077" i="1"/>
  <c r="U1077" i="1"/>
  <c r="V1077" i="1"/>
  <c r="X1077" i="1"/>
  <c r="Y1077" i="1"/>
  <c r="S1078" i="1"/>
  <c r="T1078" i="1"/>
  <c r="U1078" i="1"/>
  <c r="V1078" i="1"/>
  <c r="X1078" i="1"/>
  <c r="Y1078" i="1"/>
  <c r="S1079" i="1"/>
  <c r="T1079" i="1"/>
  <c r="U1079" i="1"/>
  <c r="V1079" i="1"/>
  <c r="X1079" i="1"/>
  <c r="Y1079" i="1"/>
  <c r="S1080" i="1"/>
  <c r="T1080" i="1"/>
  <c r="U1080" i="1"/>
  <c r="V1080" i="1"/>
  <c r="X1080" i="1"/>
  <c r="Y1080" i="1"/>
  <c r="S1081" i="1"/>
  <c r="T1081" i="1"/>
  <c r="U1081" i="1"/>
  <c r="V1081" i="1"/>
  <c r="X1081" i="1"/>
  <c r="Y1081" i="1"/>
  <c r="S1082" i="1"/>
  <c r="T1082" i="1"/>
  <c r="U1082" i="1"/>
  <c r="V1082" i="1"/>
  <c r="X1082" i="1"/>
  <c r="Y1082" i="1"/>
  <c r="S1083" i="1"/>
  <c r="T1083" i="1"/>
  <c r="U1083" i="1"/>
  <c r="V1083" i="1"/>
  <c r="X1083" i="1"/>
  <c r="Y1083" i="1"/>
  <c r="S1084" i="1"/>
  <c r="T1084" i="1"/>
  <c r="U1084" i="1"/>
  <c r="V1084" i="1"/>
  <c r="X1084" i="1"/>
  <c r="Y1084" i="1"/>
  <c r="S1085" i="1"/>
  <c r="T1085" i="1"/>
  <c r="U1085" i="1"/>
  <c r="V1085" i="1"/>
  <c r="X1085" i="1"/>
  <c r="Y1085" i="1"/>
  <c r="S1086" i="1"/>
  <c r="T1086" i="1"/>
  <c r="U1086" i="1"/>
  <c r="V1086" i="1"/>
  <c r="X1086" i="1"/>
  <c r="Y1086" i="1"/>
  <c r="S1087" i="1"/>
  <c r="T1087" i="1"/>
  <c r="U1087" i="1"/>
  <c r="V1087" i="1"/>
  <c r="X1087" i="1"/>
  <c r="Y1087" i="1"/>
  <c r="S1088" i="1"/>
  <c r="T1088" i="1"/>
  <c r="U1088" i="1"/>
  <c r="V1088" i="1"/>
  <c r="X1088" i="1"/>
  <c r="Y1088" i="1"/>
  <c r="S1089" i="1"/>
  <c r="T1089" i="1"/>
  <c r="U1089" i="1"/>
  <c r="V1089" i="1"/>
  <c r="X1089" i="1"/>
  <c r="Y1089" i="1"/>
  <c r="S1090" i="1"/>
  <c r="T1090" i="1"/>
  <c r="U1090" i="1"/>
  <c r="V1090" i="1"/>
  <c r="X1090" i="1"/>
  <c r="Y1090" i="1"/>
  <c r="S1091" i="1"/>
  <c r="T1091" i="1"/>
  <c r="U1091" i="1"/>
  <c r="V1091" i="1"/>
  <c r="X1091" i="1"/>
  <c r="Y1091" i="1"/>
  <c r="S1092" i="1"/>
  <c r="T1092" i="1"/>
  <c r="U1092" i="1"/>
  <c r="V1092" i="1"/>
  <c r="X1092" i="1"/>
  <c r="Y1092" i="1"/>
  <c r="S1093" i="1"/>
  <c r="T1093" i="1"/>
  <c r="U1093" i="1"/>
  <c r="V1093" i="1"/>
  <c r="X1093" i="1"/>
  <c r="Y1093" i="1"/>
  <c r="S1094" i="1"/>
  <c r="T1094" i="1"/>
  <c r="U1094" i="1"/>
  <c r="V1094" i="1"/>
  <c r="X1094" i="1"/>
  <c r="Y1094" i="1"/>
  <c r="S1095" i="1"/>
  <c r="T1095" i="1"/>
  <c r="U1095" i="1"/>
  <c r="V1095" i="1"/>
  <c r="X1095" i="1"/>
  <c r="Y1095" i="1"/>
  <c r="S1096" i="1"/>
  <c r="T1096" i="1"/>
  <c r="U1096" i="1"/>
  <c r="V1096" i="1"/>
  <c r="X1096" i="1"/>
  <c r="Y1096" i="1"/>
  <c r="S1097" i="1"/>
  <c r="T1097" i="1"/>
  <c r="U1097" i="1"/>
  <c r="V1097" i="1"/>
  <c r="X1097" i="1"/>
  <c r="Y1097" i="1"/>
  <c r="S1098" i="1"/>
  <c r="T1098" i="1"/>
  <c r="U1098" i="1"/>
  <c r="V1098" i="1"/>
  <c r="X1098" i="1"/>
  <c r="Y1098" i="1"/>
  <c r="S1099" i="1"/>
  <c r="T1099" i="1"/>
  <c r="U1099" i="1"/>
  <c r="V1099" i="1"/>
  <c r="X1099" i="1"/>
  <c r="Y1099" i="1"/>
  <c r="S1100" i="1"/>
  <c r="T1100" i="1"/>
  <c r="U1100" i="1"/>
  <c r="V1100" i="1"/>
  <c r="X1100" i="1"/>
  <c r="Y1100" i="1"/>
  <c r="S1101" i="1"/>
  <c r="T1101" i="1"/>
  <c r="U1101" i="1"/>
  <c r="V1101" i="1"/>
  <c r="X1101" i="1"/>
  <c r="Y1101" i="1"/>
  <c r="S1102" i="1"/>
  <c r="T1102" i="1"/>
  <c r="U1102" i="1"/>
  <c r="V1102" i="1"/>
  <c r="X1102" i="1"/>
  <c r="Y1102" i="1"/>
  <c r="S1103" i="1"/>
  <c r="T1103" i="1"/>
  <c r="U1103" i="1"/>
  <c r="V1103" i="1"/>
  <c r="X1103" i="1"/>
  <c r="Y1103" i="1"/>
  <c r="S1104" i="1"/>
  <c r="T1104" i="1"/>
  <c r="U1104" i="1"/>
  <c r="V1104" i="1"/>
  <c r="X1104" i="1"/>
  <c r="Y1104" i="1"/>
  <c r="S1105" i="1"/>
  <c r="T1105" i="1"/>
  <c r="U1105" i="1"/>
  <c r="V1105" i="1"/>
  <c r="X1105" i="1"/>
  <c r="Y1105" i="1"/>
  <c r="S1106" i="1"/>
  <c r="T1106" i="1"/>
  <c r="U1106" i="1"/>
  <c r="V1106" i="1"/>
  <c r="X1106" i="1"/>
  <c r="Y1106" i="1"/>
  <c r="S1107" i="1"/>
  <c r="T1107" i="1"/>
  <c r="U1107" i="1"/>
  <c r="V1107" i="1"/>
  <c r="X1107" i="1"/>
  <c r="Y1107" i="1"/>
  <c r="S1108" i="1"/>
  <c r="T1108" i="1"/>
  <c r="U1108" i="1"/>
  <c r="V1108" i="1"/>
  <c r="X1108" i="1"/>
  <c r="Y1108" i="1"/>
  <c r="S1109" i="1"/>
  <c r="T1109" i="1"/>
  <c r="U1109" i="1"/>
  <c r="V1109" i="1"/>
  <c r="X1109" i="1"/>
  <c r="Y1109" i="1"/>
  <c r="S1110" i="1"/>
  <c r="T1110" i="1"/>
  <c r="U1110" i="1"/>
  <c r="V1110" i="1"/>
  <c r="X1110" i="1"/>
  <c r="Y1110" i="1"/>
  <c r="S1111" i="1"/>
  <c r="T1111" i="1"/>
  <c r="U1111" i="1"/>
  <c r="V1111" i="1"/>
  <c r="X1111" i="1"/>
  <c r="Y1111" i="1"/>
  <c r="S1112" i="1"/>
  <c r="T1112" i="1"/>
  <c r="U1112" i="1"/>
  <c r="V1112" i="1"/>
  <c r="X1112" i="1"/>
  <c r="Y1112" i="1"/>
  <c r="S1113" i="1"/>
  <c r="T1113" i="1"/>
  <c r="U1113" i="1"/>
  <c r="V1113" i="1"/>
  <c r="X1113" i="1"/>
  <c r="Y1113" i="1"/>
  <c r="S1114" i="1"/>
  <c r="T1114" i="1"/>
  <c r="U1114" i="1"/>
  <c r="V1114" i="1"/>
  <c r="X1114" i="1"/>
  <c r="Y1114" i="1"/>
  <c r="S1115" i="1"/>
  <c r="T1115" i="1"/>
  <c r="U1115" i="1"/>
  <c r="V1115" i="1"/>
  <c r="X1115" i="1"/>
  <c r="Y1115" i="1"/>
  <c r="S1116" i="1"/>
  <c r="T1116" i="1"/>
  <c r="U1116" i="1"/>
  <c r="V1116" i="1"/>
  <c r="X1116" i="1"/>
  <c r="Y1116" i="1"/>
  <c r="S1117" i="1"/>
  <c r="T1117" i="1"/>
  <c r="U1117" i="1"/>
  <c r="V1117" i="1"/>
  <c r="X1117" i="1"/>
  <c r="Y1117" i="1"/>
  <c r="S1118" i="1"/>
  <c r="T1118" i="1"/>
  <c r="U1118" i="1"/>
  <c r="V1118" i="1"/>
  <c r="X1118" i="1"/>
  <c r="Y1118" i="1"/>
  <c r="S1119" i="1"/>
  <c r="T1119" i="1"/>
  <c r="U1119" i="1"/>
  <c r="V1119" i="1"/>
  <c r="X1119" i="1"/>
  <c r="Y1119" i="1"/>
  <c r="S1120" i="1"/>
  <c r="T1120" i="1"/>
  <c r="U1120" i="1"/>
  <c r="V1120" i="1"/>
  <c r="X1120" i="1"/>
  <c r="Y1120" i="1"/>
  <c r="S1121" i="1"/>
  <c r="T1121" i="1"/>
  <c r="U1121" i="1"/>
  <c r="V1121" i="1"/>
  <c r="X1121" i="1"/>
  <c r="Y1121" i="1"/>
  <c r="S1122" i="1"/>
  <c r="T1122" i="1"/>
  <c r="U1122" i="1"/>
  <c r="V1122" i="1"/>
  <c r="X1122" i="1"/>
  <c r="Y1122" i="1"/>
  <c r="S1123" i="1"/>
  <c r="T1123" i="1"/>
  <c r="U1123" i="1"/>
  <c r="V1123" i="1"/>
  <c r="X1123" i="1"/>
  <c r="Y1123" i="1"/>
  <c r="S1124" i="1"/>
  <c r="T1124" i="1"/>
  <c r="U1124" i="1"/>
  <c r="V1124" i="1"/>
  <c r="X1124" i="1"/>
  <c r="Y1124" i="1"/>
  <c r="S1125" i="1"/>
  <c r="T1125" i="1"/>
  <c r="U1125" i="1"/>
  <c r="V1125" i="1"/>
  <c r="X1125" i="1"/>
  <c r="Y1125" i="1"/>
  <c r="S1126" i="1"/>
  <c r="T1126" i="1"/>
  <c r="U1126" i="1"/>
  <c r="V1126" i="1"/>
  <c r="X1126" i="1"/>
  <c r="Y1126" i="1"/>
  <c r="S1127" i="1"/>
  <c r="T1127" i="1"/>
  <c r="U1127" i="1"/>
  <c r="V1127" i="1"/>
  <c r="X1127" i="1"/>
  <c r="Y1127" i="1"/>
  <c r="S1128" i="1"/>
  <c r="T1128" i="1"/>
  <c r="U1128" i="1"/>
  <c r="V1128" i="1"/>
  <c r="X1128" i="1"/>
  <c r="Y1128" i="1"/>
  <c r="S1129" i="1"/>
  <c r="T1129" i="1"/>
  <c r="U1129" i="1"/>
  <c r="V1129" i="1"/>
  <c r="X1129" i="1"/>
  <c r="Y1129" i="1"/>
  <c r="S1130" i="1"/>
  <c r="T1130" i="1"/>
  <c r="U1130" i="1"/>
  <c r="V1130" i="1"/>
  <c r="X1130" i="1"/>
  <c r="Y1130" i="1"/>
  <c r="S1131" i="1"/>
  <c r="T1131" i="1"/>
  <c r="U1131" i="1"/>
  <c r="V1131" i="1"/>
  <c r="X1131" i="1"/>
  <c r="Y1131" i="1"/>
  <c r="S1132" i="1"/>
  <c r="T1132" i="1"/>
  <c r="U1132" i="1"/>
  <c r="V1132" i="1"/>
  <c r="X1132" i="1"/>
  <c r="Y1132" i="1"/>
  <c r="S1133" i="1"/>
  <c r="T1133" i="1"/>
  <c r="U1133" i="1"/>
  <c r="V1133" i="1"/>
  <c r="X1133" i="1"/>
  <c r="Y1133" i="1"/>
  <c r="S1134" i="1"/>
  <c r="T1134" i="1"/>
  <c r="U1134" i="1"/>
  <c r="V1134" i="1"/>
  <c r="X1134" i="1"/>
  <c r="Y1134" i="1"/>
  <c r="S1135" i="1"/>
  <c r="T1135" i="1"/>
  <c r="U1135" i="1"/>
  <c r="V1135" i="1"/>
  <c r="X1135" i="1"/>
  <c r="Y1135" i="1"/>
  <c r="S1136" i="1"/>
  <c r="T1136" i="1"/>
  <c r="U1136" i="1"/>
  <c r="V1136" i="1"/>
  <c r="X1136" i="1"/>
  <c r="Y1136" i="1"/>
  <c r="S1137" i="1"/>
  <c r="T1137" i="1"/>
  <c r="U1137" i="1"/>
  <c r="V1137" i="1"/>
  <c r="X1137" i="1"/>
  <c r="Y1137" i="1"/>
  <c r="S1138" i="1"/>
  <c r="T1138" i="1"/>
  <c r="U1138" i="1"/>
  <c r="V1138" i="1"/>
  <c r="X1138" i="1"/>
  <c r="Y1138" i="1"/>
  <c r="S1139" i="1"/>
  <c r="T1139" i="1"/>
  <c r="U1139" i="1"/>
  <c r="V1139" i="1"/>
  <c r="X1139" i="1"/>
  <c r="Y1139" i="1"/>
  <c r="S1140" i="1"/>
  <c r="T1140" i="1"/>
  <c r="U1140" i="1"/>
  <c r="V1140" i="1"/>
  <c r="X1140" i="1"/>
  <c r="Y1140" i="1"/>
  <c r="S1141" i="1"/>
  <c r="T1141" i="1"/>
  <c r="U1141" i="1"/>
  <c r="V1141" i="1"/>
  <c r="X1141" i="1"/>
  <c r="Y1141" i="1"/>
  <c r="S1142" i="1"/>
  <c r="T1142" i="1"/>
  <c r="U1142" i="1"/>
  <c r="V1142" i="1"/>
  <c r="X1142" i="1"/>
  <c r="Y1142" i="1"/>
  <c r="S1143" i="1"/>
  <c r="W1143" i="1" s="1"/>
  <c r="T1143" i="1"/>
  <c r="U1143" i="1"/>
  <c r="V1143" i="1"/>
  <c r="X1143" i="1"/>
  <c r="Y1143" i="1"/>
  <c r="S1144" i="1"/>
  <c r="T1144" i="1"/>
  <c r="U1144" i="1"/>
  <c r="V1144" i="1"/>
  <c r="X1144" i="1"/>
  <c r="S1145" i="1"/>
  <c r="W1145" i="1" s="1"/>
  <c r="T1145" i="1"/>
  <c r="U1145" i="1"/>
  <c r="V1145" i="1"/>
  <c r="X1145" i="1"/>
  <c r="Y1145" i="1"/>
  <c r="S1146" i="1"/>
  <c r="T1146" i="1"/>
  <c r="U1146" i="1"/>
  <c r="V1146" i="1"/>
  <c r="X1146" i="1"/>
  <c r="Y1146" i="1"/>
  <c r="S1147" i="1"/>
  <c r="Y1147" i="1" s="1"/>
  <c r="T1147" i="1"/>
  <c r="U1147" i="1"/>
  <c r="V1147" i="1"/>
  <c r="X1147" i="1"/>
  <c r="S1148" i="1"/>
  <c r="T1148" i="1"/>
  <c r="U1148" i="1"/>
  <c r="V1148" i="1"/>
  <c r="X1148" i="1"/>
  <c r="Y1148" i="1"/>
  <c r="S1149" i="1"/>
  <c r="T1149" i="1"/>
  <c r="U1149" i="1"/>
  <c r="V1149" i="1"/>
  <c r="X1149" i="1"/>
  <c r="Y1149" i="1"/>
  <c r="S1150" i="1"/>
  <c r="T1150" i="1"/>
  <c r="U1150" i="1"/>
  <c r="V1150" i="1"/>
  <c r="X1150" i="1"/>
  <c r="Y1150" i="1"/>
  <c r="S1151" i="1"/>
  <c r="T1151" i="1"/>
  <c r="U1151" i="1"/>
  <c r="V1151" i="1"/>
  <c r="W1151" i="1"/>
  <c r="X1151" i="1"/>
  <c r="Y1151" i="1"/>
  <c r="S1152" i="1"/>
  <c r="T1152" i="1"/>
  <c r="U1152" i="1"/>
  <c r="V1152" i="1"/>
  <c r="X1152" i="1"/>
  <c r="S1153" i="1"/>
  <c r="T1153" i="1"/>
  <c r="U1153" i="1"/>
  <c r="V1153" i="1"/>
  <c r="X1153" i="1"/>
  <c r="S1154" i="1"/>
  <c r="T1154" i="1"/>
  <c r="U1154" i="1"/>
  <c r="V1154" i="1"/>
  <c r="X1154" i="1"/>
  <c r="Y1154" i="1"/>
  <c r="S1155" i="1"/>
  <c r="Y1155" i="1" s="1"/>
  <c r="T1155" i="1"/>
  <c r="U1155" i="1"/>
  <c r="V1155" i="1"/>
  <c r="W1155" i="1"/>
  <c r="X1155" i="1"/>
  <c r="S1156" i="1"/>
  <c r="T1156" i="1"/>
  <c r="U1156" i="1"/>
  <c r="V1156" i="1"/>
  <c r="X1156" i="1"/>
  <c r="Y1156" i="1"/>
  <c r="D1142" i="1"/>
  <c r="E1142" i="1"/>
  <c r="W1142" i="1" s="1"/>
  <c r="D1143" i="1"/>
  <c r="E1143" i="1"/>
  <c r="D1144" i="1"/>
  <c r="E1144" i="1"/>
  <c r="D1145" i="1"/>
  <c r="E1145" i="1"/>
  <c r="D1146" i="1"/>
  <c r="E1146" i="1"/>
  <c r="D1147" i="1"/>
  <c r="E1147" i="1"/>
  <c r="D1148" i="1"/>
  <c r="E1148" i="1"/>
  <c r="W1148" i="1" s="1"/>
  <c r="D1149" i="1"/>
  <c r="E1149" i="1"/>
  <c r="W1149" i="1" s="1"/>
  <c r="D1150" i="1"/>
  <c r="E1150" i="1"/>
  <c r="W1150" i="1" s="1"/>
  <c r="D1151" i="1"/>
  <c r="E1151" i="1"/>
  <c r="D1152" i="1"/>
  <c r="E1152" i="1"/>
  <c r="D1153" i="1"/>
  <c r="E1153" i="1"/>
  <c r="D1154" i="1"/>
  <c r="E1154" i="1"/>
  <c r="W1154" i="1" s="1"/>
  <c r="D1155" i="1"/>
  <c r="E1155" i="1"/>
  <c r="D1156" i="1"/>
  <c r="E1156" i="1"/>
  <c r="W1156" i="1" s="1"/>
  <c r="D1127" i="1"/>
  <c r="E1127" i="1"/>
  <c r="W1127" i="1" s="1"/>
  <c r="D1128" i="1"/>
  <c r="E1128" i="1"/>
  <c r="W1128" i="1" s="1"/>
  <c r="D1129" i="1"/>
  <c r="E1129" i="1"/>
  <c r="W1129" i="1" s="1"/>
  <c r="D1130" i="1"/>
  <c r="E1130" i="1"/>
  <c r="W1130" i="1" s="1"/>
  <c r="D1131" i="1"/>
  <c r="E1131" i="1"/>
  <c r="W1131" i="1" s="1"/>
  <c r="D1132" i="1"/>
  <c r="E1132" i="1"/>
  <c r="W1132" i="1" s="1"/>
  <c r="D1133" i="1"/>
  <c r="E1133" i="1"/>
  <c r="W1133" i="1" s="1"/>
  <c r="D1134" i="1"/>
  <c r="E1134" i="1"/>
  <c r="W1134" i="1" s="1"/>
  <c r="D1135" i="1"/>
  <c r="E1135" i="1"/>
  <c r="W1135" i="1" s="1"/>
  <c r="D1136" i="1"/>
  <c r="E1136" i="1"/>
  <c r="W1136" i="1" s="1"/>
  <c r="D1137" i="1"/>
  <c r="E1137" i="1"/>
  <c r="W1137" i="1" s="1"/>
  <c r="D1138" i="1"/>
  <c r="E1138" i="1"/>
  <c r="W1138" i="1" s="1"/>
  <c r="D1139" i="1"/>
  <c r="E1139" i="1"/>
  <c r="W1139" i="1" s="1"/>
  <c r="D1140" i="1"/>
  <c r="E1140" i="1"/>
  <c r="W1140" i="1" s="1"/>
  <c r="D1141" i="1"/>
  <c r="E1141" i="1"/>
  <c r="W1141" i="1" s="1"/>
  <c r="D1112" i="1"/>
  <c r="E1112" i="1"/>
  <c r="W1112" i="1" s="1"/>
  <c r="D1113" i="1"/>
  <c r="E1113" i="1"/>
  <c r="W1113" i="1" s="1"/>
  <c r="D1114" i="1"/>
  <c r="E1114" i="1"/>
  <c r="W1114" i="1" s="1"/>
  <c r="D1115" i="1"/>
  <c r="E1115" i="1"/>
  <c r="W1115" i="1" s="1"/>
  <c r="D1116" i="1"/>
  <c r="E1116" i="1"/>
  <c r="W1116" i="1" s="1"/>
  <c r="D1117" i="1"/>
  <c r="E1117" i="1"/>
  <c r="W1117" i="1" s="1"/>
  <c r="D1118" i="1"/>
  <c r="E1118" i="1"/>
  <c r="W1118" i="1" s="1"/>
  <c r="D1119" i="1"/>
  <c r="E1119" i="1"/>
  <c r="W1119" i="1" s="1"/>
  <c r="D1120" i="1"/>
  <c r="E1120" i="1"/>
  <c r="W1120" i="1" s="1"/>
  <c r="D1121" i="1"/>
  <c r="E1121" i="1"/>
  <c r="W1121" i="1" s="1"/>
  <c r="D1122" i="1"/>
  <c r="E1122" i="1"/>
  <c r="W1122" i="1" s="1"/>
  <c r="D1123" i="1"/>
  <c r="E1123" i="1"/>
  <c r="W1123" i="1" s="1"/>
  <c r="D1124" i="1"/>
  <c r="E1124" i="1"/>
  <c r="W1124" i="1" s="1"/>
  <c r="D1125" i="1"/>
  <c r="E1125" i="1"/>
  <c r="W1125" i="1" s="1"/>
  <c r="D1126" i="1"/>
  <c r="E1126" i="1"/>
  <c r="W1126" i="1" s="1"/>
  <c r="D1097" i="1"/>
  <c r="E1097" i="1"/>
  <c r="W1097" i="1" s="1"/>
  <c r="D1098" i="1"/>
  <c r="E1098" i="1"/>
  <c r="W1098" i="1" s="1"/>
  <c r="D1099" i="1"/>
  <c r="E1099" i="1"/>
  <c r="W1099" i="1" s="1"/>
  <c r="D1100" i="1"/>
  <c r="E1100" i="1"/>
  <c r="W1100" i="1" s="1"/>
  <c r="D1101" i="1"/>
  <c r="E1101" i="1"/>
  <c r="W1101" i="1" s="1"/>
  <c r="D1102" i="1"/>
  <c r="E1102" i="1"/>
  <c r="W1102" i="1" s="1"/>
  <c r="D1103" i="1"/>
  <c r="E1103" i="1"/>
  <c r="W1103" i="1" s="1"/>
  <c r="D1104" i="1"/>
  <c r="E1104" i="1"/>
  <c r="W1104" i="1" s="1"/>
  <c r="D1105" i="1"/>
  <c r="E1105" i="1"/>
  <c r="W1105" i="1" s="1"/>
  <c r="D1106" i="1"/>
  <c r="E1106" i="1"/>
  <c r="W1106" i="1" s="1"/>
  <c r="D1107" i="1"/>
  <c r="E1107" i="1"/>
  <c r="W1107" i="1" s="1"/>
  <c r="D1108" i="1"/>
  <c r="E1108" i="1"/>
  <c r="W1108" i="1" s="1"/>
  <c r="D1109" i="1"/>
  <c r="E1109" i="1"/>
  <c r="W1109" i="1" s="1"/>
  <c r="D1110" i="1"/>
  <c r="E1110" i="1"/>
  <c r="W1110" i="1" s="1"/>
  <c r="D1111" i="1"/>
  <c r="E1111" i="1"/>
  <c r="W1111" i="1" s="1"/>
  <c r="D1082" i="1"/>
  <c r="E1082" i="1"/>
  <c r="W1082" i="1" s="1"/>
  <c r="D1083" i="1"/>
  <c r="E1083" i="1"/>
  <c r="W1083" i="1" s="1"/>
  <c r="D1084" i="1"/>
  <c r="E1084" i="1"/>
  <c r="W1084" i="1" s="1"/>
  <c r="D1085" i="1"/>
  <c r="E1085" i="1"/>
  <c r="W1085" i="1" s="1"/>
  <c r="D1086" i="1"/>
  <c r="E1086" i="1"/>
  <c r="W1086" i="1" s="1"/>
  <c r="D1087" i="1"/>
  <c r="E1087" i="1"/>
  <c r="W1087" i="1" s="1"/>
  <c r="D1088" i="1"/>
  <c r="E1088" i="1"/>
  <c r="W1088" i="1" s="1"/>
  <c r="D1089" i="1"/>
  <c r="E1089" i="1"/>
  <c r="W1089" i="1" s="1"/>
  <c r="D1090" i="1"/>
  <c r="E1090" i="1"/>
  <c r="W1090" i="1" s="1"/>
  <c r="D1091" i="1"/>
  <c r="E1091" i="1"/>
  <c r="W1091" i="1" s="1"/>
  <c r="D1092" i="1"/>
  <c r="E1092" i="1"/>
  <c r="W1092" i="1" s="1"/>
  <c r="D1093" i="1"/>
  <c r="E1093" i="1"/>
  <c r="W1093" i="1" s="1"/>
  <c r="D1094" i="1"/>
  <c r="E1094" i="1"/>
  <c r="W1094" i="1" s="1"/>
  <c r="D1095" i="1"/>
  <c r="E1095" i="1"/>
  <c r="W1095" i="1" s="1"/>
  <c r="D1096" i="1"/>
  <c r="E1096" i="1"/>
  <c r="W1096" i="1" s="1"/>
  <c r="D1067" i="1"/>
  <c r="E1067" i="1"/>
  <c r="W1067" i="1" s="1"/>
  <c r="D1068" i="1"/>
  <c r="E1068" i="1"/>
  <c r="W1068" i="1" s="1"/>
  <c r="D1069" i="1"/>
  <c r="E1069" i="1"/>
  <c r="W1069" i="1" s="1"/>
  <c r="D1070" i="1"/>
  <c r="E1070" i="1"/>
  <c r="W1070" i="1" s="1"/>
  <c r="D1071" i="1"/>
  <c r="E1071" i="1"/>
  <c r="W1071" i="1" s="1"/>
  <c r="D1072" i="1"/>
  <c r="E1072" i="1"/>
  <c r="W1072" i="1" s="1"/>
  <c r="D1073" i="1"/>
  <c r="E1073" i="1"/>
  <c r="W1073" i="1" s="1"/>
  <c r="D1074" i="1"/>
  <c r="E1074" i="1"/>
  <c r="W1074" i="1" s="1"/>
  <c r="D1075" i="1"/>
  <c r="E1075" i="1"/>
  <c r="W1075" i="1" s="1"/>
  <c r="D1076" i="1"/>
  <c r="E1076" i="1"/>
  <c r="W1076" i="1" s="1"/>
  <c r="D1077" i="1"/>
  <c r="E1077" i="1"/>
  <c r="W1077" i="1" s="1"/>
  <c r="D1078" i="1"/>
  <c r="E1078" i="1"/>
  <c r="W1078" i="1" s="1"/>
  <c r="D1079" i="1"/>
  <c r="E1079" i="1"/>
  <c r="W1079" i="1" s="1"/>
  <c r="D1080" i="1"/>
  <c r="E1080" i="1"/>
  <c r="W1080" i="1" s="1"/>
  <c r="D1081" i="1"/>
  <c r="E1081" i="1"/>
  <c r="W1081" i="1" s="1"/>
  <c r="D1052" i="1"/>
  <c r="E1052" i="1"/>
  <c r="W1052" i="1" s="1"/>
  <c r="D1053" i="1"/>
  <c r="E1053" i="1"/>
  <c r="W1053" i="1" s="1"/>
  <c r="D1054" i="1"/>
  <c r="E1054" i="1"/>
  <c r="W1054" i="1" s="1"/>
  <c r="D1055" i="1"/>
  <c r="E1055" i="1"/>
  <c r="W1055" i="1" s="1"/>
  <c r="D1056" i="1"/>
  <c r="E1056" i="1"/>
  <c r="W1056" i="1" s="1"/>
  <c r="D1057" i="1"/>
  <c r="E1057" i="1"/>
  <c r="W1057" i="1" s="1"/>
  <c r="D1058" i="1"/>
  <c r="E1058" i="1"/>
  <c r="W1058" i="1" s="1"/>
  <c r="D1059" i="1"/>
  <c r="E1059" i="1"/>
  <c r="W1059" i="1" s="1"/>
  <c r="D1060" i="1"/>
  <c r="E1060" i="1"/>
  <c r="W1060" i="1" s="1"/>
  <c r="D1061" i="1"/>
  <c r="E1061" i="1"/>
  <c r="W1061" i="1" s="1"/>
  <c r="D1062" i="1"/>
  <c r="E1062" i="1"/>
  <c r="W1062" i="1" s="1"/>
  <c r="D1063" i="1"/>
  <c r="E1063" i="1"/>
  <c r="W1063" i="1" s="1"/>
  <c r="D1064" i="1"/>
  <c r="E1064" i="1"/>
  <c r="W1064" i="1" s="1"/>
  <c r="D1065" i="1"/>
  <c r="E1065" i="1"/>
  <c r="W1065" i="1" s="1"/>
  <c r="D1066" i="1"/>
  <c r="E1066" i="1"/>
  <c r="W1066" i="1" s="1"/>
  <c r="D1037" i="1"/>
  <c r="E1037" i="1"/>
  <c r="W1037" i="1" s="1"/>
  <c r="D1038" i="1"/>
  <c r="E1038" i="1"/>
  <c r="W1038" i="1" s="1"/>
  <c r="D1039" i="1"/>
  <c r="E1039" i="1"/>
  <c r="W1039" i="1" s="1"/>
  <c r="D1040" i="1"/>
  <c r="E1040" i="1"/>
  <c r="W1040" i="1" s="1"/>
  <c r="D1041" i="1"/>
  <c r="E1041" i="1"/>
  <c r="W1041" i="1" s="1"/>
  <c r="D1042" i="1"/>
  <c r="E1042" i="1"/>
  <c r="W1042" i="1" s="1"/>
  <c r="D1043" i="1"/>
  <c r="E1043" i="1"/>
  <c r="W1043" i="1" s="1"/>
  <c r="D1044" i="1"/>
  <c r="E1044" i="1"/>
  <c r="W1044" i="1" s="1"/>
  <c r="D1045" i="1"/>
  <c r="E1045" i="1"/>
  <c r="W1045" i="1" s="1"/>
  <c r="D1046" i="1"/>
  <c r="E1046" i="1"/>
  <c r="W1046" i="1" s="1"/>
  <c r="D1047" i="1"/>
  <c r="E1047" i="1"/>
  <c r="W1047" i="1" s="1"/>
  <c r="D1048" i="1"/>
  <c r="E1048" i="1"/>
  <c r="W1048" i="1" s="1"/>
  <c r="D1049" i="1"/>
  <c r="E1049" i="1"/>
  <c r="W1049" i="1" s="1"/>
  <c r="D1050" i="1"/>
  <c r="E1050" i="1"/>
  <c r="W1050" i="1" s="1"/>
  <c r="D1051" i="1"/>
  <c r="E1051" i="1"/>
  <c r="W1051" i="1" s="1"/>
  <c r="D1025" i="1"/>
  <c r="E1025" i="1"/>
  <c r="W1025" i="1" s="1"/>
  <c r="D1026" i="1"/>
  <c r="E1026" i="1"/>
  <c r="W1026" i="1" s="1"/>
  <c r="D1027" i="1"/>
  <c r="E1027" i="1"/>
  <c r="W1027" i="1" s="1"/>
  <c r="D1028" i="1"/>
  <c r="E1028" i="1"/>
  <c r="W1028" i="1" s="1"/>
  <c r="D1029" i="1"/>
  <c r="E1029" i="1"/>
  <c r="W1029" i="1" s="1"/>
  <c r="D1030" i="1"/>
  <c r="E1030" i="1"/>
  <c r="W1030" i="1" s="1"/>
  <c r="D1031" i="1"/>
  <c r="E1031" i="1"/>
  <c r="W1031" i="1" s="1"/>
  <c r="D1032" i="1"/>
  <c r="E1032" i="1"/>
  <c r="W1032" i="1" s="1"/>
  <c r="D1033" i="1"/>
  <c r="E1033" i="1"/>
  <c r="W1033" i="1" s="1"/>
  <c r="D1034" i="1"/>
  <c r="E1034" i="1"/>
  <c r="W1034" i="1" s="1"/>
  <c r="D1035" i="1"/>
  <c r="E1035" i="1"/>
  <c r="W1035" i="1" s="1"/>
  <c r="D1036" i="1"/>
  <c r="E1036" i="1"/>
  <c r="W1036" i="1" s="1"/>
  <c r="Q2" i="1"/>
  <c r="D1002" i="1"/>
  <c r="E1002" i="1"/>
  <c r="W1002" i="1" s="1"/>
  <c r="D1003" i="1"/>
  <c r="E1003" i="1"/>
  <c r="W1003" i="1" s="1"/>
  <c r="D1004" i="1"/>
  <c r="E1004" i="1"/>
  <c r="W1004" i="1" s="1"/>
  <c r="D1005" i="1"/>
  <c r="E1005" i="1"/>
  <c r="W1005" i="1" s="1"/>
  <c r="D1006" i="1"/>
  <c r="E1006" i="1"/>
  <c r="W1006" i="1" s="1"/>
  <c r="D1007" i="1"/>
  <c r="E1007" i="1"/>
  <c r="W1007" i="1" s="1"/>
  <c r="D1008" i="1"/>
  <c r="E1008" i="1"/>
  <c r="W1008" i="1" s="1"/>
  <c r="D1009" i="1"/>
  <c r="E1009" i="1"/>
  <c r="W1009" i="1" s="1"/>
  <c r="D1010" i="1"/>
  <c r="E1010" i="1"/>
  <c r="W1010" i="1" s="1"/>
  <c r="D1011" i="1"/>
  <c r="E1011" i="1"/>
  <c r="W1011" i="1" s="1"/>
  <c r="D1012" i="1"/>
  <c r="E1012" i="1"/>
  <c r="W1012" i="1" s="1"/>
  <c r="D1013" i="1"/>
  <c r="E1013" i="1"/>
  <c r="W1013" i="1" s="1"/>
  <c r="D1014" i="1"/>
  <c r="E1014" i="1"/>
  <c r="W1014" i="1" s="1"/>
  <c r="D1015" i="1"/>
  <c r="E1015" i="1"/>
  <c r="W1015" i="1" s="1"/>
  <c r="D1016" i="1"/>
  <c r="E1016" i="1"/>
  <c r="W1016" i="1" s="1"/>
  <c r="D1017" i="1"/>
  <c r="E1017" i="1"/>
  <c r="W1017" i="1" s="1"/>
  <c r="D1018" i="1"/>
  <c r="E1018" i="1"/>
  <c r="W1018" i="1" s="1"/>
  <c r="D1019" i="1"/>
  <c r="E1019" i="1"/>
  <c r="W1019" i="1" s="1"/>
  <c r="D1020" i="1"/>
  <c r="E1020" i="1"/>
  <c r="W1020" i="1" s="1"/>
  <c r="D1021" i="1"/>
  <c r="E1021" i="1"/>
  <c r="W1021" i="1" s="1"/>
  <c r="D1022" i="1"/>
  <c r="E1022" i="1"/>
  <c r="W1022" i="1" s="1"/>
  <c r="D1023" i="1"/>
  <c r="E1023" i="1"/>
  <c r="W1023" i="1" s="1"/>
  <c r="D1024" i="1"/>
  <c r="E1024" i="1"/>
  <c r="W1024" i="1" s="1"/>
  <c r="D865" i="1"/>
  <c r="E865" i="1"/>
  <c r="W865" i="1" s="1"/>
  <c r="D866" i="1"/>
  <c r="E866" i="1"/>
  <c r="W866" i="1" s="1"/>
  <c r="D867" i="1"/>
  <c r="E867" i="1"/>
  <c r="W867" i="1" s="1"/>
  <c r="D868" i="1"/>
  <c r="E868" i="1"/>
  <c r="W868" i="1" s="1"/>
  <c r="D869" i="1"/>
  <c r="E869" i="1"/>
  <c r="W869" i="1" s="1"/>
  <c r="D870" i="1"/>
  <c r="E870" i="1"/>
  <c r="W870" i="1" s="1"/>
  <c r="D871" i="1"/>
  <c r="E871" i="1"/>
  <c r="W871" i="1" s="1"/>
  <c r="D872" i="1"/>
  <c r="E872" i="1"/>
  <c r="W872" i="1" s="1"/>
  <c r="D873" i="1"/>
  <c r="E873" i="1"/>
  <c r="W873" i="1" s="1"/>
  <c r="D874" i="1"/>
  <c r="E874" i="1"/>
  <c r="W874" i="1" s="1"/>
  <c r="D875" i="1"/>
  <c r="E875" i="1"/>
  <c r="W875" i="1" s="1"/>
  <c r="D876" i="1"/>
  <c r="E876" i="1"/>
  <c r="W876" i="1" s="1"/>
  <c r="D877" i="1"/>
  <c r="E877" i="1"/>
  <c r="W877" i="1" s="1"/>
  <c r="D878" i="1"/>
  <c r="E878" i="1"/>
  <c r="W878" i="1" s="1"/>
  <c r="D879" i="1"/>
  <c r="E879" i="1"/>
  <c r="W879" i="1" s="1"/>
  <c r="D880" i="1"/>
  <c r="E880" i="1"/>
  <c r="W880" i="1" s="1"/>
  <c r="D881" i="1"/>
  <c r="E881" i="1"/>
  <c r="W881" i="1" s="1"/>
  <c r="D882" i="1"/>
  <c r="E882" i="1"/>
  <c r="W882" i="1" s="1"/>
  <c r="D883" i="1"/>
  <c r="E883" i="1"/>
  <c r="W883" i="1" s="1"/>
  <c r="D884" i="1"/>
  <c r="E884" i="1"/>
  <c r="W884" i="1" s="1"/>
  <c r="D885" i="1"/>
  <c r="E885" i="1"/>
  <c r="W885" i="1" s="1"/>
  <c r="D886" i="1"/>
  <c r="E886" i="1"/>
  <c r="W886" i="1" s="1"/>
  <c r="D887" i="1"/>
  <c r="E887" i="1"/>
  <c r="W887" i="1" s="1"/>
  <c r="D888" i="1"/>
  <c r="E888" i="1"/>
  <c r="W888" i="1" s="1"/>
  <c r="D889" i="1"/>
  <c r="E889" i="1"/>
  <c r="W889" i="1" s="1"/>
  <c r="D890" i="1"/>
  <c r="E890" i="1"/>
  <c r="W890" i="1" s="1"/>
  <c r="D891" i="1"/>
  <c r="E891" i="1"/>
  <c r="W891" i="1" s="1"/>
  <c r="D892" i="1"/>
  <c r="E892" i="1"/>
  <c r="W892" i="1" s="1"/>
  <c r="D893" i="1"/>
  <c r="E893" i="1"/>
  <c r="W893" i="1" s="1"/>
  <c r="D894" i="1"/>
  <c r="E894" i="1"/>
  <c r="W894" i="1" s="1"/>
  <c r="D895" i="1"/>
  <c r="E895" i="1"/>
  <c r="D896" i="1"/>
  <c r="E896" i="1"/>
  <c r="W896" i="1" s="1"/>
  <c r="D897" i="1"/>
  <c r="E897" i="1"/>
  <c r="W897" i="1" s="1"/>
  <c r="D898" i="1"/>
  <c r="E898" i="1"/>
  <c r="W898" i="1" s="1"/>
  <c r="D899" i="1"/>
  <c r="E899" i="1"/>
  <c r="W899" i="1" s="1"/>
  <c r="D900" i="1"/>
  <c r="E900" i="1"/>
  <c r="W900" i="1" s="1"/>
  <c r="D901" i="1"/>
  <c r="E901" i="1"/>
  <c r="W901" i="1" s="1"/>
  <c r="D902" i="1"/>
  <c r="E902" i="1"/>
  <c r="W902" i="1" s="1"/>
  <c r="D903" i="1"/>
  <c r="E903" i="1"/>
  <c r="W903" i="1" s="1"/>
  <c r="D904" i="1"/>
  <c r="E904" i="1"/>
  <c r="W904" i="1" s="1"/>
  <c r="D905" i="1"/>
  <c r="E905" i="1"/>
  <c r="W905" i="1" s="1"/>
  <c r="D906" i="1"/>
  <c r="E906" i="1"/>
  <c r="W906" i="1" s="1"/>
  <c r="D907" i="1"/>
  <c r="E907" i="1"/>
  <c r="W907" i="1" s="1"/>
  <c r="D908" i="1"/>
  <c r="E908" i="1"/>
  <c r="W908" i="1" s="1"/>
  <c r="D909" i="1"/>
  <c r="E909" i="1"/>
  <c r="W909" i="1" s="1"/>
  <c r="D910" i="1"/>
  <c r="E910" i="1"/>
  <c r="W910" i="1" s="1"/>
  <c r="D911" i="1"/>
  <c r="E911" i="1"/>
  <c r="W911" i="1" s="1"/>
  <c r="D912" i="1"/>
  <c r="E912" i="1"/>
  <c r="W912" i="1" s="1"/>
  <c r="D913" i="1"/>
  <c r="E913" i="1"/>
  <c r="W913" i="1" s="1"/>
  <c r="D914" i="1"/>
  <c r="E914" i="1"/>
  <c r="W914" i="1" s="1"/>
  <c r="D915" i="1"/>
  <c r="E915" i="1"/>
  <c r="W915" i="1" s="1"/>
  <c r="D916" i="1"/>
  <c r="E916" i="1"/>
  <c r="W916" i="1" s="1"/>
  <c r="D917" i="1"/>
  <c r="E917" i="1"/>
  <c r="W917" i="1" s="1"/>
  <c r="D918" i="1"/>
  <c r="E918" i="1"/>
  <c r="W918" i="1" s="1"/>
  <c r="D919" i="1"/>
  <c r="E919" i="1"/>
  <c r="W919" i="1" s="1"/>
  <c r="D920" i="1"/>
  <c r="E920" i="1"/>
  <c r="W920" i="1" s="1"/>
  <c r="D921" i="1"/>
  <c r="E921" i="1"/>
  <c r="W921" i="1" s="1"/>
  <c r="D922" i="1"/>
  <c r="E922" i="1"/>
  <c r="W922" i="1" s="1"/>
  <c r="D923" i="1"/>
  <c r="E923" i="1"/>
  <c r="W923" i="1" s="1"/>
  <c r="D924" i="1"/>
  <c r="E924" i="1"/>
  <c r="W924" i="1" s="1"/>
  <c r="D925" i="1"/>
  <c r="E925" i="1"/>
  <c r="W925" i="1" s="1"/>
  <c r="D926" i="1"/>
  <c r="E926" i="1"/>
  <c r="W926" i="1" s="1"/>
  <c r="D927" i="1"/>
  <c r="E927" i="1"/>
  <c r="W927" i="1" s="1"/>
  <c r="D928" i="1"/>
  <c r="E928" i="1"/>
  <c r="W928" i="1" s="1"/>
  <c r="D929" i="1"/>
  <c r="E929" i="1"/>
  <c r="W929" i="1" s="1"/>
  <c r="D930" i="1"/>
  <c r="E930" i="1"/>
  <c r="W930" i="1" s="1"/>
  <c r="D931" i="1"/>
  <c r="E931" i="1"/>
  <c r="W931" i="1" s="1"/>
  <c r="D932" i="1"/>
  <c r="E932" i="1"/>
  <c r="W932" i="1" s="1"/>
  <c r="D933" i="1"/>
  <c r="E933" i="1"/>
  <c r="W933" i="1" s="1"/>
  <c r="D934" i="1"/>
  <c r="E934" i="1"/>
  <c r="W934" i="1" s="1"/>
  <c r="D935" i="1"/>
  <c r="E935" i="1"/>
  <c r="W935" i="1" s="1"/>
  <c r="D936" i="1"/>
  <c r="E936" i="1"/>
  <c r="W936" i="1" s="1"/>
  <c r="D937" i="1"/>
  <c r="E937" i="1"/>
  <c r="W937" i="1" s="1"/>
  <c r="D938" i="1"/>
  <c r="E938" i="1"/>
  <c r="W938" i="1" s="1"/>
  <c r="D939" i="1"/>
  <c r="E939" i="1"/>
  <c r="W939" i="1" s="1"/>
  <c r="D940" i="1"/>
  <c r="E940" i="1"/>
  <c r="W940" i="1" s="1"/>
  <c r="D941" i="1"/>
  <c r="E941" i="1"/>
  <c r="W941" i="1" s="1"/>
  <c r="D942" i="1"/>
  <c r="E942" i="1"/>
  <c r="W942" i="1" s="1"/>
  <c r="D943" i="1"/>
  <c r="E943" i="1"/>
  <c r="W943" i="1" s="1"/>
  <c r="D944" i="1"/>
  <c r="E944" i="1"/>
  <c r="W944" i="1" s="1"/>
  <c r="D945" i="1"/>
  <c r="E945" i="1"/>
  <c r="W945" i="1" s="1"/>
  <c r="D946" i="1"/>
  <c r="E946" i="1"/>
  <c r="W946" i="1" s="1"/>
  <c r="D947" i="1"/>
  <c r="E947" i="1"/>
  <c r="W947" i="1" s="1"/>
  <c r="D948" i="1"/>
  <c r="E948" i="1"/>
  <c r="W948" i="1" s="1"/>
  <c r="D949" i="1"/>
  <c r="E949" i="1"/>
  <c r="W949" i="1" s="1"/>
  <c r="D950" i="1"/>
  <c r="E950" i="1"/>
  <c r="W950" i="1" s="1"/>
  <c r="D951" i="1"/>
  <c r="E951" i="1"/>
  <c r="W951" i="1" s="1"/>
  <c r="D952" i="1"/>
  <c r="E952" i="1"/>
  <c r="W952" i="1" s="1"/>
  <c r="D953" i="1"/>
  <c r="E953" i="1"/>
  <c r="W953" i="1" s="1"/>
  <c r="D954" i="1"/>
  <c r="E954" i="1"/>
  <c r="W954" i="1" s="1"/>
  <c r="D955" i="1"/>
  <c r="E955" i="1"/>
  <c r="W955" i="1" s="1"/>
  <c r="D956" i="1"/>
  <c r="E956" i="1"/>
  <c r="W956" i="1" s="1"/>
  <c r="D957" i="1"/>
  <c r="E957" i="1"/>
  <c r="W957" i="1" s="1"/>
  <c r="D958" i="1"/>
  <c r="E958" i="1"/>
  <c r="W958" i="1" s="1"/>
  <c r="D959" i="1"/>
  <c r="E959" i="1"/>
  <c r="W959" i="1" s="1"/>
  <c r="D960" i="1"/>
  <c r="E960" i="1"/>
  <c r="W960" i="1" s="1"/>
  <c r="D961" i="1"/>
  <c r="E961" i="1"/>
  <c r="W961" i="1" s="1"/>
  <c r="D962" i="1"/>
  <c r="E962" i="1"/>
  <c r="W962" i="1" s="1"/>
  <c r="D963" i="1"/>
  <c r="E963" i="1"/>
  <c r="W963" i="1" s="1"/>
  <c r="D964" i="1"/>
  <c r="E964" i="1"/>
  <c r="W964" i="1" s="1"/>
  <c r="D965" i="1"/>
  <c r="E965" i="1"/>
  <c r="W965" i="1" s="1"/>
  <c r="D966" i="1"/>
  <c r="E966" i="1"/>
  <c r="W966" i="1" s="1"/>
  <c r="D967" i="1"/>
  <c r="E967" i="1"/>
  <c r="W967" i="1" s="1"/>
  <c r="D968" i="1"/>
  <c r="E968" i="1"/>
  <c r="W968" i="1" s="1"/>
  <c r="D969" i="1"/>
  <c r="E969" i="1"/>
  <c r="W969" i="1" s="1"/>
  <c r="D970" i="1"/>
  <c r="E970" i="1"/>
  <c r="W970" i="1" s="1"/>
  <c r="D971" i="1"/>
  <c r="E971" i="1"/>
  <c r="W971" i="1" s="1"/>
  <c r="D972" i="1"/>
  <c r="E972" i="1"/>
  <c r="W972" i="1" s="1"/>
  <c r="D973" i="1"/>
  <c r="E973" i="1"/>
  <c r="W973" i="1" s="1"/>
  <c r="D974" i="1"/>
  <c r="E974" i="1"/>
  <c r="W974" i="1" s="1"/>
  <c r="D975" i="1"/>
  <c r="E975" i="1"/>
  <c r="W975" i="1" s="1"/>
  <c r="D976" i="1"/>
  <c r="E976" i="1"/>
  <c r="W976" i="1" s="1"/>
  <c r="D977" i="1"/>
  <c r="E977" i="1"/>
  <c r="W977" i="1" s="1"/>
  <c r="D978" i="1"/>
  <c r="E978" i="1"/>
  <c r="W978" i="1" s="1"/>
  <c r="D979" i="1"/>
  <c r="E979" i="1"/>
  <c r="W979" i="1" s="1"/>
  <c r="D980" i="1"/>
  <c r="E980" i="1"/>
  <c r="W980" i="1" s="1"/>
  <c r="D981" i="1"/>
  <c r="E981" i="1"/>
  <c r="W981" i="1" s="1"/>
  <c r="D982" i="1"/>
  <c r="E982" i="1"/>
  <c r="W982" i="1" s="1"/>
  <c r="D983" i="1"/>
  <c r="E983" i="1"/>
  <c r="W983" i="1" s="1"/>
  <c r="D984" i="1"/>
  <c r="E984" i="1"/>
  <c r="W984" i="1" s="1"/>
  <c r="D985" i="1"/>
  <c r="E985" i="1"/>
  <c r="W985" i="1" s="1"/>
  <c r="D986" i="1"/>
  <c r="E986" i="1"/>
  <c r="W986" i="1" s="1"/>
  <c r="D987" i="1"/>
  <c r="E987" i="1"/>
  <c r="W987" i="1" s="1"/>
  <c r="D988" i="1"/>
  <c r="E988" i="1"/>
  <c r="W988" i="1" s="1"/>
  <c r="D989" i="1"/>
  <c r="E989" i="1"/>
  <c r="W989" i="1" s="1"/>
  <c r="D990" i="1"/>
  <c r="E990" i="1"/>
  <c r="W990" i="1" s="1"/>
  <c r="D991" i="1"/>
  <c r="E991" i="1"/>
  <c r="W991" i="1" s="1"/>
  <c r="D992" i="1"/>
  <c r="E992" i="1"/>
  <c r="W992" i="1" s="1"/>
  <c r="D993" i="1"/>
  <c r="E993" i="1"/>
  <c r="W993" i="1" s="1"/>
  <c r="D994" i="1"/>
  <c r="E994" i="1"/>
  <c r="W994" i="1" s="1"/>
  <c r="D995" i="1"/>
  <c r="E995" i="1"/>
  <c r="W995" i="1" s="1"/>
  <c r="D996" i="1"/>
  <c r="E996" i="1"/>
  <c r="W996" i="1" s="1"/>
  <c r="D997" i="1"/>
  <c r="E997" i="1"/>
  <c r="W997" i="1" s="1"/>
  <c r="D998" i="1"/>
  <c r="E998" i="1"/>
  <c r="W998" i="1" s="1"/>
  <c r="D999" i="1"/>
  <c r="E999" i="1"/>
  <c r="W999" i="1" s="1"/>
  <c r="D1000" i="1"/>
  <c r="E1000" i="1"/>
  <c r="W1000" i="1" s="1"/>
  <c r="D1001" i="1"/>
  <c r="E1001" i="1"/>
  <c r="W1001" i="1" s="1"/>
  <c r="D801" i="1"/>
  <c r="E801" i="1"/>
  <c r="W801" i="1" s="1"/>
  <c r="D802" i="1"/>
  <c r="E802" i="1"/>
  <c r="W802" i="1" s="1"/>
  <c r="D803" i="1"/>
  <c r="E803" i="1"/>
  <c r="W803" i="1" s="1"/>
  <c r="D804" i="1"/>
  <c r="E804" i="1"/>
  <c r="W804" i="1" s="1"/>
  <c r="D805" i="1"/>
  <c r="E805" i="1"/>
  <c r="W805" i="1" s="1"/>
  <c r="D806" i="1"/>
  <c r="E806" i="1"/>
  <c r="W806" i="1" s="1"/>
  <c r="D807" i="1"/>
  <c r="E807" i="1"/>
  <c r="W807" i="1" s="1"/>
  <c r="D808" i="1"/>
  <c r="E808" i="1"/>
  <c r="W808" i="1" s="1"/>
  <c r="D809" i="1"/>
  <c r="E809" i="1"/>
  <c r="W809" i="1" s="1"/>
  <c r="D810" i="1"/>
  <c r="E810" i="1"/>
  <c r="W810" i="1" s="1"/>
  <c r="D811" i="1"/>
  <c r="E811" i="1"/>
  <c r="W811" i="1" s="1"/>
  <c r="D812" i="1"/>
  <c r="E812" i="1"/>
  <c r="W812" i="1" s="1"/>
  <c r="D813" i="1"/>
  <c r="E813" i="1"/>
  <c r="W813" i="1" s="1"/>
  <c r="D814" i="1"/>
  <c r="E814" i="1"/>
  <c r="W814" i="1" s="1"/>
  <c r="D815" i="1"/>
  <c r="E815" i="1"/>
  <c r="W815" i="1" s="1"/>
  <c r="D816" i="1"/>
  <c r="E816" i="1"/>
  <c r="W816" i="1" s="1"/>
  <c r="D817" i="1"/>
  <c r="E817" i="1"/>
  <c r="W817" i="1" s="1"/>
  <c r="D818" i="1"/>
  <c r="E818" i="1"/>
  <c r="W818" i="1" s="1"/>
  <c r="D819" i="1"/>
  <c r="E819" i="1"/>
  <c r="W819" i="1" s="1"/>
  <c r="D820" i="1"/>
  <c r="E820" i="1"/>
  <c r="W820" i="1" s="1"/>
  <c r="D821" i="1"/>
  <c r="E821" i="1"/>
  <c r="W821" i="1" s="1"/>
  <c r="D822" i="1"/>
  <c r="E822" i="1"/>
  <c r="W822" i="1" s="1"/>
  <c r="D823" i="1"/>
  <c r="E823" i="1"/>
  <c r="W823" i="1" s="1"/>
  <c r="D824" i="1"/>
  <c r="E824" i="1"/>
  <c r="W824" i="1" s="1"/>
  <c r="D825" i="1"/>
  <c r="E825" i="1"/>
  <c r="W825" i="1" s="1"/>
  <c r="D826" i="1"/>
  <c r="E826" i="1"/>
  <c r="W826" i="1" s="1"/>
  <c r="D827" i="1"/>
  <c r="E827" i="1"/>
  <c r="W827" i="1" s="1"/>
  <c r="D828" i="1"/>
  <c r="E828" i="1"/>
  <c r="W828" i="1" s="1"/>
  <c r="D829" i="1"/>
  <c r="E829" i="1"/>
  <c r="W829" i="1" s="1"/>
  <c r="D830" i="1"/>
  <c r="E830" i="1"/>
  <c r="W830" i="1" s="1"/>
  <c r="D831" i="1"/>
  <c r="E831" i="1"/>
  <c r="D832" i="1"/>
  <c r="E832" i="1"/>
  <c r="W832" i="1" s="1"/>
  <c r="D833" i="1"/>
  <c r="E833" i="1"/>
  <c r="W833" i="1" s="1"/>
  <c r="D834" i="1"/>
  <c r="E834" i="1"/>
  <c r="W834" i="1" s="1"/>
  <c r="D835" i="1"/>
  <c r="E835" i="1"/>
  <c r="W835" i="1" s="1"/>
  <c r="D836" i="1"/>
  <c r="E836" i="1"/>
  <c r="W836" i="1" s="1"/>
  <c r="D837" i="1"/>
  <c r="E837" i="1"/>
  <c r="W837" i="1" s="1"/>
  <c r="D838" i="1"/>
  <c r="E838" i="1"/>
  <c r="W838" i="1" s="1"/>
  <c r="D839" i="1"/>
  <c r="E839" i="1"/>
  <c r="W839" i="1" s="1"/>
  <c r="D840" i="1"/>
  <c r="E840" i="1"/>
  <c r="W840" i="1" s="1"/>
  <c r="D841" i="1"/>
  <c r="E841" i="1"/>
  <c r="W841" i="1" s="1"/>
  <c r="D842" i="1"/>
  <c r="E842" i="1"/>
  <c r="W842" i="1" s="1"/>
  <c r="D843" i="1"/>
  <c r="E843" i="1"/>
  <c r="W843" i="1" s="1"/>
  <c r="D844" i="1"/>
  <c r="E844" i="1"/>
  <c r="W844" i="1" s="1"/>
  <c r="D845" i="1"/>
  <c r="E845" i="1"/>
  <c r="W845" i="1" s="1"/>
  <c r="D846" i="1"/>
  <c r="E846" i="1"/>
  <c r="W846" i="1" s="1"/>
  <c r="D847" i="1"/>
  <c r="E847" i="1"/>
  <c r="W847" i="1" s="1"/>
  <c r="D848" i="1"/>
  <c r="E848" i="1"/>
  <c r="W848" i="1" s="1"/>
  <c r="D849" i="1"/>
  <c r="E849" i="1"/>
  <c r="W849" i="1" s="1"/>
  <c r="D850" i="1"/>
  <c r="E850" i="1"/>
  <c r="W850" i="1" s="1"/>
  <c r="D851" i="1"/>
  <c r="E851" i="1"/>
  <c r="W851" i="1" s="1"/>
  <c r="D852" i="1"/>
  <c r="E852" i="1"/>
  <c r="W852" i="1" s="1"/>
  <c r="D853" i="1"/>
  <c r="E853" i="1"/>
  <c r="W853" i="1" s="1"/>
  <c r="D854" i="1"/>
  <c r="E854" i="1"/>
  <c r="W854" i="1" s="1"/>
  <c r="D855" i="1"/>
  <c r="E855" i="1"/>
  <c r="W855" i="1" s="1"/>
  <c r="D856" i="1"/>
  <c r="E856" i="1"/>
  <c r="W856" i="1" s="1"/>
  <c r="D857" i="1"/>
  <c r="E857" i="1"/>
  <c r="W857" i="1" s="1"/>
  <c r="D858" i="1"/>
  <c r="E858" i="1"/>
  <c r="W858" i="1" s="1"/>
  <c r="D859" i="1"/>
  <c r="E859" i="1"/>
  <c r="W859" i="1" s="1"/>
  <c r="D860" i="1"/>
  <c r="E860" i="1"/>
  <c r="W860" i="1" s="1"/>
  <c r="D861" i="1"/>
  <c r="E861" i="1"/>
  <c r="W861" i="1" s="1"/>
  <c r="D862" i="1"/>
  <c r="E862" i="1"/>
  <c r="W862" i="1" s="1"/>
  <c r="D863" i="1"/>
  <c r="E863" i="1"/>
  <c r="D864" i="1"/>
  <c r="E864" i="1"/>
  <c r="W864" i="1" s="1"/>
  <c r="D722" i="1"/>
  <c r="E722" i="1"/>
  <c r="W722" i="1" s="1"/>
  <c r="D723" i="1"/>
  <c r="E723" i="1"/>
  <c r="W723" i="1" s="1"/>
  <c r="D724" i="1"/>
  <c r="E724" i="1"/>
  <c r="W724" i="1" s="1"/>
  <c r="D725" i="1"/>
  <c r="E725" i="1"/>
  <c r="W725" i="1" s="1"/>
  <c r="D726" i="1"/>
  <c r="E726" i="1"/>
  <c r="W726" i="1" s="1"/>
  <c r="D727" i="1"/>
  <c r="E727" i="1"/>
  <c r="W727" i="1" s="1"/>
  <c r="D728" i="1"/>
  <c r="E728" i="1"/>
  <c r="W728" i="1" s="1"/>
  <c r="D729" i="1"/>
  <c r="E729" i="1"/>
  <c r="W729" i="1" s="1"/>
  <c r="D730" i="1"/>
  <c r="E730" i="1"/>
  <c r="W730" i="1" s="1"/>
  <c r="D731" i="1"/>
  <c r="E731" i="1"/>
  <c r="W731" i="1" s="1"/>
  <c r="D732" i="1"/>
  <c r="E732" i="1"/>
  <c r="W732" i="1" s="1"/>
  <c r="D733" i="1"/>
  <c r="E733" i="1"/>
  <c r="W733" i="1" s="1"/>
  <c r="D734" i="1"/>
  <c r="E734" i="1"/>
  <c r="W734" i="1" s="1"/>
  <c r="D735" i="1"/>
  <c r="E735" i="1"/>
  <c r="W735" i="1" s="1"/>
  <c r="D736" i="1"/>
  <c r="E736" i="1"/>
  <c r="W736" i="1" s="1"/>
  <c r="D737" i="1"/>
  <c r="E737" i="1"/>
  <c r="W737" i="1" s="1"/>
  <c r="D738" i="1"/>
  <c r="E738" i="1"/>
  <c r="W738" i="1" s="1"/>
  <c r="D739" i="1"/>
  <c r="E739" i="1"/>
  <c r="W739" i="1" s="1"/>
  <c r="D740" i="1"/>
  <c r="E740" i="1"/>
  <c r="W740" i="1" s="1"/>
  <c r="D741" i="1"/>
  <c r="E741" i="1"/>
  <c r="W741" i="1" s="1"/>
  <c r="D742" i="1"/>
  <c r="E742" i="1"/>
  <c r="W742" i="1" s="1"/>
  <c r="D743" i="1"/>
  <c r="E743" i="1"/>
  <c r="W743" i="1" s="1"/>
  <c r="D744" i="1"/>
  <c r="E744" i="1"/>
  <c r="W744" i="1" s="1"/>
  <c r="D745" i="1"/>
  <c r="E745" i="1"/>
  <c r="W745" i="1" s="1"/>
  <c r="D746" i="1"/>
  <c r="E746" i="1"/>
  <c r="W746" i="1" s="1"/>
  <c r="D747" i="1"/>
  <c r="E747" i="1"/>
  <c r="W747" i="1" s="1"/>
  <c r="D748" i="1"/>
  <c r="E748" i="1"/>
  <c r="W748" i="1" s="1"/>
  <c r="D749" i="1"/>
  <c r="E749" i="1"/>
  <c r="W749" i="1" s="1"/>
  <c r="D750" i="1"/>
  <c r="E750" i="1"/>
  <c r="W750" i="1" s="1"/>
  <c r="D751" i="1"/>
  <c r="E751" i="1"/>
  <c r="W751" i="1" s="1"/>
  <c r="D752" i="1"/>
  <c r="E752" i="1"/>
  <c r="W752" i="1" s="1"/>
  <c r="D753" i="1"/>
  <c r="E753" i="1"/>
  <c r="W753" i="1" s="1"/>
  <c r="D754" i="1"/>
  <c r="E754" i="1"/>
  <c r="W754" i="1" s="1"/>
  <c r="D755" i="1"/>
  <c r="E755" i="1"/>
  <c r="W755" i="1" s="1"/>
  <c r="D756" i="1"/>
  <c r="E756" i="1"/>
  <c r="W756" i="1" s="1"/>
  <c r="D757" i="1"/>
  <c r="E757" i="1"/>
  <c r="W757" i="1" s="1"/>
  <c r="D758" i="1"/>
  <c r="E758" i="1"/>
  <c r="W758" i="1" s="1"/>
  <c r="D759" i="1"/>
  <c r="E759" i="1"/>
  <c r="W759" i="1" s="1"/>
  <c r="D760" i="1"/>
  <c r="E760" i="1"/>
  <c r="W760" i="1" s="1"/>
  <c r="D761" i="1"/>
  <c r="E761" i="1"/>
  <c r="W761" i="1" s="1"/>
  <c r="D762" i="1"/>
  <c r="E762" i="1"/>
  <c r="W762" i="1" s="1"/>
  <c r="D763" i="1"/>
  <c r="E763" i="1"/>
  <c r="W763" i="1" s="1"/>
  <c r="D764" i="1"/>
  <c r="E764" i="1"/>
  <c r="W764" i="1" s="1"/>
  <c r="D765" i="1"/>
  <c r="E765" i="1"/>
  <c r="W765" i="1" s="1"/>
  <c r="D766" i="1"/>
  <c r="E766" i="1"/>
  <c r="W766" i="1" s="1"/>
  <c r="D767" i="1"/>
  <c r="E767" i="1"/>
  <c r="W767" i="1" s="1"/>
  <c r="D768" i="1"/>
  <c r="E768" i="1"/>
  <c r="W768" i="1" s="1"/>
  <c r="D769" i="1"/>
  <c r="E769" i="1"/>
  <c r="W769" i="1" s="1"/>
  <c r="D770" i="1"/>
  <c r="E770" i="1"/>
  <c r="W770" i="1" s="1"/>
  <c r="D771" i="1"/>
  <c r="E771" i="1"/>
  <c r="W771" i="1" s="1"/>
  <c r="D772" i="1"/>
  <c r="E772" i="1"/>
  <c r="W772" i="1" s="1"/>
  <c r="D773" i="1"/>
  <c r="E773" i="1"/>
  <c r="W773" i="1" s="1"/>
  <c r="D774" i="1"/>
  <c r="E774" i="1"/>
  <c r="W774" i="1" s="1"/>
  <c r="D775" i="1"/>
  <c r="E775" i="1"/>
  <c r="W775" i="1" s="1"/>
  <c r="D776" i="1"/>
  <c r="E776" i="1"/>
  <c r="W776" i="1" s="1"/>
  <c r="D777" i="1"/>
  <c r="E777" i="1"/>
  <c r="W777" i="1" s="1"/>
  <c r="D778" i="1"/>
  <c r="E778" i="1"/>
  <c r="W778" i="1" s="1"/>
  <c r="D779" i="1"/>
  <c r="E779" i="1"/>
  <c r="W779" i="1" s="1"/>
  <c r="D780" i="1"/>
  <c r="E780" i="1"/>
  <c r="W780" i="1" s="1"/>
  <c r="D781" i="1"/>
  <c r="E781" i="1"/>
  <c r="W781" i="1" s="1"/>
  <c r="D782" i="1"/>
  <c r="E782" i="1"/>
  <c r="W782" i="1" s="1"/>
  <c r="D783" i="1"/>
  <c r="E783" i="1"/>
  <c r="W783" i="1" s="1"/>
  <c r="D784" i="1"/>
  <c r="E784" i="1"/>
  <c r="W784" i="1" s="1"/>
  <c r="D785" i="1"/>
  <c r="E785" i="1"/>
  <c r="W785" i="1" s="1"/>
  <c r="D786" i="1"/>
  <c r="E786" i="1"/>
  <c r="W786" i="1" s="1"/>
  <c r="D787" i="1"/>
  <c r="E787" i="1"/>
  <c r="W787" i="1" s="1"/>
  <c r="D788" i="1"/>
  <c r="E788" i="1"/>
  <c r="W788" i="1" s="1"/>
  <c r="D789" i="1"/>
  <c r="E789" i="1"/>
  <c r="W789" i="1" s="1"/>
  <c r="D790" i="1"/>
  <c r="E790" i="1"/>
  <c r="W790" i="1" s="1"/>
  <c r="D791" i="1"/>
  <c r="E791" i="1"/>
  <c r="W791" i="1" s="1"/>
  <c r="D792" i="1"/>
  <c r="E792" i="1"/>
  <c r="W792" i="1" s="1"/>
  <c r="D793" i="1"/>
  <c r="E793" i="1"/>
  <c r="W793" i="1" s="1"/>
  <c r="D794" i="1"/>
  <c r="E794" i="1"/>
  <c r="W794" i="1" s="1"/>
  <c r="D795" i="1"/>
  <c r="E795" i="1"/>
  <c r="W795" i="1" s="1"/>
  <c r="D796" i="1"/>
  <c r="E796" i="1"/>
  <c r="W796" i="1" s="1"/>
  <c r="D797" i="1"/>
  <c r="E797" i="1"/>
  <c r="W797" i="1" s="1"/>
  <c r="D798" i="1"/>
  <c r="E798" i="1"/>
  <c r="W798" i="1" s="1"/>
  <c r="D799" i="1"/>
  <c r="E799" i="1"/>
  <c r="D800" i="1"/>
  <c r="E800" i="1"/>
  <c r="W800" i="1" s="1"/>
  <c r="D672" i="1"/>
  <c r="E672" i="1"/>
  <c r="W672" i="1" s="1"/>
  <c r="D673" i="1"/>
  <c r="E673" i="1"/>
  <c r="W673" i="1" s="1"/>
  <c r="D674" i="1"/>
  <c r="E674" i="1"/>
  <c r="W674" i="1" s="1"/>
  <c r="D675" i="1"/>
  <c r="E675" i="1"/>
  <c r="W675" i="1" s="1"/>
  <c r="D676" i="1"/>
  <c r="E676" i="1"/>
  <c r="W676" i="1" s="1"/>
  <c r="D677" i="1"/>
  <c r="E677" i="1"/>
  <c r="W677" i="1" s="1"/>
  <c r="D678" i="1"/>
  <c r="E678" i="1"/>
  <c r="W678" i="1" s="1"/>
  <c r="D679" i="1"/>
  <c r="E679" i="1"/>
  <c r="W679" i="1" s="1"/>
  <c r="D680" i="1"/>
  <c r="E680" i="1"/>
  <c r="W680" i="1" s="1"/>
  <c r="D681" i="1"/>
  <c r="E681" i="1"/>
  <c r="W681" i="1" s="1"/>
  <c r="D682" i="1"/>
  <c r="E682" i="1"/>
  <c r="W682" i="1" s="1"/>
  <c r="D683" i="1"/>
  <c r="E683" i="1"/>
  <c r="W683" i="1" s="1"/>
  <c r="D684" i="1"/>
  <c r="E684" i="1"/>
  <c r="W684" i="1" s="1"/>
  <c r="D685" i="1"/>
  <c r="E685" i="1"/>
  <c r="W685" i="1" s="1"/>
  <c r="D686" i="1"/>
  <c r="E686" i="1"/>
  <c r="W686" i="1" s="1"/>
  <c r="D687" i="1"/>
  <c r="E687" i="1"/>
  <c r="W687" i="1" s="1"/>
  <c r="D688" i="1"/>
  <c r="E688" i="1"/>
  <c r="W688" i="1" s="1"/>
  <c r="D689" i="1"/>
  <c r="E689" i="1"/>
  <c r="W689" i="1" s="1"/>
  <c r="D690" i="1"/>
  <c r="E690" i="1"/>
  <c r="W690" i="1" s="1"/>
  <c r="D691" i="1"/>
  <c r="E691" i="1"/>
  <c r="W691" i="1" s="1"/>
  <c r="D692" i="1"/>
  <c r="E692" i="1"/>
  <c r="W692" i="1" s="1"/>
  <c r="D693" i="1"/>
  <c r="E693" i="1"/>
  <c r="W693" i="1" s="1"/>
  <c r="D694" i="1"/>
  <c r="E694" i="1"/>
  <c r="W694" i="1" s="1"/>
  <c r="D695" i="1"/>
  <c r="E695" i="1"/>
  <c r="W695" i="1" s="1"/>
  <c r="D696" i="1"/>
  <c r="E696" i="1"/>
  <c r="W696" i="1" s="1"/>
  <c r="D697" i="1"/>
  <c r="E697" i="1"/>
  <c r="W697" i="1" s="1"/>
  <c r="D698" i="1"/>
  <c r="E698" i="1"/>
  <c r="W698" i="1" s="1"/>
  <c r="D699" i="1"/>
  <c r="E699" i="1"/>
  <c r="W699" i="1" s="1"/>
  <c r="D700" i="1"/>
  <c r="E700" i="1"/>
  <c r="W700" i="1" s="1"/>
  <c r="D701" i="1"/>
  <c r="E701" i="1"/>
  <c r="W701" i="1" s="1"/>
  <c r="D702" i="1"/>
  <c r="E702" i="1"/>
  <c r="W702" i="1" s="1"/>
  <c r="D703" i="1"/>
  <c r="E703" i="1"/>
  <c r="W703" i="1" s="1"/>
  <c r="D704" i="1"/>
  <c r="E704" i="1"/>
  <c r="W704" i="1" s="1"/>
  <c r="D705" i="1"/>
  <c r="E705" i="1"/>
  <c r="W705" i="1" s="1"/>
  <c r="D706" i="1"/>
  <c r="E706" i="1"/>
  <c r="W706" i="1" s="1"/>
  <c r="D707" i="1"/>
  <c r="E707" i="1"/>
  <c r="W707" i="1" s="1"/>
  <c r="D708" i="1"/>
  <c r="E708" i="1"/>
  <c r="W708" i="1" s="1"/>
  <c r="D709" i="1"/>
  <c r="E709" i="1"/>
  <c r="W709" i="1" s="1"/>
  <c r="D710" i="1"/>
  <c r="E710" i="1"/>
  <c r="W710" i="1" s="1"/>
  <c r="D711" i="1"/>
  <c r="E711" i="1"/>
  <c r="W711" i="1" s="1"/>
  <c r="D712" i="1"/>
  <c r="E712" i="1"/>
  <c r="W712" i="1" s="1"/>
  <c r="D713" i="1"/>
  <c r="E713" i="1"/>
  <c r="W713" i="1" s="1"/>
  <c r="D714" i="1"/>
  <c r="E714" i="1"/>
  <c r="W714" i="1" s="1"/>
  <c r="D715" i="1"/>
  <c r="E715" i="1"/>
  <c r="W715" i="1" s="1"/>
  <c r="D716" i="1"/>
  <c r="E716" i="1"/>
  <c r="W716" i="1" s="1"/>
  <c r="D717" i="1"/>
  <c r="E717" i="1"/>
  <c r="W717" i="1" s="1"/>
  <c r="D718" i="1"/>
  <c r="E718" i="1"/>
  <c r="W718" i="1" s="1"/>
  <c r="D719" i="1"/>
  <c r="E719" i="1"/>
  <c r="W719" i="1" s="1"/>
  <c r="D720" i="1"/>
  <c r="E720" i="1"/>
  <c r="W720" i="1" s="1"/>
  <c r="D721" i="1"/>
  <c r="E721" i="1"/>
  <c r="W721" i="1" s="1"/>
  <c r="D551" i="1"/>
  <c r="E551" i="1"/>
  <c r="D552" i="1"/>
  <c r="E552" i="1"/>
  <c r="D553" i="1"/>
  <c r="E553" i="1"/>
  <c r="D554" i="1"/>
  <c r="E554" i="1"/>
  <c r="D555" i="1"/>
  <c r="E555" i="1"/>
  <c r="D556" i="1"/>
  <c r="E556" i="1"/>
  <c r="D557" i="1"/>
  <c r="E557" i="1"/>
  <c r="E362" i="1"/>
  <c r="W362" i="1" s="1"/>
  <c r="D36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41" i="1"/>
  <c r="E341" i="1"/>
  <c r="D342" i="1"/>
  <c r="E342" i="1"/>
  <c r="D343" i="1"/>
  <c r="E343" i="1"/>
  <c r="D344" i="1"/>
  <c r="E344" i="1"/>
  <c r="W344" i="1" s="1"/>
  <c r="D345" i="1"/>
  <c r="E345" i="1"/>
  <c r="D346" i="1"/>
  <c r="E346" i="1"/>
  <c r="W346" i="1" s="1"/>
  <c r="D347" i="1"/>
  <c r="E347" i="1"/>
  <c r="W347" i="1" s="1"/>
  <c r="D348" i="1"/>
  <c r="E348" i="1"/>
  <c r="D349" i="1"/>
  <c r="E349" i="1"/>
  <c r="D350" i="1"/>
  <c r="E350" i="1"/>
  <c r="D351" i="1"/>
  <c r="E351" i="1"/>
  <c r="D352" i="1"/>
  <c r="E352" i="1"/>
  <c r="W352" i="1" s="1"/>
  <c r="D353" i="1"/>
  <c r="E353" i="1"/>
  <c r="D354" i="1"/>
  <c r="E354" i="1"/>
  <c r="W354" i="1" s="1"/>
  <c r="D355" i="1"/>
  <c r="E355" i="1"/>
  <c r="W355" i="1" s="1"/>
  <c r="D356" i="1"/>
  <c r="E356" i="1"/>
  <c r="D357" i="1"/>
  <c r="E357" i="1"/>
  <c r="D358" i="1"/>
  <c r="E358" i="1"/>
  <c r="D359" i="1"/>
  <c r="E359" i="1"/>
  <c r="D360" i="1"/>
  <c r="E360" i="1"/>
  <c r="W360" i="1" s="1"/>
  <c r="D361" i="1"/>
  <c r="E361" i="1"/>
  <c r="D363" i="1"/>
  <c r="E363" i="1"/>
  <c r="W363" i="1" s="1"/>
  <c r="D364" i="1"/>
  <c r="E364" i="1"/>
  <c r="D365" i="1"/>
  <c r="E365" i="1"/>
  <c r="D366" i="1"/>
  <c r="E366" i="1"/>
  <c r="D367" i="1"/>
  <c r="E367" i="1"/>
  <c r="W367" i="1" s="1"/>
  <c r="D368" i="1"/>
  <c r="E368" i="1"/>
  <c r="W368" i="1" s="1"/>
  <c r="D369" i="1"/>
  <c r="E369" i="1"/>
  <c r="D370" i="1"/>
  <c r="E370" i="1"/>
  <c r="W370" i="1" s="1"/>
  <c r="D371" i="1"/>
  <c r="E371" i="1"/>
  <c r="D372" i="1"/>
  <c r="E372" i="1"/>
  <c r="D373" i="1"/>
  <c r="E373" i="1"/>
  <c r="D374" i="1"/>
  <c r="E374" i="1"/>
  <c r="D375" i="1"/>
  <c r="E375" i="1"/>
  <c r="W375" i="1" s="1"/>
  <c r="D376" i="1"/>
  <c r="E376" i="1"/>
  <c r="W376" i="1" s="1"/>
  <c r="D377" i="1"/>
  <c r="E377" i="1"/>
  <c r="D378" i="1"/>
  <c r="E378" i="1"/>
  <c r="W378" i="1" s="1"/>
  <c r="D379" i="1"/>
  <c r="E379" i="1"/>
  <c r="D380" i="1"/>
  <c r="E380" i="1"/>
  <c r="D381" i="1"/>
  <c r="E381" i="1"/>
  <c r="D382" i="1"/>
  <c r="E382" i="1"/>
  <c r="D383" i="1"/>
  <c r="E383" i="1"/>
  <c r="W383" i="1" s="1"/>
  <c r="D384" i="1"/>
  <c r="E384" i="1"/>
  <c r="W384" i="1" s="1"/>
  <c r="D385" i="1"/>
  <c r="E385" i="1"/>
  <c r="D386" i="1"/>
  <c r="E386" i="1"/>
  <c r="W386" i="1" s="1"/>
  <c r="D387" i="1"/>
  <c r="E387" i="1"/>
  <c r="D388" i="1"/>
  <c r="E388" i="1"/>
  <c r="D389" i="1"/>
  <c r="E389" i="1"/>
  <c r="D390" i="1"/>
  <c r="E390" i="1"/>
  <c r="D391" i="1"/>
  <c r="E391" i="1"/>
  <c r="W391" i="1" s="1"/>
  <c r="D392" i="1"/>
  <c r="E392" i="1"/>
  <c r="W392" i="1" s="1"/>
  <c r="D393" i="1"/>
  <c r="E393" i="1"/>
  <c r="D394" i="1"/>
  <c r="E394" i="1"/>
  <c r="W394" i="1" s="1"/>
  <c r="D395" i="1"/>
  <c r="E395" i="1"/>
  <c r="D396" i="1"/>
  <c r="E396" i="1"/>
  <c r="D397" i="1"/>
  <c r="E397" i="1"/>
  <c r="D398" i="1"/>
  <c r="E398" i="1"/>
  <c r="D399" i="1"/>
  <c r="E399" i="1"/>
  <c r="D400" i="1"/>
  <c r="E400" i="1"/>
  <c r="D401" i="1"/>
  <c r="E401" i="1"/>
  <c r="W401" i="1" s="1"/>
  <c r="D402" i="1"/>
  <c r="E402" i="1"/>
  <c r="W402" i="1" s="1"/>
  <c r="D403" i="1"/>
  <c r="E403" i="1"/>
  <c r="W403" i="1" s="1"/>
  <c r="D404" i="1"/>
  <c r="E404" i="1"/>
  <c r="W404" i="1" s="1"/>
  <c r="D405" i="1"/>
  <c r="E405" i="1"/>
  <c r="D406" i="1"/>
  <c r="E406" i="1"/>
  <c r="D407" i="1"/>
  <c r="E407" i="1"/>
  <c r="D408" i="1"/>
  <c r="E408" i="1"/>
  <c r="D409" i="1"/>
  <c r="E409" i="1"/>
  <c r="W409" i="1" s="1"/>
  <c r="D410" i="1"/>
  <c r="E410" i="1"/>
  <c r="W410" i="1" s="1"/>
  <c r="D411" i="1"/>
  <c r="E411" i="1"/>
  <c r="W411" i="1" s="1"/>
  <c r="D412" i="1"/>
  <c r="E412" i="1"/>
  <c r="W412" i="1" s="1"/>
  <c r="D413" i="1"/>
  <c r="E413" i="1"/>
  <c r="D414" i="1"/>
  <c r="E414" i="1"/>
  <c r="D415" i="1"/>
  <c r="E415" i="1"/>
  <c r="D416" i="1"/>
  <c r="E416" i="1"/>
  <c r="D417" i="1"/>
  <c r="E417" i="1"/>
  <c r="W417" i="1" s="1"/>
  <c r="D418" i="1"/>
  <c r="E418" i="1"/>
  <c r="W418" i="1" s="1"/>
  <c r="D419" i="1"/>
  <c r="E419" i="1"/>
  <c r="W419" i="1" s="1"/>
  <c r="D420" i="1"/>
  <c r="E420" i="1"/>
  <c r="W420" i="1" s="1"/>
  <c r="D421" i="1"/>
  <c r="E421" i="1"/>
  <c r="D422" i="1"/>
  <c r="E422" i="1"/>
  <c r="D423" i="1"/>
  <c r="E423" i="1"/>
  <c r="D424" i="1"/>
  <c r="E424" i="1"/>
  <c r="D425" i="1"/>
  <c r="E425" i="1"/>
  <c r="W425" i="1" s="1"/>
  <c r="D426" i="1"/>
  <c r="E426" i="1"/>
  <c r="W426" i="1" s="1"/>
  <c r="D427" i="1"/>
  <c r="E427" i="1"/>
  <c r="W427" i="1" s="1"/>
  <c r="D428" i="1"/>
  <c r="E428" i="1"/>
  <c r="W428" i="1" s="1"/>
  <c r="D429" i="1"/>
  <c r="E429" i="1"/>
  <c r="D430" i="1"/>
  <c r="E430" i="1"/>
  <c r="D431" i="1"/>
  <c r="E431" i="1"/>
  <c r="D432" i="1"/>
  <c r="E432" i="1"/>
  <c r="D433" i="1"/>
  <c r="E433" i="1"/>
  <c r="W433" i="1" s="1"/>
  <c r="D434" i="1"/>
  <c r="E434" i="1"/>
  <c r="W434" i="1" s="1"/>
  <c r="D435" i="1"/>
  <c r="E435" i="1"/>
  <c r="W435" i="1" s="1"/>
  <c r="D436" i="1"/>
  <c r="E436" i="1"/>
  <c r="W436" i="1" s="1"/>
  <c r="D437" i="1"/>
  <c r="E437" i="1"/>
  <c r="D438" i="1"/>
  <c r="E438" i="1"/>
  <c r="D439" i="1"/>
  <c r="E439" i="1"/>
  <c r="D440" i="1"/>
  <c r="E440" i="1"/>
  <c r="D441" i="1"/>
  <c r="E441" i="1"/>
  <c r="W441" i="1" s="1"/>
  <c r="D442" i="1"/>
  <c r="E442" i="1"/>
  <c r="W442" i="1" s="1"/>
  <c r="D443" i="1"/>
  <c r="E443" i="1"/>
  <c r="W443" i="1" s="1"/>
  <c r="D444" i="1"/>
  <c r="E444" i="1"/>
  <c r="W444" i="1" s="1"/>
  <c r="D445" i="1"/>
  <c r="E445" i="1"/>
  <c r="D446" i="1"/>
  <c r="E446" i="1"/>
  <c r="D447" i="1"/>
  <c r="E447" i="1"/>
  <c r="D448" i="1"/>
  <c r="E448" i="1"/>
  <c r="D449" i="1"/>
  <c r="E449" i="1"/>
  <c r="W449" i="1" s="1"/>
  <c r="D450" i="1"/>
  <c r="E450" i="1"/>
  <c r="W450" i="1" s="1"/>
  <c r="D451" i="1"/>
  <c r="E451" i="1"/>
  <c r="W451" i="1" s="1"/>
  <c r="D452" i="1"/>
  <c r="E452" i="1"/>
  <c r="W452" i="1" s="1"/>
  <c r="D453" i="1"/>
  <c r="E453" i="1"/>
  <c r="D454" i="1"/>
  <c r="E454" i="1"/>
  <c r="D455" i="1"/>
  <c r="E455" i="1"/>
  <c r="D456" i="1"/>
  <c r="E456" i="1"/>
  <c r="D457" i="1"/>
  <c r="E457" i="1"/>
  <c r="D458" i="1"/>
  <c r="E458" i="1"/>
  <c r="D459" i="1"/>
  <c r="E459" i="1"/>
  <c r="D460" i="1"/>
  <c r="E460" i="1"/>
  <c r="D461" i="1"/>
  <c r="E461" i="1"/>
  <c r="D462" i="1"/>
  <c r="E462" i="1"/>
  <c r="D463" i="1"/>
  <c r="E463" i="1"/>
  <c r="D464" i="1"/>
  <c r="E464" i="1"/>
  <c r="D465" i="1"/>
  <c r="E465" i="1"/>
  <c r="D466" i="1"/>
  <c r="E466" i="1"/>
  <c r="D467" i="1"/>
  <c r="E467" i="1"/>
  <c r="D468" i="1"/>
  <c r="E468" i="1"/>
  <c r="D469" i="1"/>
  <c r="E469" i="1"/>
  <c r="D470" i="1"/>
  <c r="E470" i="1"/>
  <c r="D471" i="1"/>
  <c r="E471" i="1"/>
  <c r="D472" i="1"/>
  <c r="E472" i="1"/>
  <c r="D473" i="1"/>
  <c r="E473" i="1"/>
  <c r="D474" i="1"/>
  <c r="E474" i="1"/>
  <c r="D475" i="1"/>
  <c r="E475" i="1"/>
  <c r="D476" i="1"/>
  <c r="E476" i="1"/>
  <c r="D477" i="1"/>
  <c r="E477" i="1"/>
  <c r="D478" i="1"/>
  <c r="E478" i="1"/>
  <c r="D479" i="1"/>
  <c r="E479" i="1"/>
  <c r="D480" i="1"/>
  <c r="E480" i="1"/>
  <c r="D481" i="1"/>
  <c r="E481" i="1"/>
  <c r="D482" i="1"/>
  <c r="E482" i="1"/>
  <c r="D483" i="1"/>
  <c r="E483" i="1"/>
  <c r="D484" i="1"/>
  <c r="E484" i="1"/>
  <c r="D485" i="1"/>
  <c r="E485" i="1"/>
  <c r="D486" i="1"/>
  <c r="E486" i="1"/>
  <c r="D487" i="1"/>
  <c r="E487" i="1"/>
  <c r="D488" i="1"/>
  <c r="E488" i="1"/>
  <c r="D489" i="1"/>
  <c r="E489" i="1"/>
  <c r="D490" i="1"/>
  <c r="E490" i="1"/>
  <c r="D491" i="1"/>
  <c r="E491" i="1"/>
  <c r="D492" i="1"/>
  <c r="E492" i="1"/>
  <c r="D493" i="1"/>
  <c r="E493" i="1"/>
  <c r="D494" i="1"/>
  <c r="E494" i="1"/>
  <c r="D495" i="1"/>
  <c r="E495" i="1"/>
  <c r="D496" i="1"/>
  <c r="E496" i="1"/>
  <c r="D497" i="1"/>
  <c r="E497" i="1"/>
  <c r="D498" i="1"/>
  <c r="E498" i="1"/>
  <c r="D499" i="1"/>
  <c r="E499" i="1"/>
  <c r="D500" i="1"/>
  <c r="E500" i="1"/>
  <c r="D501" i="1"/>
  <c r="E501" i="1"/>
  <c r="D502" i="1"/>
  <c r="E502" i="1"/>
  <c r="D503" i="1"/>
  <c r="E503" i="1"/>
  <c r="D504" i="1"/>
  <c r="E504" i="1"/>
  <c r="D505" i="1"/>
  <c r="E505" i="1"/>
  <c r="D506" i="1"/>
  <c r="E506" i="1"/>
  <c r="D507" i="1"/>
  <c r="E507" i="1"/>
  <c r="D508" i="1"/>
  <c r="E508" i="1"/>
  <c r="D509" i="1"/>
  <c r="E509" i="1"/>
  <c r="D510" i="1"/>
  <c r="E510" i="1"/>
  <c r="D511" i="1"/>
  <c r="E511" i="1"/>
  <c r="D512" i="1"/>
  <c r="E512" i="1"/>
  <c r="D513" i="1"/>
  <c r="E513" i="1"/>
  <c r="D514" i="1"/>
  <c r="E514" i="1"/>
  <c r="D515" i="1"/>
  <c r="E515" i="1"/>
  <c r="D516" i="1"/>
  <c r="E516" i="1"/>
  <c r="D517" i="1"/>
  <c r="E517" i="1"/>
  <c r="D518" i="1"/>
  <c r="E518" i="1"/>
  <c r="D519" i="1"/>
  <c r="E519" i="1"/>
  <c r="D520" i="1"/>
  <c r="E520" i="1"/>
  <c r="D521" i="1"/>
  <c r="E521" i="1"/>
  <c r="D522" i="1"/>
  <c r="E522" i="1"/>
  <c r="D523" i="1"/>
  <c r="E523" i="1"/>
  <c r="D524" i="1"/>
  <c r="E524" i="1"/>
  <c r="D525" i="1"/>
  <c r="E525" i="1"/>
  <c r="D526" i="1"/>
  <c r="E526" i="1"/>
  <c r="D527" i="1"/>
  <c r="E527" i="1"/>
  <c r="D528" i="1"/>
  <c r="E528" i="1"/>
  <c r="D529" i="1"/>
  <c r="E529" i="1"/>
  <c r="D530" i="1"/>
  <c r="E530" i="1"/>
  <c r="D531" i="1"/>
  <c r="E531" i="1"/>
  <c r="D532" i="1"/>
  <c r="E532" i="1"/>
  <c r="D533" i="1"/>
  <c r="E533" i="1"/>
  <c r="D534" i="1"/>
  <c r="E534" i="1"/>
  <c r="D535" i="1"/>
  <c r="E535" i="1"/>
  <c r="D536" i="1"/>
  <c r="E536" i="1"/>
  <c r="D537" i="1"/>
  <c r="E537" i="1"/>
  <c r="D538" i="1"/>
  <c r="E538" i="1"/>
  <c r="D539" i="1"/>
  <c r="E539" i="1"/>
  <c r="D540" i="1"/>
  <c r="E540" i="1"/>
  <c r="D541" i="1"/>
  <c r="E541" i="1"/>
  <c r="D542" i="1"/>
  <c r="E542" i="1"/>
  <c r="D543" i="1"/>
  <c r="E543" i="1"/>
  <c r="D544" i="1"/>
  <c r="E544" i="1"/>
  <c r="D545" i="1"/>
  <c r="E545" i="1"/>
  <c r="D546" i="1"/>
  <c r="E546" i="1"/>
  <c r="D547" i="1"/>
  <c r="E547" i="1"/>
  <c r="D548" i="1"/>
  <c r="E548" i="1"/>
  <c r="D549" i="1"/>
  <c r="E549" i="1"/>
  <c r="D550" i="1"/>
  <c r="E550" i="1"/>
  <c r="D558" i="1"/>
  <c r="E558" i="1"/>
  <c r="D559" i="1"/>
  <c r="E559" i="1"/>
  <c r="D560" i="1"/>
  <c r="E560" i="1"/>
  <c r="D561" i="1"/>
  <c r="E561" i="1"/>
  <c r="D562" i="1"/>
  <c r="E562" i="1"/>
  <c r="D563" i="1"/>
  <c r="E563" i="1"/>
  <c r="D564" i="1"/>
  <c r="E564" i="1"/>
  <c r="D565" i="1"/>
  <c r="E565" i="1"/>
  <c r="D566" i="1"/>
  <c r="E566" i="1"/>
  <c r="D567" i="1"/>
  <c r="E567" i="1"/>
  <c r="D568" i="1"/>
  <c r="E568" i="1"/>
  <c r="D569" i="1"/>
  <c r="E569" i="1"/>
  <c r="D570" i="1"/>
  <c r="E570" i="1"/>
  <c r="D571" i="1"/>
  <c r="E571" i="1"/>
  <c r="D572" i="1"/>
  <c r="E572" i="1"/>
  <c r="D573" i="1"/>
  <c r="E573" i="1"/>
  <c r="D574" i="1"/>
  <c r="E574" i="1"/>
  <c r="D575" i="1"/>
  <c r="E575" i="1"/>
  <c r="D576" i="1"/>
  <c r="E576" i="1"/>
  <c r="D577" i="1"/>
  <c r="E577" i="1"/>
  <c r="D578" i="1"/>
  <c r="E578" i="1"/>
  <c r="D579" i="1"/>
  <c r="E579" i="1"/>
  <c r="D580" i="1"/>
  <c r="E580" i="1"/>
  <c r="D581" i="1"/>
  <c r="E581" i="1"/>
  <c r="D582" i="1"/>
  <c r="E582" i="1"/>
  <c r="W582" i="1" s="1"/>
  <c r="D583" i="1"/>
  <c r="E583" i="1"/>
  <c r="W583" i="1" s="1"/>
  <c r="D584" i="1"/>
  <c r="E584" i="1"/>
  <c r="W584" i="1" s="1"/>
  <c r="D585" i="1"/>
  <c r="E585" i="1"/>
  <c r="W585" i="1" s="1"/>
  <c r="D586" i="1"/>
  <c r="E586" i="1"/>
  <c r="W586" i="1" s="1"/>
  <c r="D587" i="1"/>
  <c r="E587" i="1"/>
  <c r="W587" i="1" s="1"/>
  <c r="D588" i="1"/>
  <c r="E588" i="1"/>
  <c r="W588" i="1" s="1"/>
  <c r="D589" i="1"/>
  <c r="E589" i="1"/>
  <c r="W589" i="1" s="1"/>
  <c r="D590" i="1"/>
  <c r="E590" i="1"/>
  <c r="W590" i="1" s="1"/>
  <c r="D591" i="1"/>
  <c r="E591" i="1"/>
  <c r="W591" i="1" s="1"/>
  <c r="D592" i="1"/>
  <c r="E592" i="1"/>
  <c r="W592" i="1" s="1"/>
  <c r="D593" i="1"/>
  <c r="E593" i="1"/>
  <c r="W593" i="1" s="1"/>
  <c r="D594" i="1"/>
  <c r="E594" i="1"/>
  <c r="W594" i="1" s="1"/>
  <c r="D595" i="1"/>
  <c r="E595" i="1"/>
  <c r="W595" i="1" s="1"/>
  <c r="D596" i="1"/>
  <c r="E596" i="1"/>
  <c r="W596" i="1" s="1"/>
  <c r="D597" i="1"/>
  <c r="E597" i="1"/>
  <c r="W597" i="1" s="1"/>
  <c r="D598" i="1"/>
  <c r="E598" i="1"/>
  <c r="W598" i="1" s="1"/>
  <c r="D599" i="1"/>
  <c r="E599" i="1"/>
  <c r="W599" i="1" s="1"/>
  <c r="D600" i="1"/>
  <c r="E600" i="1"/>
  <c r="W600" i="1" s="1"/>
  <c r="D601" i="1"/>
  <c r="E601" i="1"/>
  <c r="W601" i="1" s="1"/>
  <c r="D602" i="1"/>
  <c r="E602" i="1"/>
  <c r="W602" i="1" s="1"/>
  <c r="D603" i="1"/>
  <c r="E603" i="1"/>
  <c r="W603" i="1" s="1"/>
  <c r="D604" i="1"/>
  <c r="E604" i="1"/>
  <c r="W604" i="1" s="1"/>
  <c r="D605" i="1"/>
  <c r="E605" i="1"/>
  <c r="W605" i="1" s="1"/>
  <c r="D606" i="1"/>
  <c r="E606" i="1"/>
  <c r="W606" i="1" s="1"/>
  <c r="D607" i="1"/>
  <c r="E607" i="1"/>
  <c r="W607" i="1" s="1"/>
  <c r="D608" i="1"/>
  <c r="E608" i="1"/>
  <c r="W608" i="1" s="1"/>
  <c r="D609" i="1"/>
  <c r="E609" i="1"/>
  <c r="W609" i="1" s="1"/>
  <c r="D610" i="1"/>
  <c r="E610" i="1"/>
  <c r="W610" i="1" s="1"/>
  <c r="D611" i="1"/>
  <c r="E611" i="1"/>
  <c r="W611" i="1" s="1"/>
  <c r="D612" i="1"/>
  <c r="E612" i="1"/>
  <c r="W612" i="1" s="1"/>
  <c r="D613" i="1"/>
  <c r="E613" i="1"/>
  <c r="W613" i="1" s="1"/>
  <c r="D614" i="1"/>
  <c r="E614" i="1"/>
  <c r="W614" i="1" s="1"/>
  <c r="D615" i="1"/>
  <c r="E615" i="1"/>
  <c r="W615" i="1" s="1"/>
  <c r="D616" i="1"/>
  <c r="E616" i="1"/>
  <c r="W616" i="1" s="1"/>
  <c r="D617" i="1"/>
  <c r="E617" i="1"/>
  <c r="W617" i="1" s="1"/>
  <c r="D618" i="1"/>
  <c r="E618" i="1"/>
  <c r="W618" i="1" s="1"/>
  <c r="D619" i="1"/>
  <c r="E619" i="1"/>
  <c r="W619" i="1" s="1"/>
  <c r="D620" i="1"/>
  <c r="E620" i="1"/>
  <c r="W620" i="1" s="1"/>
  <c r="D621" i="1"/>
  <c r="E621" i="1"/>
  <c r="W621" i="1" s="1"/>
  <c r="D622" i="1"/>
  <c r="E622" i="1"/>
  <c r="W622" i="1" s="1"/>
  <c r="D623" i="1"/>
  <c r="E623" i="1"/>
  <c r="W623" i="1" s="1"/>
  <c r="D624" i="1"/>
  <c r="E624" i="1"/>
  <c r="W624" i="1" s="1"/>
  <c r="D625" i="1"/>
  <c r="E625" i="1"/>
  <c r="W625" i="1" s="1"/>
  <c r="D626" i="1"/>
  <c r="E626" i="1"/>
  <c r="W626" i="1" s="1"/>
  <c r="D627" i="1"/>
  <c r="E627" i="1"/>
  <c r="W627" i="1" s="1"/>
  <c r="D628" i="1"/>
  <c r="E628" i="1"/>
  <c r="W628" i="1" s="1"/>
  <c r="D629" i="1"/>
  <c r="E629" i="1"/>
  <c r="W629" i="1" s="1"/>
  <c r="D630" i="1"/>
  <c r="E630" i="1"/>
  <c r="W630" i="1" s="1"/>
  <c r="D631" i="1"/>
  <c r="E631" i="1"/>
  <c r="W631" i="1" s="1"/>
  <c r="D632" i="1"/>
  <c r="E632" i="1"/>
  <c r="W632" i="1" s="1"/>
  <c r="D633" i="1"/>
  <c r="E633" i="1"/>
  <c r="W633" i="1" s="1"/>
  <c r="D634" i="1"/>
  <c r="E634" i="1"/>
  <c r="W634" i="1" s="1"/>
  <c r="D635" i="1"/>
  <c r="E635" i="1"/>
  <c r="W635" i="1" s="1"/>
  <c r="D636" i="1"/>
  <c r="E636" i="1"/>
  <c r="W636" i="1" s="1"/>
  <c r="D637" i="1"/>
  <c r="E637" i="1"/>
  <c r="W637" i="1" s="1"/>
  <c r="D638" i="1"/>
  <c r="E638" i="1"/>
  <c r="W638" i="1" s="1"/>
  <c r="D639" i="1"/>
  <c r="E639" i="1"/>
  <c r="W639" i="1" s="1"/>
  <c r="D640" i="1"/>
  <c r="E640" i="1"/>
  <c r="W640" i="1" s="1"/>
  <c r="D641" i="1"/>
  <c r="E641" i="1"/>
  <c r="W641" i="1" s="1"/>
  <c r="D642" i="1"/>
  <c r="E642" i="1"/>
  <c r="W642" i="1" s="1"/>
  <c r="D643" i="1"/>
  <c r="E643" i="1"/>
  <c r="W643" i="1" s="1"/>
  <c r="D644" i="1"/>
  <c r="E644" i="1"/>
  <c r="W644" i="1" s="1"/>
  <c r="D645" i="1"/>
  <c r="E645" i="1"/>
  <c r="W645" i="1" s="1"/>
  <c r="D646" i="1"/>
  <c r="E646" i="1"/>
  <c r="W646" i="1" s="1"/>
  <c r="D647" i="1"/>
  <c r="E647" i="1"/>
  <c r="W647" i="1" s="1"/>
  <c r="D648" i="1"/>
  <c r="E648" i="1"/>
  <c r="W648" i="1" s="1"/>
  <c r="D649" i="1"/>
  <c r="E649" i="1"/>
  <c r="W649" i="1" s="1"/>
  <c r="D650" i="1"/>
  <c r="E650" i="1"/>
  <c r="W650" i="1" s="1"/>
  <c r="D651" i="1"/>
  <c r="E651" i="1"/>
  <c r="W651" i="1" s="1"/>
  <c r="D652" i="1"/>
  <c r="E652" i="1"/>
  <c r="W652" i="1" s="1"/>
  <c r="D653" i="1"/>
  <c r="E653" i="1"/>
  <c r="W653" i="1" s="1"/>
  <c r="D654" i="1"/>
  <c r="E654" i="1"/>
  <c r="W654" i="1" s="1"/>
  <c r="D655" i="1"/>
  <c r="E655" i="1"/>
  <c r="W655" i="1" s="1"/>
  <c r="D656" i="1"/>
  <c r="E656" i="1"/>
  <c r="W656" i="1" s="1"/>
  <c r="D657" i="1"/>
  <c r="E657" i="1"/>
  <c r="W657" i="1" s="1"/>
  <c r="D658" i="1"/>
  <c r="E658" i="1"/>
  <c r="W658" i="1" s="1"/>
  <c r="D659" i="1"/>
  <c r="E659" i="1"/>
  <c r="W659" i="1" s="1"/>
  <c r="D660" i="1"/>
  <c r="E660" i="1"/>
  <c r="W660" i="1" s="1"/>
  <c r="D661" i="1"/>
  <c r="E661" i="1"/>
  <c r="W661" i="1" s="1"/>
  <c r="D662" i="1"/>
  <c r="E662" i="1"/>
  <c r="W662" i="1" s="1"/>
  <c r="D663" i="1"/>
  <c r="E663" i="1"/>
  <c r="W663" i="1" s="1"/>
  <c r="D664" i="1"/>
  <c r="E664" i="1"/>
  <c r="W664" i="1" s="1"/>
  <c r="D665" i="1"/>
  <c r="E665" i="1"/>
  <c r="W665" i="1" s="1"/>
  <c r="D666" i="1"/>
  <c r="E666" i="1"/>
  <c r="W666" i="1" s="1"/>
  <c r="D667" i="1"/>
  <c r="E667" i="1"/>
  <c r="W667" i="1" s="1"/>
  <c r="D668" i="1"/>
  <c r="E668" i="1"/>
  <c r="W668" i="1" s="1"/>
  <c r="D669" i="1"/>
  <c r="E669" i="1"/>
  <c r="W669" i="1" s="1"/>
  <c r="D670" i="1"/>
  <c r="E670" i="1"/>
  <c r="W670" i="1" s="1"/>
  <c r="D671" i="1"/>
  <c r="E671" i="1"/>
  <c r="W671" i="1" s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W220" i="1" s="1"/>
  <c r="D221" i="1"/>
  <c r="E221" i="1"/>
  <c r="W221" i="1" s="1"/>
  <c r="D222" i="1"/>
  <c r="E222" i="1"/>
  <c r="D223" i="1"/>
  <c r="E223" i="1"/>
  <c r="D224" i="1"/>
  <c r="E224" i="1"/>
  <c r="D225" i="1"/>
  <c r="E225" i="1"/>
  <c r="W225" i="1" s="1"/>
  <c r="D226" i="1"/>
  <c r="E226" i="1"/>
  <c r="W226" i="1" s="1"/>
  <c r="D227" i="1"/>
  <c r="E227" i="1"/>
  <c r="W227" i="1" s="1"/>
  <c r="D228" i="1"/>
  <c r="E228" i="1"/>
  <c r="W228" i="1" s="1"/>
  <c r="D229" i="1"/>
  <c r="E229" i="1"/>
  <c r="W229" i="1" s="1"/>
  <c r="D230" i="1"/>
  <c r="E230" i="1"/>
  <c r="D231" i="1"/>
  <c r="E231" i="1"/>
  <c r="D232" i="1"/>
  <c r="E232" i="1"/>
  <c r="D233" i="1"/>
  <c r="E233" i="1"/>
  <c r="D234" i="1"/>
  <c r="E234" i="1"/>
  <c r="W234" i="1" s="1"/>
  <c r="D235" i="1"/>
  <c r="E235" i="1"/>
  <c r="W235" i="1" s="1"/>
  <c r="D236" i="1"/>
  <c r="E236" i="1"/>
  <c r="W236" i="1" s="1"/>
  <c r="D237" i="1"/>
  <c r="E237" i="1"/>
  <c r="W237" i="1" s="1"/>
  <c r="D238" i="1"/>
  <c r="E238" i="1"/>
  <c r="D239" i="1"/>
  <c r="E239" i="1"/>
  <c r="D240" i="1"/>
  <c r="E240" i="1"/>
  <c r="D241" i="1"/>
  <c r="E241" i="1"/>
  <c r="D242" i="1"/>
  <c r="E242" i="1"/>
  <c r="X2" i="1"/>
  <c r="E3" i="1"/>
  <c r="W3" i="1" s="1"/>
  <c r="E4" i="1"/>
  <c r="E5" i="1"/>
  <c r="E6" i="1"/>
  <c r="E7" i="1"/>
  <c r="E8" i="1"/>
  <c r="E9" i="1"/>
  <c r="W9" i="1" s="1"/>
  <c r="E10" i="1"/>
  <c r="W10" i="1" s="1"/>
  <c r="E11" i="1"/>
  <c r="W11" i="1" s="1"/>
  <c r="E12" i="1"/>
  <c r="W12" i="1" s="1"/>
  <c r="E13" i="1"/>
  <c r="E14" i="1"/>
  <c r="E15" i="1"/>
  <c r="E16" i="1"/>
  <c r="E17" i="1"/>
  <c r="W17" i="1" s="1"/>
  <c r="E18" i="1"/>
  <c r="W18" i="1" s="1"/>
  <c r="E19" i="1"/>
  <c r="W19" i="1" s="1"/>
  <c r="E20" i="1"/>
  <c r="W20" i="1" s="1"/>
  <c r="E21" i="1"/>
  <c r="E22" i="1"/>
  <c r="E23" i="1"/>
  <c r="E24" i="1"/>
  <c r="E25" i="1"/>
  <c r="W25" i="1" s="1"/>
  <c r="E26" i="1"/>
  <c r="W26" i="1" s="1"/>
  <c r="E27" i="1"/>
  <c r="W27" i="1" s="1"/>
  <c r="E28" i="1"/>
  <c r="W28" i="1" s="1"/>
  <c r="E29" i="1"/>
  <c r="E30" i="1"/>
  <c r="E31" i="1"/>
  <c r="E32" i="1"/>
  <c r="E33" i="1"/>
  <c r="W33" i="1" s="1"/>
  <c r="E34" i="1"/>
  <c r="W34" i="1" s="1"/>
  <c r="E35" i="1"/>
  <c r="W35" i="1" s="1"/>
  <c r="E36" i="1"/>
  <c r="W36" i="1" s="1"/>
  <c r="E37" i="1"/>
  <c r="E38" i="1"/>
  <c r="E39" i="1"/>
  <c r="E40" i="1"/>
  <c r="E41" i="1"/>
  <c r="W41" i="1" s="1"/>
  <c r="E42" i="1"/>
  <c r="W42" i="1" s="1"/>
  <c r="E43" i="1"/>
  <c r="W43" i="1" s="1"/>
  <c r="E44" i="1"/>
  <c r="W44" i="1" s="1"/>
  <c r="E45" i="1"/>
  <c r="E46" i="1"/>
  <c r="E47" i="1"/>
  <c r="E48" i="1"/>
  <c r="E49" i="1"/>
  <c r="W49" i="1" s="1"/>
  <c r="E50" i="1"/>
  <c r="W50" i="1" s="1"/>
  <c r="E51" i="1"/>
  <c r="W51" i="1" s="1"/>
  <c r="E52" i="1"/>
  <c r="W52" i="1" s="1"/>
  <c r="E53" i="1"/>
  <c r="E54" i="1"/>
  <c r="E55" i="1"/>
  <c r="E56" i="1"/>
  <c r="E57" i="1"/>
  <c r="W57" i="1" s="1"/>
  <c r="E58" i="1"/>
  <c r="W58" i="1" s="1"/>
  <c r="E59" i="1"/>
  <c r="W59" i="1" s="1"/>
  <c r="E60" i="1"/>
  <c r="W60" i="1" s="1"/>
  <c r="E61" i="1"/>
  <c r="E62" i="1"/>
  <c r="E63" i="1"/>
  <c r="E64" i="1"/>
  <c r="E65" i="1"/>
  <c r="W65" i="1" s="1"/>
  <c r="E66" i="1"/>
  <c r="W66" i="1" s="1"/>
  <c r="E67" i="1"/>
  <c r="W67" i="1" s="1"/>
  <c r="E68" i="1"/>
  <c r="W68" i="1" s="1"/>
  <c r="E69" i="1"/>
  <c r="E70" i="1"/>
  <c r="E71" i="1"/>
  <c r="E72" i="1"/>
  <c r="E73" i="1"/>
  <c r="W73" i="1" s="1"/>
  <c r="E74" i="1"/>
  <c r="W74" i="1" s="1"/>
  <c r="E75" i="1"/>
  <c r="W75" i="1" s="1"/>
  <c r="E76" i="1"/>
  <c r="W76" i="1" s="1"/>
  <c r="E77" i="1"/>
  <c r="E78" i="1"/>
  <c r="E79" i="1"/>
  <c r="E80" i="1"/>
  <c r="E81" i="1"/>
  <c r="W81" i="1" s="1"/>
  <c r="E82" i="1"/>
  <c r="W82" i="1" s="1"/>
  <c r="E83" i="1"/>
  <c r="W83" i="1" s="1"/>
  <c r="E84" i="1"/>
  <c r="W84" i="1" s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" i="1"/>
  <c r="V2" i="1"/>
  <c r="U2" i="1"/>
  <c r="T2" i="1"/>
  <c r="S2" i="1"/>
  <c r="Y2" i="1" s="1"/>
  <c r="W863" i="1" l="1"/>
  <c r="W831" i="1"/>
  <c r="W1153" i="1"/>
  <c r="W1147" i="1"/>
  <c r="W799" i="1"/>
  <c r="W895" i="1"/>
  <c r="Y1153" i="1"/>
  <c r="W4" i="1"/>
  <c r="W1146" i="1"/>
  <c r="W1152" i="1"/>
  <c r="Y1152" i="1"/>
  <c r="W1144" i="1"/>
  <c r="Y1144" i="1"/>
  <c r="Y405" i="1"/>
  <c r="W405" i="1"/>
  <c r="Y366" i="1"/>
  <c r="W366" i="1"/>
  <c r="Y369" i="1"/>
  <c r="W369" i="1"/>
  <c r="W5" i="1"/>
  <c r="Y437" i="1"/>
  <c r="W437" i="1"/>
  <c r="Y423" i="1"/>
  <c r="W423" i="1"/>
  <c r="W329" i="1"/>
  <c r="Y329" i="1"/>
  <c r="W580" i="1"/>
  <c r="Y580" i="1"/>
  <c r="W572" i="1"/>
  <c r="Y572" i="1"/>
  <c r="W564" i="1"/>
  <c r="Y564" i="1"/>
  <c r="W556" i="1"/>
  <c r="Y556" i="1"/>
  <c r="W548" i="1"/>
  <c r="Y548" i="1"/>
  <c r="W540" i="1"/>
  <c r="W532" i="1"/>
  <c r="W524" i="1"/>
  <c r="W516" i="1"/>
  <c r="W508" i="1"/>
  <c r="W500" i="1"/>
  <c r="W492" i="1"/>
  <c r="W484" i="1"/>
  <c r="W476" i="1"/>
  <c r="W468" i="1"/>
  <c r="W460" i="1"/>
  <c r="Y389" i="1"/>
  <c r="W389" i="1"/>
  <c r="W575" i="1"/>
  <c r="Y575" i="1"/>
  <c r="W567" i="1"/>
  <c r="Y567" i="1"/>
  <c r="W559" i="1"/>
  <c r="Y559" i="1"/>
  <c r="W551" i="1"/>
  <c r="Y551" i="1"/>
  <c r="W543" i="1"/>
  <c r="W535" i="1"/>
  <c r="W527" i="1"/>
  <c r="W519" i="1"/>
  <c r="W511" i="1"/>
  <c r="W503" i="1"/>
  <c r="W495" i="1"/>
  <c r="W487" i="1"/>
  <c r="W479" i="1"/>
  <c r="W471" i="1"/>
  <c r="W463" i="1"/>
  <c r="Y455" i="1"/>
  <c r="W455" i="1"/>
  <c r="Y398" i="1"/>
  <c r="W398" i="1"/>
  <c r="W265" i="1"/>
  <c r="Y265" i="1"/>
  <c r="Y357" i="1"/>
  <c r="W357" i="1"/>
  <c r="Y430" i="1"/>
  <c r="W430" i="1"/>
  <c r="W287" i="1"/>
  <c r="Y287" i="1"/>
  <c r="W578" i="1"/>
  <c r="Y578" i="1"/>
  <c r="W570" i="1"/>
  <c r="Y570" i="1"/>
  <c r="W562" i="1"/>
  <c r="Y562" i="1"/>
  <c r="W554" i="1"/>
  <c r="Y554" i="1"/>
  <c r="W546" i="1"/>
  <c r="Y546" i="1"/>
  <c r="W538" i="1"/>
  <c r="W530" i="1"/>
  <c r="W522" i="1"/>
  <c r="W514" i="1"/>
  <c r="W506" i="1"/>
  <c r="W498" i="1"/>
  <c r="W490" i="1"/>
  <c r="W482" i="1"/>
  <c r="W474" i="1"/>
  <c r="W466" i="1"/>
  <c r="W458" i="1"/>
  <c r="Y445" i="1"/>
  <c r="W445" i="1"/>
  <c r="Y438" i="1"/>
  <c r="W438" i="1"/>
  <c r="Y413" i="1"/>
  <c r="W413" i="1"/>
  <c r="Y406" i="1"/>
  <c r="W406" i="1"/>
  <c r="Y381" i="1"/>
  <c r="W381" i="1"/>
  <c r="Y349" i="1"/>
  <c r="W349" i="1"/>
  <c r="W581" i="1"/>
  <c r="Y581" i="1"/>
  <c r="W573" i="1"/>
  <c r="Y573" i="1"/>
  <c r="W565" i="1"/>
  <c r="Y565" i="1"/>
  <c r="W557" i="1"/>
  <c r="Y557" i="1"/>
  <c r="W549" i="1"/>
  <c r="Y549" i="1"/>
  <c r="W541" i="1"/>
  <c r="W533" i="1"/>
  <c r="W525" i="1"/>
  <c r="W517" i="1"/>
  <c r="W509" i="1"/>
  <c r="W501" i="1"/>
  <c r="W493" i="1"/>
  <c r="W485" i="1"/>
  <c r="W477" i="1"/>
  <c r="W469" i="1"/>
  <c r="W461" i="1"/>
  <c r="Y431" i="1"/>
  <c r="W431" i="1"/>
  <c r="Y399" i="1"/>
  <c r="W399" i="1"/>
  <c r="Y393" i="1"/>
  <c r="W393" i="1"/>
  <c r="Y390" i="1"/>
  <c r="W390" i="1"/>
  <c r="Y361" i="1"/>
  <c r="W361" i="1"/>
  <c r="Y358" i="1"/>
  <c r="W358" i="1"/>
  <c r="W335" i="1"/>
  <c r="Y335" i="1"/>
  <c r="W313" i="1"/>
  <c r="Y313" i="1"/>
  <c r="W271" i="1"/>
  <c r="Y271" i="1"/>
  <c r="W249" i="1"/>
  <c r="Y249" i="1"/>
  <c r="W189" i="1"/>
  <c r="Y189" i="1"/>
  <c r="W576" i="1"/>
  <c r="Y576" i="1"/>
  <c r="W568" i="1"/>
  <c r="Y568" i="1"/>
  <c r="W560" i="1"/>
  <c r="Y560" i="1"/>
  <c r="W552" i="1"/>
  <c r="Y552" i="1"/>
  <c r="W544" i="1"/>
  <c r="W536" i="1"/>
  <c r="W528" i="1"/>
  <c r="W520" i="1"/>
  <c r="W512" i="1"/>
  <c r="W504" i="1"/>
  <c r="W496" i="1"/>
  <c r="W488" i="1"/>
  <c r="W480" i="1"/>
  <c r="W472" i="1"/>
  <c r="W464" i="1"/>
  <c r="W456" i="1"/>
  <c r="Y453" i="1"/>
  <c r="W453" i="1"/>
  <c r="Y446" i="1"/>
  <c r="W446" i="1"/>
  <c r="Y421" i="1"/>
  <c r="W421" i="1"/>
  <c r="Y414" i="1"/>
  <c r="W414" i="1"/>
  <c r="Y373" i="1"/>
  <c r="W373" i="1"/>
  <c r="W579" i="1"/>
  <c r="Y579" i="1"/>
  <c r="W571" i="1"/>
  <c r="Y571" i="1"/>
  <c r="W563" i="1"/>
  <c r="Y563" i="1"/>
  <c r="W555" i="1"/>
  <c r="Y555" i="1"/>
  <c r="W547" i="1"/>
  <c r="Y547" i="1"/>
  <c r="W539" i="1"/>
  <c r="W531" i="1"/>
  <c r="W523" i="1"/>
  <c r="W515" i="1"/>
  <c r="W507" i="1"/>
  <c r="W499" i="1"/>
  <c r="W491" i="1"/>
  <c r="W483" i="1"/>
  <c r="W475" i="1"/>
  <c r="W467" i="1"/>
  <c r="W459" i="1"/>
  <c r="Y439" i="1"/>
  <c r="W439" i="1"/>
  <c r="Y407" i="1"/>
  <c r="W407" i="1"/>
  <c r="Y385" i="1"/>
  <c r="W385" i="1"/>
  <c r="Y382" i="1"/>
  <c r="W382" i="1"/>
  <c r="Y353" i="1"/>
  <c r="W353" i="1"/>
  <c r="Y350" i="1"/>
  <c r="W350" i="1"/>
  <c r="W319" i="1"/>
  <c r="Y319" i="1"/>
  <c r="W297" i="1"/>
  <c r="Y297" i="1"/>
  <c r="W255" i="1"/>
  <c r="Y255" i="1"/>
  <c r="W574" i="1"/>
  <c r="Y574" i="1"/>
  <c r="W566" i="1"/>
  <c r="Y566" i="1"/>
  <c r="W558" i="1"/>
  <c r="Y558" i="1"/>
  <c r="W550" i="1"/>
  <c r="Y550" i="1"/>
  <c r="W542" i="1"/>
  <c r="W534" i="1"/>
  <c r="W526" i="1"/>
  <c r="W518" i="1"/>
  <c r="W510" i="1"/>
  <c r="W502" i="1"/>
  <c r="W494" i="1"/>
  <c r="W486" i="1"/>
  <c r="W478" i="1"/>
  <c r="W470" i="1"/>
  <c r="W462" i="1"/>
  <c r="Y454" i="1"/>
  <c r="W454" i="1"/>
  <c r="Y429" i="1"/>
  <c r="W429" i="1"/>
  <c r="Y422" i="1"/>
  <c r="W422" i="1"/>
  <c r="Y397" i="1"/>
  <c r="W397" i="1"/>
  <c r="Y365" i="1"/>
  <c r="W365" i="1"/>
  <c r="W577" i="1"/>
  <c r="Y577" i="1"/>
  <c r="W569" i="1"/>
  <c r="Y569" i="1"/>
  <c r="W561" i="1"/>
  <c r="Y561" i="1"/>
  <c r="W553" i="1"/>
  <c r="Y553" i="1"/>
  <c r="W545" i="1"/>
  <c r="Y545" i="1"/>
  <c r="W537" i="1"/>
  <c r="W529" i="1"/>
  <c r="W521" i="1"/>
  <c r="W513" i="1"/>
  <c r="W505" i="1"/>
  <c r="W497" i="1"/>
  <c r="W489" i="1"/>
  <c r="W481" i="1"/>
  <c r="W473" i="1"/>
  <c r="W465" i="1"/>
  <c r="W457" i="1"/>
  <c r="Y447" i="1"/>
  <c r="W447" i="1"/>
  <c r="Y415" i="1"/>
  <c r="W415" i="1"/>
  <c r="Y377" i="1"/>
  <c r="W377" i="1"/>
  <c r="Y374" i="1"/>
  <c r="W374" i="1"/>
  <c r="Y345" i="1"/>
  <c r="W345" i="1"/>
  <c r="Y342" i="1"/>
  <c r="W342" i="1"/>
  <c r="W303" i="1"/>
  <c r="Y303" i="1"/>
  <c r="W281" i="1"/>
  <c r="Y281" i="1"/>
  <c r="W341" i="1"/>
  <c r="W339" i="1"/>
  <c r="Y339" i="1"/>
  <c r="W333" i="1"/>
  <c r="Y333" i="1"/>
  <c r="W323" i="1"/>
  <c r="Y323" i="1"/>
  <c r="W317" i="1"/>
  <c r="Y317" i="1"/>
  <c r="W307" i="1"/>
  <c r="Y307" i="1"/>
  <c r="W301" i="1"/>
  <c r="Y301" i="1"/>
  <c r="W291" i="1"/>
  <c r="Y291" i="1"/>
  <c r="W285" i="1"/>
  <c r="Y285" i="1"/>
  <c r="W275" i="1"/>
  <c r="Y275" i="1"/>
  <c r="W269" i="1"/>
  <c r="Y269" i="1"/>
  <c r="W259" i="1"/>
  <c r="Y259" i="1"/>
  <c r="W253" i="1"/>
  <c r="Y253" i="1"/>
  <c r="Y231" i="1"/>
  <c r="W231" i="1"/>
  <c r="W209" i="1"/>
  <c r="Y209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W201" i="1"/>
  <c r="Y201" i="1"/>
  <c r="Y396" i="1"/>
  <c r="W396" i="1"/>
  <c r="Y388" i="1"/>
  <c r="W388" i="1"/>
  <c r="Y380" i="1"/>
  <c r="W380" i="1"/>
  <c r="Y372" i="1"/>
  <c r="W372" i="1"/>
  <c r="Y364" i="1"/>
  <c r="W364" i="1"/>
  <c r="Y356" i="1"/>
  <c r="W356" i="1"/>
  <c r="Y348" i="1"/>
  <c r="W348" i="1"/>
  <c r="W337" i="1"/>
  <c r="Y337" i="1"/>
  <c r="W327" i="1"/>
  <c r="Y327" i="1"/>
  <c r="W321" i="1"/>
  <c r="Y321" i="1"/>
  <c r="W311" i="1"/>
  <c r="Y311" i="1"/>
  <c r="W305" i="1"/>
  <c r="Y305" i="1"/>
  <c r="W295" i="1"/>
  <c r="Y295" i="1"/>
  <c r="W289" i="1"/>
  <c r="Y289" i="1"/>
  <c r="W279" i="1"/>
  <c r="Y279" i="1"/>
  <c r="W273" i="1"/>
  <c r="Y273" i="1"/>
  <c r="W263" i="1"/>
  <c r="Y263" i="1"/>
  <c r="W257" i="1"/>
  <c r="Y257" i="1"/>
  <c r="W241" i="1"/>
  <c r="Y241" i="1"/>
  <c r="W151" i="1"/>
  <c r="Y151" i="1"/>
  <c r="W448" i="1"/>
  <c r="W440" i="1"/>
  <c r="W432" i="1"/>
  <c r="W424" i="1"/>
  <c r="W416" i="1"/>
  <c r="W408" i="1"/>
  <c r="W400" i="1"/>
  <c r="W177" i="1"/>
  <c r="Y177" i="1"/>
  <c r="W331" i="1"/>
  <c r="Y331" i="1"/>
  <c r="W325" i="1"/>
  <c r="Y325" i="1"/>
  <c r="W315" i="1"/>
  <c r="Y315" i="1"/>
  <c r="W309" i="1"/>
  <c r="Y309" i="1"/>
  <c r="W299" i="1"/>
  <c r="Y299" i="1"/>
  <c r="W293" i="1"/>
  <c r="Y293" i="1"/>
  <c r="W283" i="1"/>
  <c r="Y283" i="1"/>
  <c r="W277" i="1"/>
  <c r="Y277" i="1"/>
  <c r="W267" i="1"/>
  <c r="Y267" i="1"/>
  <c r="W261" i="1"/>
  <c r="Y261" i="1"/>
  <c r="W245" i="1"/>
  <c r="Y245" i="1"/>
  <c r="W395" i="1"/>
  <c r="W387" i="1"/>
  <c r="W379" i="1"/>
  <c r="W371" i="1"/>
  <c r="W338" i="1"/>
  <c r="Y338" i="1"/>
  <c r="W334" i="1"/>
  <c r="Y334" i="1"/>
  <c r="W330" i="1"/>
  <c r="Y330" i="1"/>
  <c r="W326" i="1"/>
  <c r="Y326" i="1"/>
  <c r="W322" i="1"/>
  <c r="Y322" i="1"/>
  <c r="W318" i="1"/>
  <c r="Y318" i="1"/>
  <c r="W314" i="1"/>
  <c r="Y314" i="1"/>
  <c r="W310" i="1"/>
  <c r="Y310" i="1"/>
  <c r="W306" i="1"/>
  <c r="Y306" i="1"/>
  <c r="W302" i="1"/>
  <c r="Y302" i="1"/>
  <c r="W298" i="1"/>
  <c r="Y298" i="1"/>
  <c r="W294" i="1"/>
  <c r="Y294" i="1"/>
  <c r="W290" i="1"/>
  <c r="Y290" i="1"/>
  <c r="W286" i="1"/>
  <c r="Y286" i="1"/>
  <c r="W282" i="1"/>
  <c r="Y282" i="1"/>
  <c r="W278" i="1"/>
  <c r="Y278" i="1"/>
  <c r="W274" i="1"/>
  <c r="Y274" i="1"/>
  <c r="W270" i="1"/>
  <c r="Y270" i="1"/>
  <c r="W266" i="1"/>
  <c r="Y266" i="1"/>
  <c r="W262" i="1"/>
  <c r="Y262" i="1"/>
  <c r="W258" i="1"/>
  <c r="Y258" i="1"/>
  <c r="W254" i="1"/>
  <c r="Y254" i="1"/>
  <c r="W250" i="1"/>
  <c r="Y250" i="1"/>
  <c r="W246" i="1"/>
  <c r="Y246" i="1"/>
  <c r="W242" i="1"/>
  <c r="Y242" i="1"/>
  <c r="W238" i="1"/>
  <c r="Y238" i="1"/>
  <c r="Y222" i="1"/>
  <c r="W222" i="1"/>
  <c r="W213" i="1"/>
  <c r="Y213" i="1"/>
  <c r="W181" i="1"/>
  <c r="Y181" i="1"/>
  <c r="W47" i="1"/>
  <c r="Y47" i="1"/>
  <c r="W24" i="1"/>
  <c r="Y24" i="1"/>
  <c r="W193" i="1"/>
  <c r="Y193" i="1"/>
  <c r="W69" i="1"/>
  <c r="W251" i="1"/>
  <c r="Y251" i="1"/>
  <c r="W247" i="1"/>
  <c r="Y247" i="1"/>
  <c r="W243" i="1"/>
  <c r="Y243" i="1"/>
  <c r="W239" i="1"/>
  <c r="Y239" i="1"/>
  <c r="W205" i="1"/>
  <c r="Y205" i="1"/>
  <c r="W173" i="1"/>
  <c r="Y173" i="1"/>
  <c r="W128" i="1"/>
  <c r="Y128" i="1"/>
  <c r="W120" i="1"/>
  <c r="Y120" i="1"/>
  <c r="W112" i="1"/>
  <c r="Y112" i="1"/>
  <c r="W104" i="1"/>
  <c r="Y104" i="1"/>
  <c r="W96" i="1"/>
  <c r="Y96" i="1"/>
  <c r="W88" i="1"/>
  <c r="Y88" i="1"/>
  <c r="Y223" i="1"/>
  <c r="W223" i="1"/>
  <c r="W217" i="1"/>
  <c r="Y217" i="1"/>
  <c r="W185" i="1"/>
  <c r="Y185" i="1"/>
  <c r="W166" i="1"/>
  <c r="Y166" i="1"/>
  <c r="W131" i="1"/>
  <c r="Y131" i="1"/>
  <c r="W359" i="1"/>
  <c r="W351" i="1"/>
  <c r="W343" i="1"/>
  <c r="W340" i="1"/>
  <c r="Y340" i="1"/>
  <c r="W336" i="1"/>
  <c r="Y336" i="1"/>
  <c r="W332" i="1"/>
  <c r="Y332" i="1"/>
  <c r="W328" i="1"/>
  <c r="Y328" i="1"/>
  <c r="W324" i="1"/>
  <c r="Y324" i="1"/>
  <c r="W320" i="1"/>
  <c r="Y320" i="1"/>
  <c r="W316" i="1"/>
  <c r="Y316" i="1"/>
  <c r="W312" i="1"/>
  <c r="Y312" i="1"/>
  <c r="W308" i="1"/>
  <c r="Y308" i="1"/>
  <c r="W304" i="1"/>
  <c r="Y304" i="1"/>
  <c r="W300" i="1"/>
  <c r="Y300" i="1"/>
  <c r="W296" i="1"/>
  <c r="Y296" i="1"/>
  <c r="W292" i="1"/>
  <c r="Y292" i="1"/>
  <c r="W288" i="1"/>
  <c r="Y288" i="1"/>
  <c r="W284" i="1"/>
  <c r="Y284" i="1"/>
  <c r="W280" i="1"/>
  <c r="Y280" i="1"/>
  <c r="W276" i="1"/>
  <c r="Y276" i="1"/>
  <c r="W272" i="1"/>
  <c r="Y272" i="1"/>
  <c r="W268" i="1"/>
  <c r="Y268" i="1"/>
  <c r="W264" i="1"/>
  <c r="Y264" i="1"/>
  <c r="W260" i="1"/>
  <c r="Y260" i="1"/>
  <c r="W256" i="1"/>
  <c r="Y256" i="1"/>
  <c r="W252" i="1"/>
  <c r="Y252" i="1"/>
  <c r="W248" i="1"/>
  <c r="Y248" i="1"/>
  <c r="W244" i="1"/>
  <c r="Y244" i="1"/>
  <c r="W240" i="1"/>
  <c r="Y240" i="1"/>
  <c r="Y230" i="1"/>
  <c r="W230" i="1"/>
  <c r="W197" i="1"/>
  <c r="Y197" i="1"/>
  <c r="W218" i="1"/>
  <c r="Y218" i="1"/>
  <c r="W214" i="1"/>
  <c r="Y214" i="1"/>
  <c r="W210" i="1"/>
  <c r="Y210" i="1"/>
  <c r="W206" i="1"/>
  <c r="Y206" i="1"/>
  <c r="W202" i="1"/>
  <c r="Y202" i="1"/>
  <c r="W198" i="1"/>
  <c r="Y198" i="1"/>
  <c r="W194" i="1"/>
  <c r="Y194" i="1"/>
  <c r="W190" i="1"/>
  <c r="Y190" i="1"/>
  <c r="W186" i="1"/>
  <c r="Y186" i="1"/>
  <c r="W182" i="1"/>
  <c r="Y182" i="1"/>
  <c r="W178" i="1"/>
  <c r="Y178" i="1"/>
  <c r="W174" i="1"/>
  <c r="Y174" i="1"/>
  <c r="W143" i="1"/>
  <c r="Y143" i="1"/>
  <c r="W54" i="1"/>
  <c r="Y54" i="1"/>
  <c r="W219" i="1"/>
  <c r="Y219" i="1"/>
  <c r="W215" i="1"/>
  <c r="Y215" i="1"/>
  <c r="W211" i="1"/>
  <c r="Y211" i="1"/>
  <c r="W207" i="1"/>
  <c r="Y207" i="1"/>
  <c r="W203" i="1"/>
  <c r="Y203" i="1"/>
  <c r="W199" i="1"/>
  <c r="Y199" i="1"/>
  <c r="W195" i="1"/>
  <c r="Y195" i="1"/>
  <c r="W191" i="1"/>
  <c r="Y191" i="1"/>
  <c r="W187" i="1"/>
  <c r="Y187" i="1"/>
  <c r="W183" i="1"/>
  <c r="Y183" i="1"/>
  <c r="W179" i="1"/>
  <c r="Y179" i="1"/>
  <c r="W175" i="1"/>
  <c r="Y175" i="1"/>
  <c r="W157" i="1"/>
  <c r="Y157" i="1"/>
  <c r="W135" i="1"/>
  <c r="Y135" i="1"/>
  <c r="W80" i="1"/>
  <c r="Y80" i="1"/>
  <c r="W77" i="1"/>
  <c r="W147" i="1"/>
  <c r="Y147" i="1"/>
  <c r="W16" i="1"/>
  <c r="Y16" i="1"/>
  <c r="W13" i="1"/>
  <c r="W232" i="1"/>
  <c r="W224" i="1"/>
  <c r="W216" i="1"/>
  <c r="Y216" i="1"/>
  <c r="W212" i="1"/>
  <c r="Y212" i="1"/>
  <c r="W208" i="1"/>
  <c r="Y208" i="1"/>
  <c r="W204" i="1"/>
  <c r="Y204" i="1"/>
  <c r="W200" i="1"/>
  <c r="Y200" i="1"/>
  <c r="W196" i="1"/>
  <c r="Y196" i="1"/>
  <c r="W192" i="1"/>
  <c r="Y192" i="1"/>
  <c r="W188" i="1"/>
  <c r="Y188" i="1"/>
  <c r="W184" i="1"/>
  <c r="Y184" i="1"/>
  <c r="W180" i="1"/>
  <c r="Y180" i="1"/>
  <c r="W176" i="1"/>
  <c r="Y176" i="1"/>
  <c r="W165" i="1"/>
  <c r="Y165" i="1"/>
  <c r="W62" i="1"/>
  <c r="Y62" i="1"/>
  <c r="W39" i="1"/>
  <c r="Y39" i="1"/>
  <c r="W233" i="1"/>
  <c r="W158" i="1"/>
  <c r="Y158" i="1"/>
  <c r="W139" i="1"/>
  <c r="Y139" i="1"/>
  <c r="W125" i="1"/>
  <c r="Y125" i="1"/>
  <c r="W117" i="1"/>
  <c r="Y117" i="1"/>
  <c r="W109" i="1"/>
  <c r="Y109" i="1"/>
  <c r="W101" i="1"/>
  <c r="Y101" i="1"/>
  <c r="W93" i="1"/>
  <c r="Y93" i="1"/>
  <c r="W167" i="1"/>
  <c r="W159" i="1"/>
  <c r="W123" i="1"/>
  <c r="Y123" i="1"/>
  <c r="W115" i="1"/>
  <c r="Y115" i="1"/>
  <c r="W107" i="1"/>
  <c r="Y107" i="1"/>
  <c r="W99" i="1"/>
  <c r="Y99" i="1"/>
  <c r="W91" i="1"/>
  <c r="Y91" i="1"/>
  <c r="W85" i="1"/>
  <c r="W70" i="1"/>
  <c r="W55" i="1"/>
  <c r="Y55" i="1"/>
  <c r="W32" i="1"/>
  <c r="Y32" i="1"/>
  <c r="W21" i="1"/>
  <c r="W6" i="1"/>
  <c r="W168" i="1"/>
  <c r="W160" i="1"/>
  <c r="W152" i="1"/>
  <c r="W148" i="1"/>
  <c r="Y148" i="1"/>
  <c r="W144" i="1"/>
  <c r="Y144" i="1"/>
  <c r="W140" i="1"/>
  <c r="Y140" i="1"/>
  <c r="W136" i="1"/>
  <c r="Y136" i="1"/>
  <c r="W132" i="1"/>
  <c r="Y132" i="1"/>
  <c r="W126" i="1"/>
  <c r="Y126" i="1"/>
  <c r="W118" i="1"/>
  <c r="Y118" i="1"/>
  <c r="W110" i="1"/>
  <c r="Y110" i="1"/>
  <c r="W102" i="1"/>
  <c r="Y102" i="1"/>
  <c r="W94" i="1"/>
  <c r="Y94" i="1"/>
  <c r="W78" i="1"/>
  <c r="W63" i="1"/>
  <c r="Y63" i="1"/>
  <c r="W40" i="1"/>
  <c r="Y40" i="1"/>
  <c r="W29" i="1"/>
  <c r="W14" i="1"/>
  <c r="W169" i="1"/>
  <c r="W161" i="1"/>
  <c r="W153" i="1"/>
  <c r="W129" i="1"/>
  <c r="Y129" i="1"/>
  <c r="W121" i="1"/>
  <c r="Y121" i="1"/>
  <c r="W113" i="1"/>
  <c r="Y113" i="1"/>
  <c r="W105" i="1"/>
  <c r="Y105" i="1"/>
  <c r="W97" i="1"/>
  <c r="Y97" i="1"/>
  <c r="W89" i="1"/>
  <c r="Y89" i="1"/>
  <c r="W86" i="1"/>
  <c r="W71" i="1"/>
  <c r="Y71" i="1"/>
  <c r="W48" i="1"/>
  <c r="Y48" i="1"/>
  <c r="W37" i="1"/>
  <c r="W22" i="1"/>
  <c r="W7" i="1"/>
  <c r="Y7" i="1"/>
  <c r="W170" i="1"/>
  <c r="Y167" i="1"/>
  <c r="W162" i="1"/>
  <c r="Y159" i="1"/>
  <c r="W154" i="1"/>
  <c r="W149" i="1"/>
  <c r="Y149" i="1"/>
  <c r="W145" i="1"/>
  <c r="Y145" i="1"/>
  <c r="W141" i="1"/>
  <c r="Y141" i="1"/>
  <c r="W137" i="1"/>
  <c r="Y137" i="1"/>
  <c r="W133" i="1"/>
  <c r="Y133" i="1"/>
  <c r="W124" i="1"/>
  <c r="Y124" i="1"/>
  <c r="W116" i="1"/>
  <c r="Y116" i="1"/>
  <c r="W108" i="1"/>
  <c r="Y108" i="1"/>
  <c r="W100" i="1"/>
  <c r="Y100" i="1"/>
  <c r="W92" i="1"/>
  <c r="Y92" i="1"/>
  <c r="W79" i="1"/>
  <c r="Y79" i="1"/>
  <c r="Y70" i="1"/>
  <c r="W56" i="1"/>
  <c r="Y56" i="1"/>
  <c r="W45" i="1"/>
  <c r="W30" i="1"/>
  <c r="W15" i="1"/>
  <c r="Y15" i="1"/>
  <c r="Y6" i="1"/>
  <c r="W171" i="1"/>
  <c r="Y168" i="1"/>
  <c r="W163" i="1"/>
  <c r="Y160" i="1"/>
  <c r="W155" i="1"/>
  <c r="Y152" i="1"/>
  <c r="W127" i="1"/>
  <c r="Y127" i="1"/>
  <c r="W119" i="1"/>
  <c r="Y119" i="1"/>
  <c r="W111" i="1"/>
  <c r="Y111" i="1"/>
  <c r="W103" i="1"/>
  <c r="Y103" i="1"/>
  <c r="W95" i="1"/>
  <c r="Y95" i="1"/>
  <c r="W87" i="1"/>
  <c r="Y87" i="1"/>
  <c r="Y78" i="1"/>
  <c r="W64" i="1"/>
  <c r="Y64" i="1"/>
  <c r="W53" i="1"/>
  <c r="W38" i="1"/>
  <c r="W23" i="1"/>
  <c r="Y23" i="1"/>
  <c r="Y14" i="1"/>
  <c r="W172" i="1"/>
  <c r="W164" i="1"/>
  <c r="W156" i="1"/>
  <c r="W150" i="1"/>
  <c r="Y150" i="1"/>
  <c r="W146" i="1"/>
  <c r="Y146" i="1"/>
  <c r="W142" i="1"/>
  <c r="Y142" i="1"/>
  <c r="W138" i="1"/>
  <c r="Y138" i="1"/>
  <c r="W134" i="1"/>
  <c r="Y134" i="1"/>
  <c r="W130" i="1"/>
  <c r="Y130" i="1"/>
  <c r="W122" i="1"/>
  <c r="Y122" i="1"/>
  <c r="W114" i="1"/>
  <c r="Y114" i="1"/>
  <c r="W106" i="1"/>
  <c r="Y106" i="1"/>
  <c r="W98" i="1"/>
  <c r="Y98" i="1"/>
  <c r="W90" i="1"/>
  <c r="Y90" i="1"/>
  <c r="Y86" i="1"/>
  <c r="W72" i="1"/>
  <c r="Y72" i="1"/>
  <c r="W61" i="1"/>
  <c r="W46" i="1"/>
  <c r="W31" i="1"/>
  <c r="Y31" i="1"/>
  <c r="Y22" i="1"/>
  <c r="W8" i="1"/>
  <c r="Y8" i="1"/>
  <c r="W2" i="1"/>
</calcChain>
</file>

<file path=xl/sharedStrings.xml><?xml version="1.0" encoding="utf-8"?>
<sst xmlns="http://schemas.openxmlformats.org/spreadsheetml/2006/main" count="9876" uniqueCount="2470">
  <si>
    <t>Listing_ID</t>
  </si>
  <si>
    <t>Source</t>
  </si>
  <si>
    <t>Locality</t>
  </si>
  <si>
    <t>Society_Name</t>
  </si>
  <si>
    <t>Rent</t>
  </si>
  <si>
    <t>BHK</t>
  </si>
  <si>
    <t>Bathroom</t>
  </si>
  <si>
    <t>Carpet_Area_SqFt</t>
  </si>
  <si>
    <t>Furnishing</t>
  </si>
  <si>
    <t>Tenant_Type</t>
  </si>
  <si>
    <t>Property_Type</t>
  </si>
  <si>
    <t>Posted_Date</t>
  </si>
  <si>
    <t>Andheri East</t>
  </si>
  <si>
    <t>Pump House Society</t>
  </si>
  <si>
    <t>Furnished</t>
  </si>
  <si>
    <t>Family Only</t>
  </si>
  <si>
    <t>Apartment</t>
  </si>
  <si>
    <t>99acres</t>
  </si>
  <si>
    <t>Floor</t>
  </si>
  <si>
    <t>Total Floors</t>
  </si>
  <si>
    <t>Rent_Per_SqFt</t>
  </si>
  <si>
    <t>Rent_Annual</t>
  </si>
  <si>
    <t>Property_Age_Category</t>
  </si>
  <si>
    <t>10+ Years</t>
  </si>
  <si>
    <t>Property_Age_Years</t>
  </si>
  <si>
    <t>Rent_Band</t>
  </si>
  <si>
    <t>Area_Band</t>
  </si>
  <si>
    <t>Andheri West</t>
  </si>
  <si>
    <t>Arena Apartment</t>
  </si>
  <si>
    <t>All</t>
  </si>
  <si>
    <t>Charat Singh Colony</t>
  </si>
  <si>
    <t>1-5 Years</t>
  </si>
  <si>
    <t>Lodha Eternis</t>
  </si>
  <si>
    <t>Unfurnished</t>
  </si>
  <si>
    <t>Unknown</t>
  </si>
  <si>
    <t>Runwal Elegante</t>
  </si>
  <si>
    <t>Semi-Furnished</t>
  </si>
  <si>
    <t>L&amp;T</t>
  </si>
  <si>
    <t>Kabra Metro One</t>
  </si>
  <si>
    <t>Broklyn Hill</t>
  </si>
  <si>
    <t>Transcon Triumph</t>
  </si>
  <si>
    <t>Legend Apartment</t>
  </si>
  <si>
    <t>Kalpataru Vivant</t>
  </si>
  <si>
    <t>Mahindra Vivante</t>
  </si>
  <si>
    <t>Savvy Merushikar</t>
  </si>
  <si>
    <t>HDIL Metropolis Residences</t>
  </si>
  <si>
    <t>Gurukrupa Dhyanam</t>
  </si>
  <si>
    <t>0-1 Year</t>
  </si>
  <si>
    <t>Maxima by Oberoi Realty</t>
  </si>
  <si>
    <t>Royal Resort Tower</t>
  </si>
  <si>
    <t>Avant Heritage</t>
  </si>
  <si>
    <t>Poseidon Apartment</t>
  </si>
  <si>
    <t>5-10 Years</t>
  </si>
  <si>
    <t>Sunteck Gilbird CHSL</t>
  </si>
  <si>
    <t>Adani Western Heights</t>
  </si>
  <si>
    <t>Rustomjee Central Park</t>
  </si>
  <si>
    <t>Green Crest Apartment</t>
  </si>
  <si>
    <t>Lodha Amrut Tara</t>
  </si>
  <si>
    <t>Vastu Heights</t>
  </si>
  <si>
    <t>Powai</t>
  </si>
  <si>
    <t>Kanakia Silicon Valley</t>
  </si>
  <si>
    <t>Lodha Bellagio</t>
  </si>
  <si>
    <t>Hiranandani Eldora</t>
  </si>
  <si>
    <t>Hiranandani Atlantis</t>
  </si>
  <si>
    <t>Hiranandani Gardens Valencia</t>
  </si>
  <si>
    <t>Hiranandani Ambrosia</t>
  </si>
  <si>
    <t>Hiranandani Heritage</t>
  </si>
  <si>
    <t>Hiranandani Highland</t>
  </si>
  <si>
    <t>Shapoorji Pallonji Vicinia</t>
  </si>
  <si>
    <t>Cosmopolitan CHS</t>
  </si>
  <si>
    <t>Hiranandani Gardens Glen Classic</t>
  </si>
  <si>
    <t>Adonia Apartments</t>
  </si>
  <si>
    <t>L&amp;T Emerald Isle</t>
  </si>
  <si>
    <t>Lake Lucerne</t>
  </si>
  <si>
    <t>Mira Road</t>
  </si>
  <si>
    <t>MICL Aaradhya Highpark</t>
  </si>
  <si>
    <t>Hill Galaxy</t>
  </si>
  <si>
    <t>Jay Vinay Classic</t>
  </si>
  <si>
    <t>JP North Garden City</t>
  </si>
  <si>
    <t>Harsh Vihar</t>
  </si>
  <si>
    <t>Space Residencyss</t>
  </si>
  <si>
    <t>Unique Poonam Estate Cluster 1</t>
  </si>
  <si>
    <t>JK Iris</t>
  </si>
  <si>
    <t>Lodha Casa</t>
  </si>
  <si>
    <t>Indraprastha Society</t>
  </si>
  <si>
    <t>Lodha Casa Supremo</t>
  </si>
  <si>
    <t>Srishti Namaah</t>
  </si>
  <si>
    <t>Cllaro Urban Grandeur</t>
  </si>
  <si>
    <t>Abhay Sheetal Complex</t>
  </si>
  <si>
    <t>Lodha Aqua</t>
  </si>
  <si>
    <t>Unique Estate</t>
  </si>
  <si>
    <t>Samarth Chs</t>
  </si>
  <si>
    <t>Chamunda Classic</t>
  </si>
  <si>
    <t>Pramanik Walchand Paradise</t>
  </si>
  <si>
    <t>Sonam Indradhanush</t>
  </si>
  <si>
    <t>Space Ashley Tower</t>
  </si>
  <si>
    <t>Unique Heights</t>
  </si>
  <si>
    <t>Kalpataru Srishti</t>
  </si>
  <si>
    <t>Phase 3</t>
  </si>
  <si>
    <t>Nityanand Nagar CHS</t>
  </si>
  <si>
    <t>Harsh Residency</t>
  </si>
  <si>
    <t>Leena Bhairav Residency</t>
  </si>
  <si>
    <t>Bhayander East</t>
  </si>
  <si>
    <t>Bhayander West</t>
  </si>
  <si>
    <t>Kasturi Heights</t>
  </si>
  <si>
    <t>Jesal Complex</t>
  </si>
  <si>
    <t>Ram Jharokha</t>
  </si>
  <si>
    <t>Arihant Heights</t>
  </si>
  <si>
    <t>Ranuja Ramdev Park</t>
  </si>
  <si>
    <t>Bhayander Apartment</t>
  </si>
  <si>
    <t>Ashok nagar</t>
  </si>
  <si>
    <t>Mahavir Apartments</t>
  </si>
  <si>
    <t>Sheetal Kunj CHS</t>
  </si>
  <si>
    <t>Panchsheel Society</t>
  </si>
  <si>
    <t>Anand Enclave</t>
  </si>
  <si>
    <t>Shubham Heights</t>
  </si>
  <si>
    <t>Laxmi Heights</t>
  </si>
  <si>
    <t>Sonam Indraprasth</t>
  </si>
  <si>
    <t>Aims Sea View</t>
  </si>
  <si>
    <t>Tapasya Apartments</t>
  </si>
  <si>
    <t>Sonam Indraprasth,</t>
  </si>
  <si>
    <t>new siddhi plaza</t>
  </si>
  <si>
    <t>Maneebhadra Tower</t>
  </si>
  <si>
    <t>Bhairav Srishti</t>
  </si>
  <si>
    <t>Sonam Heights</t>
  </si>
  <si>
    <t>TEERTHA CHS</t>
  </si>
  <si>
    <t>Naigaon East</t>
  </si>
  <si>
    <t>Naigaon West</t>
  </si>
  <si>
    <t>Sunteck West World,</t>
  </si>
  <si>
    <t>Sunteck West World</t>
  </si>
  <si>
    <t>Kini Complex naigaon</t>
  </si>
  <si>
    <t>Rashmi Star City</t>
  </si>
  <si>
    <t>Sagar Palacia</t>
  </si>
  <si>
    <t>Sunteck max world</t>
  </si>
  <si>
    <t>Shamshad Mariam Park Complex</t>
  </si>
  <si>
    <t>Roshan Park</t>
  </si>
  <si>
    <t>JSB Nakshatra Primus</t>
  </si>
  <si>
    <t>MAAD Balkrishna Sankul</t>
  </si>
  <si>
    <t>Shree Ram Heights</t>
  </si>
  <si>
    <t>Sunteck Maxxworld</t>
  </si>
  <si>
    <t>Navkar Tower</t>
  </si>
  <si>
    <t>Vasai East</t>
  </si>
  <si>
    <t>Vasai West</t>
  </si>
  <si>
    <t>Ornate Heights</t>
  </si>
  <si>
    <t>NG Platinum City</t>
  </si>
  <si>
    <t>Suraksha Smart City</t>
  </si>
  <si>
    <t>mahavir dham</t>
  </si>
  <si>
    <t>JSB Nakshatra Veda</t>
  </si>
  <si>
    <t>Mahavir Residency</t>
  </si>
  <si>
    <t>Classic height</t>
  </si>
  <si>
    <t>jyoti apartment</t>
  </si>
  <si>
    <t>Rajhans Moonstone</t>
  </si>
  <si>
    <t>Dattani village society</t>
  </si>
  <si>
    <t>Sankalp CHS</t>
  </si>
  <si>
    <t>Suncity Apartment</t>
  </si>
  <si>
    <t>Mansarovar Pearl Gardens</t>
  </si>
  <si>
    <t>Manav Blossom</t>
  </si>
  <si>
    <t>Imperial Splendora</t>
  </si>
  <si>
    <t>Anchor Park chs</t>
  </si>
  <si>
    <t>Agarwal Exotica</t>
  </si>
  <si>
    <t>Rashmi garden</t>
  </si>
  <si>
    <t>Evershine City</t>
  </si>
  <si>
    <t>Trinity Square CHS</t>
  </si>
  <si>
    <t>Pragati Rajhans Dreams</t>
  </si>
  <si>
    <t>Ostwal Nagari</t>
  </si>
  <si>
    <t>Shreepal Complex</t>
  </si>
  <si>
    <t>Sai Ganesh Apartment</t>
  </si>
  <si>
    <t>Sai Prashant Apartment</t>
  </si>
  <si>
    <t>Raj Avenue apartment</t>
  </si>
  <si>
    <t>Job_Category</t>
  </si>
  <si>
    <t>Monthly_Income_Median</t>
  </si>
  <si>
    <t>Source_Year</t>
  </si>
  <si>
    <t>IT/Software (Mumbai)</t>
  </si>
  <si>
    <t>SalaryBox Industry Report</t>
  </si>
  <si>
    <t>BFSI (Mumbai)</t>
  </si>
  <si>
    <t>Glassdoor/6figr Mumbai BFSI Salary Data</t>
  </si>
  <si>
    <t>General Mumbai Median</t>
  </si>
  <si>
    <t>SalaryBox 2026 (₹7.8 LPA ÷ 12)</t>
  </si>
  <si>
    <t>National Median</t>
  </si>
  <si>
    <t>SalaryBox 2026 Industry Breakdown</t>
  </si>
  <si>
    <t>Sub_Region</t>
  </si>
  <si>
    <t>Western Line</t>
  </si>
  <si>
    <t>Central Suburbs</t>
  </si>
  <si>
    <t>Nallasopara East</t>
  </si>
  <si>
    <t>Nallasopara West</t>
  </si>
  <si>
    <t>LST-001</t>
  </si>
  <si>
    <t>LST-002</t>
  </si>
  <si>
    <t>LST-003</t>
  </si>
  <si>
    <t>LST-004</t>
  </si>
  <si>
    <t>LST-005</t>
  </si>
  <si>
    <t>LST-006</t>
  </si>
  <si>
    <t>LST-007</t>
  </si>
  <si>
    <t>LST-008</t>
  </si>
  <si>
    <t>LST-009</t>
  </si>
  <si>
    <t>LST-010</t>
  </si>
  <si>
    <t>LST-011</t>
  </si>
  <si>
    <t>LST-012</t>
  </si>
  <si>
    <t>LST-013</t>
  </si>
  <si>
    <t>LST-014</t>
  </si>
  <si>
    <t>LST-015</t>
  </si>
  <si>
    <t>LST-016</t>
  </si>
  <si>
    <t>LST-017</t>
  </si>
  <si>
    <t>LST-018</t>
  </si>
  <si>
    <t>LST-019</t>
  </si>
  <si>
    <t>LST-020</t>
  </si>
  <si>
    <t>LST-021</t>
  </si>
  <si>
    <t>LST-022</t>
  </si>
  <si>
    <t>LST-023</t>
  </si>
  <si>
    <t>LST-024</t>
  </si>
  <si>
    <t>LST-025</t>
  </si>
  <si>
    <t>LST-026</t>
  </si>
  <si>
    <t>LST-027</t>
  </si>
  <si>
    <t>LST-028</t>
  </si>
  <si>
    <t>LST-029</t>
  </si>
  <si>
    <t>LST-030</t>
  </si>
  <si>
    <t>LST-031</t>
  </si>
  <si>
    <t>LST-032</t>
  </si>
  <si>
    <t>LST-033</t>
  </si>
  <si>
    <t>LST-034</t>
  </si>
  <si>
    <t>LST-035</t>
  </si>
  <si>
    <t>LST-036</t>
  </si>
  <si>
    <t>LST-037</t>
  </si>
  <si>
    <t>LST-038</t>
  </si>
  <si>
    <t>LST-039</t>
  </si>
  <si>
    <t>LST-040</t>
  </si>
  <si>
    <t>LST-041</t>
  </si>
  <si>
    <t>LST-042</t>
  </si>
  <si>
    <t>LST-043</t>
  </si>
  <si>
    <t>LST-044</t>
  </si>
  <si>
    <t>LST-045</t>
  </si>
  <si>
    <t>LST-046</t>
  </si>
  <si>
    <t>LST-047</t>
  </si>
  <si>
    <t>LST-048</t>
  </si>
  <si>
    <t>LST-049</t>
  </si>
  <si>
    <t>LST-050</t>
  </si>
  <si>
    <t>LST-051</t>
  </si>
  <si>
    <t>LST-052</t>
  </si>
  <si>
    <t>LST-053</t>
  </si>
  <si>
    <t>LST-054</t>
  </si>
  <si>
    <t>LST-055</t>
  </si>
  <si>
    <t>LST-056</t>
  </si>
  <si>
    <t>LST-057</t>
  </si>
  <si>
    <t>LST-058</t>
  </si>
  <si>
    <t>LST-059</t>
  </si>
  <si>
    <t>LST-060</t>
  </si>
  <si>
    <t>LST-061</t>
  </si>
  <si>
    <t>LST-062</t>
  </si>
  <si>
    <t>LST-063</t>
  </si>
  <si>
    <t>LST-064</t>
  </si>
  <si>
    <t>LST-065</t>
  </si>
  <si>
    <t>LST-066</t>
  </si>
  <si>
    <t>LST-067</t>
  </si>
  <si>
    <t>LST-068</t>
  </si>
  <si>
    <t>LST-069</t>
  </si>
  <si>
    <t>LST-070</t>
  </si>
  <si>
    <t>LST-071</t>
  </si>
  <si>
    <t>LST-072</t>
  </si>
  <si>
    <t>LST-073</t>
  </si>
  <si>
    <t>LST-074</t>
  </si>
  <si>
    <t>LST-075</t>
  </si>
  <si>
    <t>LST-076</t>
  </si>
  <si>
    <t>LST-077</t>
  </si>
  <si>
    <t>LST-078</t>
  </si>
  <si>
    <t>LST-079</t>
  </si>
  <si>
    <t>LST-080</t>
  </si>
  <si>
    <t>LST-081</t>
  </si>
  <si>
    <t>LST-082</t>
  </si>
  <si>
    <t>LST-083</t>
  </si>
  <si>
    <t>LST-084</t>
  </si>
  <si>
    <t>LST-085</t>
  </si>
  <si>
    <t>LST-086</t>
  </si>
  <si>
    <t>LST-087</t>
  </si>
  <si>
    <t>LST-088</t>
  </si>
  <si>
    <t>LST-089</t>
  </si>
  <si>
    <t>LST-090</t>
  </si>
  <si>
    <t>LST-091</t>
  </si>
  <si>
    <t>LST-092</t>
  </si>
  <si>
    <t>LST-093</t>
  </si>
  <si>
    <t>LST-094</t>
  </si>
  <si>
    <t>LST-095</t>
  </si>
  <si>
    <t>LST-096</t>
  </si>
  <si>
    <t>LST-097</t>
  </si>
  <si>
    <t>LST-098</t>
  </si>
  <si>
    <t>LST-099</t>
  </si>
  <si>
    <t>LST-100</t>
  </si>
  <si>
    <t>LST-101</t>
  </si>
  <si>
    <t>LST-102</t>
  </si>
  <si>
    <t>LST-103</t>
  </si>
  <si>
    <t>LST-104</t>
  </si>
  <si>
    <t>LST-105</t>
  </si>
  <si>
    <t>LST-106</t>
  </si>
  <si>
    <t>LST-107</t>
  </si>
  <si>
    <t>LST-108</t>
  </si>
  <si>
    <t>LST-109</t>
  </si>
  <si>
    <t>LST-110</t>
  </si>
  <si>
    <t>LST-111</t>
  </si>
  <si>
    <t>LST-112</t>
  </si>
  <si>
    <t>LST-113</t>
  </si>
  <si>
    <t>LST-114</t>
  </si>
  <si>
    <t>LST-115</t>
  </si>
  <si>
    <t>LST-116</t>
  </si>
  <si>
    <t>LST-117</t>
  </si>
  <si>
    <t>LST-118</t>
  </si>
  <si>
    <t>LST-119</t>
  </si>
  <si>
    <t>LST-120</t>
  </si>
  <si>
    <t>LST-121</t>
  </si>
  <si>
    <t>LST-122</t>
  </si>
  <si>
    <t>LST-123</t>
  </si>
  <si>
    <t>LST-124</t>
  </si>
  <si>
    <t>LST-125</t>
  </si>
  <si>
    <t>LST-126</t>
  </si>
  <si>
    <t>LST-127</t>
  </si>
  <si>
    <t>LST-128</t>
  </si>
  <si>
    <t>LST-129</t>
  </si>
  <si>
    <t>LST-130</t>
  </si>
  <si>
    <t>LST-131</t>
  </si>
  <si>
    <t>LST-132</t>
  </si>
  <si>
    <t>LST-133</t>
  </si>
  <si>
    <t>LST-134</t>
  </si>
  <si>
    <t>LST-135</t>
  </si>
  <si>
    <t>LST-136</t>
  </si>
  <si>
    <t>LST-137</t>
  </si>
  <si>
    <t>LST-138</t>
  </si>
  <si>
    <t>LST-139</t>
  </si>
  <si>
    <t>LST-140</t>
  </si>
  <si>
    <t>LST-141</t>
  </si>
  <si>
    <t>LST-142</t>
  </si>
  <si>
    <t>LST-143</t>
  </si>
  <si>
    <t>LST-144</t>
  </si>
  <si>
    <t>LST-145</t>
  </si>
  <si>
    <t>LST-146</t>
  </si>
  <si>
    <t>LST-147</t>
  </si>
  <si>
    <t>LST-148</t>
  </si>
  <si>
    <t>LST-149</t>
  </si>
  <si>
    <t>LST-150</t>
  </si>
  <si>
    <t>LST-151</t>
  </si>
  <si>
    <t>LST-152</t>
  </si>
  <si>
    <t>LST-153</t>
  </si>
  <si>
    <t>LST-154</t>
  </si>
  <si>
    <t>LST-155</t>
  </si>
  <si>
    <t>LST-156</t>
  </si>
  <si>
    <t>LST-157</t>
  </si>
  <si>
    <t>LST-158</t>
  </si>
  <si>
    <t>LST-159</t>
  </si>
  <si>
    <t>LST-160</t>
  </si>
  <si>
    <t>LST-161</t>
  </si>
  <si>
    <t>LST-162</t>
  </si>
  <si>
    <t>LST-163</t>
  </si>
  <si>
    <t>LST-164</t>
  </si>
  <si>
    <t>LST-165</t>
  </si>
  <si>
    <t>LST-166</t>
  </si>
  <si>
    <t>LST-167</t>
  </si>
  <si>
    <t>LST-168</t>
  </si>
  <si>
    <t>LST-169</t>
  </si>
  <si>
    <t>Aditya Apartment</t>
  </si>
  <si>
    <t>MAAD Nakoda Heights</t>
  </si>
  <si>
    <t>Dew Berry Society</t>
  </si>
  <si>
    <t>DGS Sheetal Deep Complex</t>
  </si>
  <si>
    <t>Tania Stephen Residency</t>
  </si>
  <si>
    <t>Jeevan Prakash Kunj</t>
  </si>
  <si>
    <t>Blueberry Complex</t>
  </si>
  <si>
    <t>Nakoda Heights</t>
  </si>
  <si>
    <t>Poonam Palash</t>
  </si>
  <si>
    <t>Olive Apartment</t>
  </si>
  <si>
    <t>hira bhavan tulinj</t>
  </si>
  <si>
    <t>Sanskruti Rose</t>
  </si>
  <si>
    <t>magicbricks</t>
  </si>
  <si>
    <t>Yashwant Gaurav</t>
  </si>
  <si>
    <t>Virar East</t>
  </si>
  <si>
    <t>Virar West</t>
  </si>
  <si>
    <t>Om Regency Tower</t>
  </si>
  <si>
    <t>Yogini Residency</t>
  </si>
  <si>
    <t>Jivdani Chaya Apartment</t>
  </si>
  <si>
    <t>DGS Sheetal Sona</t>
  </si>
  <si>
    <t>Suram Park</t>
  </si>
  <si>
    <t>Wadhwana Blu Pearl</t>
  </si>
  <si>
    <t>Agarwal Lifestyle</t>
  </si>
  <si>
    <t>Evershine Amavi</t>
  </si>
  <si>
    <t>YK Yashwant Avenue</t>
  </si>
  <si>
    <t>Vinay Unique Gardens</t>
  </si>
  <si>
    <t>Bhoomi Acropolis</t>
  </si>
  <si>
    <t>Ekta Parksville</t>
  </si>
  <si>
    <t>New Home Paradise</t>
  </si>
  <si>
    <t>Trishul Apartments</t>
  </si>
  <si>
    <t>Nityand prasad</t>
  </si>
  <si>
    <t>Maitri Vihar CHS</t>
  </si>
  <si>
    <t>Meru CHS</t>
  </si>
  <si>
    <t>Hill Park</t>
  </si>
  <si>
    <t>Palm Tower</t>
  </si>
  <si>
    <t>Poonam Park View</t>
  </si>
  <si>
    <t>Joyville</t>
  </si>
  <si>
    <t>Agarwal Paramount</t>
  </si>
  <si>
    <t>Swapna Nagar</t>
  </si>
  <si>
    <t>Dahisar East</t>
  </si>
  <si>
    <t>Dahisar West</t>
  </si>
  <si>
    <t>Shiv Bhavani CHS</t>
  </si>
  <si>
    <t>Timber Green Park</t>
  </si>
  <si>
    <t>Saraswati Apartment</t>
  </si>
  <si>
    <t>Shyamdarshan Chs</t>
  </si>
  <si>
    <t>Lodha Casa Essenza</t>
  </si>
  <si>
    <t>Daffodils</t>
  </si>
  <si>
    <t>Raghu Vihar Apartments</t>
  </si>
  <si>
    <t>Magnum Heights</t>
  </si>
  <si>
    <t>Anand Garden</t>
  </si>
  <si>
    <t>Radha Raman CHS</t>
  </si>
  <si>
    <t>15-20 Years</t>
  </si>
  <si>
    <t>LST-170</t>
  </si>
  <si>
    <t>LST-171</t>
  </si>
  <si>
    <t>LST-172</t>
  </si>
  <si>
    <t>LST-173</t>
  </si>
  <si>
    <t>LST-174</t>
  </si>
  <si>
    <t>LST-175</t>
  </si>
  <si>
    <t>LST-176</t>
  </si>
  <si>
    <t>LST-177</t>
  </si>
  <si>
    <t>LST-178</t>
  </si>
  <si>
    <t>LST-179</t>
  </si>
  <si>
    <t>LST-180</t>
  </si>
  <si>
    <t>LST-181</t>
  </si>
  <si>
    <t>LST-182</t>
  </si>
  <si>
    <t>LST-183</t>
  </si>
  <si>
    <t>LST-184</t>
  </si>
  <si>
    <t>LST-185</t>
  </si>
  <si>
    <t>LST-186</t>
  </si>
  <si>
    <t>LST-187</t>
  </si>
  <si>
    <t>LST-188</t>
  </si>
  <si>
    <t>LST-189</t>
  </si>
  <si>
    <t>LST-190</t>
  </si>
  <si>
    <t>LST-191</t>
  </si>
  <si>
    <t>LST-192</t>
  </si>
  <si>
    <t>LST-193</t>
  </si>
  <si>
    <t>LST-194</t>
  </si>
  <si>
    <t>LST-195</t>
  </si>
  <si>
    <t>LST-196</t>
  </si>
  <si>
    <t>LST-197</t>
  </si>
  <si>
    <t>LST-198</t>
  </si>
  <si>
    <t>LST-199</t>
  </si>
  <si>
    <t>LST-200</t>
  </si>
  <si>
    <t>LST-201</t>
  </si>
  <si>
    <t>LST-202</t>
  </si>
  <si>
    <t>LST-203</t>
  </si>
  <si>
    <t>LST-204</t>
  </si>
  <si>
    <t>LST-205</t>
  </si>
  <si>
    <t>LST-206</t>
  </si>
  <si>
    <t>LST-207</t>
  </si>
  <si>
    <t>LST-208</t>
  </si>
  <si>
    <t>LST-209</t>
  </si>
  <si>
    <t>LST-210</t>
  </si>
  <si>
    <t>LST-211</t>
  </si>
  <si>
    <t>LST-212</t>
  </si>
  <si>
    <t>LST-213</t>
  </si>
  <si>
    <t>Data_Quality_Flag</t>
  </si>
  <si>
    <t>Locality_Tier</t>
  </si>
  <si>
    <t>Churchgate</t>
  </si>
  <si>
    <t>Premium/South</t>
  </si>
  <si>
    <t>Marine Lines</t>
  </si>
  <si>
    <t>Charni Road</t>
  </si>
  <si>
    <t>Grant Road</t>
  </si>
  <si>
    <t>Mumbai Central</t>
  </si>
  <si>
    <t>Mahalaxmi</t>
  </si>
  <si>
    <t>Prabhadevi</t>
  </si>
  <si>
    <t>Dadar West</t>
  </si>
  <si>
    <t>Matunga Road</t>
  </si>
  <si>
    <t>Bandra West</t>
  </si>
  <si>
    <t>Bandra East</t>
  </si>
  <si>
    <t>Mid Suburb</t>
  </si>
  <si>
    <t>Khar West</t>
  </si>
  <si>
    <t>Santacruz West</t>
  </si>
  <si>
    <t>Santacruz East</t>
  </si>
  <si>
    <t>Vile Parle West</t>
  </si>
  <si>
    <t>Vile Parle East</t>
  </si>
  <si>
    <t>Jogeshwari West</t>
  </si>
  <si>
    <t>Jogeshwari East</t>
  </si>
  <si>
    <t>Goregaon West</t>
  </si>
  <si>
    <t>Goregaon East</t>
  </si>
  <si>
    <t>Malad West</t>
  </si>
  <si>
    <t>Malad East</t>
  </si>
  <si>
    <t>Kandivali West</t>
  </si>
  <si>
    <t>Kandivali East</t>
  </si>
  <si>
    <t>Borivali West</t>
  </si>
  <si>
    <t>Borivali East</t>
  </si>
  <si>
    <t>Far Suburb</t>
  </si>
  <si>
    <t>Vasai Road</t>
  </si>
  <si>
    <t>Outer Periphery</t>
  </si>
  <si>
    <t>Vaitarna</t>
  </si>
  <si>
    <t>Palghar</t>
  </si>
  <si>
    <t>CSMT/Fort</t>
  </si>
  <si>
    <t>Central Line</t>
  </si>
  <si>
    <t>Byculla</t>
  </si>
  <si>
    <t>Parel</t>
  </si>
  <si>
    <t>Dadar East</t>
  </si>
  <si>
    <t>Sion</t>
  </si>
  <si>
    <t>Nahur</t>
  </si>
  <si>
    <t>Mulund West</t>
  </si>
  <si>
    <t>Mulund East</t>
  </si>
  <si>
    <t>Thane West</t>
  </si>
  <si>
    <t>Thane East</t>
  </si>
  <si>
    <t>Ambernath</t>
  </si>
  <si>
    <t>Badlapur</t>
  </si>
  <si>
    <t>Wadala</t>
  </si>
  <si>
    <t>Harbour Line</t>
  </si>
  <si>
    <t>Sewri</t>
  </si>
  <si>
    <t>King's Circle</t>
  </si>
  <si>
    <t>Vashi</t>
  </si>
  <si>
    <t>Navi Mumbai</t>
  </si>
  <si>
    <t>Ghansoli</t>
  </si>
  <si>
    <t>Airoli</t>
  </si>
  <si>
    <t>Panvel</t>
  </si>
  <si>
    <t>Min_Rent_PerSqFt</t>
  </si>
  <si>
    <t>Max_Rent_PerSqFt</t>
  </si>
  <si>
    <t>Premium Suburb</t>
  </si>
  <si>
    <t>Worli</t>
  </si>
  <si>
    <t>Marol</t>
  </si>
  <si>
    <t>Kanjurmarg West</t>
  </si>
  <si>
    <t>Rate_Quality_Flag</t>
  </si>
  <si>
    <t>Absolute_Price_Flag</t>
  </si>
  <si>
    <t>Chitrakut CHS</t>
  </si>
  <si>
    <t>A and O Realty Eminente</t>
  </si>
  <si>
    <t>Ekta Sai Shraddha</t>
  </si>
  <si>
    <t>DB Orchid Ozone</t>
  </si>
  <si>
    <t>Gurukrupa Shiv Parbat</t>
  </si>
  <si>
    <t>Suyog Apartment</t>
  </si>
  <si>
    <t>Gagangiri Om Yogeshwar CHS</t>
  </si>
  <si>
    <t>Rustomjee Reserve</t>
  </si>
  <si>
    <t>Haridas Park</t>
  </si>
  <si>
    <t>Royal Spring Field CHS</t>
  </si>
  <si>
    <t>Rustomjee Regency</t>
  </si>
  <si>
    <t>Gaiagen Park Residences</t>
  </si>
  <si>
    <t>Sunil Sai Krupa Tower</t>
  </si>
  <si>
    <t>Mallhar Bhimashankar Heights</t>
  </si>
  <si>
    <t>Northern Heights</t>
  </si>
  <si>
    <t>Chandak Nishchay</t>
  </si>
  <si>
    <t>NL Aryavarta</t>
  </si>
  <si>
    <t>LST-214</t>
  </si>
  <si>
    <t>LST-215</t>
  </si>
  <si>
    <t>LST-216</t>
  </si>
  <si>
    <t>LST-217</t>
  </si>
  <si>
    <t>LST-218</t>
  </si>
  <si>
    <t>LST-219</t>
  </si>
  <si>
    <t>LST-220</t>
  </si>
  <si>
    <t>LST-221</t>
  </si>
  <si>
    <t>LST-222</t>
  </si>
  <si>
    <t>LST-223</t>
  </si>
  <si>
    <t>LST-224</t>
  </si>
  <si>
    <t>LST-225</t>
  </si>
  <si>
    <t>LST-226</t>
  </si>
  <si>
    <t>LST-227</t>
  </si>
  <si>
    <t>LST-228</t>
  </si>
  <si>
    <t>LST-229</t>
  </si>
  <si>
    <t>LST-230</t>
  </si>
  <si>
    <t>LST-231</t>
  </si>
  <si>
    <t>LST-232</t>
  </si>
  <si>
    <t>LST-233</t>
  </si>
  <si>
    <t>LST-234</t>
  </si>
  <si>
    <t>LST-235</t>
  </si>
  <si>
    <t>LST-236</t>
  </si>
  <si>
    <t>LST-237</t>
  </si>
  <si>
    <t>LST-238</t>
  </si>
  <si>
    <t>LST-239</t>
  </si>
  <si>
    <t>LST-240</t>
  </si>
  <si>
    <t>LST-241</t>
  </si>
  <si>
    <t>Rivali Park</t>
  </si>
  <si>
    <t>Siddharth Nagar CHS</t>
  </si>
  <si>
    <t>Ekta Bhoomi Garden</t>
  </si>
  <si>
    <t>Navkarmik Shiv Lilam</t>
  </si>
  <si>
    <t>Mangala Apartments</t>
  </si>
  <si>
    <t>RAJ CHS</t>
  </si>
  <si>
    <t>Sheetal chs</t>
  </si>
  <si>
    <t>Paradigm Shivalaya</t>
  </si>
  <si>
    <t>Kuber Bhuvan</t>
  </si>
  <si>
    <t>silver residency</t>
  </si>
  <si>
    <t>Evershine Residency</t>
  </si>
  <si>
    <t>Yogi Residency</t>
  </si>
  <si>
    <t>RNA Regency Park CHS</t>
  </si>
  <si>
    <t>Sat Kripa CHS</t>
  </si>
  <si>
    <t>Bhoomi Pratishtha</t>
  </si>
  <si>
    <t>Triumph Siddhivinayak</t>
  </si>
  <si>
    <t>Raghav Paradise</t>
  </si>
  <si>
    <t>Apex Green Wood</t>
  </si>
  <si>
    <t>Khushal Heritage</t>
  </si>
  <si>
    <t>Sky City by Oberoi Realty</t>
  </si>
  <si>
    <t>Atul Ratna Mohan Triveni CHS</t>
  </si>
  <si>
    <t>Kanakia Samarpan Exotica</t>
  </si>
  <si>
    <t>Ambrosia</t>
  </si>
  <si>
    <t>Aditya Hari Smruti CHS</t>
  </si>
  <si>
    <t>Philip Tower</t>
  </si>
  <si>
    <t>Sunplancy</t>
  </si>
  <si>
    <t>Amazon Building</t>
  </si>
  <si>
    <t>Shraddha Elite</t>
  </si>
  <si>
    <t>Lokhandwala Green Hills</t>
  </si>
  <si>
    <t>Alica Nagar CHS</t>
  </si>
  <si>
    <t>White City</t>
  </si>
  <si>
    <t>Gokul Nagari 1</t>
  </si>
  <si>
    <t>Godrej Nest</t>
  </si>
  <si>
    <t>Wadhwa TW Gardens</t>
  </si>
  <si>
    <t>Raheja Serenity</t>
  </si>
  <si>
    <t>Lokhandwala Spring Leaf</t>
  </si>
  <si>
    <t>Lokhandwala Riviera Tower</t>
  </si>
  <si>
    <t>Lodha Woods</t>
  </si>
  <si>
    <t>Lokhandwala Sapphire Heights</t>
  </si>
  <si>
    <t>Lokhandwala Sierra Towers</t>
  </si>
  <si>
    <t>Shraddha Complex</t>
  </si>
  <si>
    <t>JP Jeevan Sapna</t>
  </si>
  <si>
    <t>Anant Bhoomi</t>
  </si>
  <si>
    <t>Harasiddh Mansarovar</t>
  </si>
  <si>
    <t>Symphony Towers</t>
  </si>
  <si>
    <t>Bharat Asbury Park</t>
  </si>
  <si>
    <t>Veena Classic</t>
  </si>
  <si>
    <t>Vasant Vaikunth</t>
  </si>
  <si>
    <t>Ruparel Skygreens</t>
  </si>
  <si>
    <t>Shree Lucky Tower</t>
  </si>
  <si>
    <t>Anupam CHS</t>
  </si>
  <si>
    <t>Paarijat CHS</t>
  </si>
  <si>
    <t>Vasant Aangan</t>
  </si>
  <si>
    <t>Shivam chs</t>
  </si>
  <si>
    <t>Ekta Bhoomi</t>
  </si>
  <si>
    <t>Sai Chitra Apartment</t>
  </si>
  <si>
    <t>Omkar Signet</t>
  </si>
  <si>
    <t>Swapnpurti Heights</t>
  </si>
  <si>
    <t>Shivneri</t>
  </si>
  <si>
    <t>Rizvi Cedar</t>
  </si>
  <si>
    <t>Lalani Velentine</t>
  </si>
  <si>
    <t>K Raheja Residency</t>
  </si>
  <si>
    <t>Raheja Complex</t>
  </si>
  <si>
    <t>Raheja Tipco Heights</t>
  </si>
  <si>
    <t>Omkar Alta Monte</t>
  </si>
  <si>
    <t>DGS Sheetal Ekta</t>
  </si>
  <si>
    <t>Sheth Vasant Valley Ivy Tower</t>
  </si>
  <si>
    <t>Prima Upper East 97</t>
  </si>
  <si>
    <t>AO f Residences</t>
  </si>
  <si>
    <t>Siddharth Palace</t>
  </si>
  <si>
    <t>Bhoomi Classic</t>
  </si>
  <si>
    <t>Sheth Irene</t>
  </si>
  <si>
    <t>Shiv Parvati</t>
  </si>
  <si>
    <t>Shree Shivdham CHS</t>
  </si>
  <si>
    <t>Auris Bliss</t>
  </si>
  <si>
    <t>Serenity Height</t>
  </si>
  <si>
    <t>Vishal Nagar Complex</t>
  </si>
  <si>
    <t>Lodha Raj Infinia</t>
  </si>
  <si>
    <t>Nilanjana CHS</t>
  </si>
  <si>
    <t>Evershine Grandeur CHS</t>
  </si>
  <si>
    <t>Lotus Sky Gardens</t>
  </si>
  <si>
    <t>Sun Sand Dunes</t>
  </si>
  <si>
    <t>auris serenity</t>
  </si>
  <si>
    <t>Rustomjee Elanza</t>
  </si>
  <si>
    <t>LST-242</t>
  </si>
  <si>
    <t>LST-243</t>
  </si>
  <si>
    <t>LST-244</t>
  </si>
  <si>
    <t>LST-245</t>
  </si>
  <si>
    <t>LST-246</t>
  </si>
  <si>
    <t>LST-247</t>
  </si>
  <si>
    <t>LST-248</t>
  </si>
  <si>
    <t>LST-249</t>
  </si>
  <si>
    <t>LST-250</t>
  </si>
  <si>
    <t>LST-251</t>
  </si>
  <si>
    <t>LST-252</t>
  </si>
  <si>
    <t>LST-253</t>
  </si>
  <si>
    <t>LST-254</t>
  </si>
  <si>
    <t>LST-255</t>
  </si>
  <si>
    <t>LST-256</t>
  </si>
  <si>
    <t>LST-257</t>
  </si>
  <si>
    <t>LST-258</t>
  </si>
  <si>
    <t>LST-259</t>
  </si>
  <si>
    <t>LST-260</t>
  </si>
  <si>
    <t>LST-261</t>
  </si>
  <si>
    <t>LST-262</t>
  </si>
  <si>
    <t>LST-263</t>
  </si>
  <si>
    <t>LST-264</t>
  </si>
  <si>
    <t>LST-265</t>
  </si>
  <si>
    <t>LST-266</t>
  </si>
  <si>
    <t>LST-267</t>
  </si>
  <si>
    <t>LST-268</t>
  </si>
  <si>
    <t>LST-269</t>
  </si>
  <si>
    <t>LST-270</t>
  </si>
  <si>
    <t>LST-271</t>
  </si>
  <si>
    <t>LST-272</t>
  </si>
  <si>
    <t>LST-273</t>
  </si>
  <si>
    <t>LST-274</t>
  </si>
  <si>
    <t>LST-275</t>
  </si>
  <si>
    <t>LST-276</t>
  </si>
  <si>
    <t>LST-277</t>
  </si>
  <si>
    <t>LST-278</t>
  </si>
  <si>
    <t>LST-279</t>
  </si>
  <si>
    <t>LST-280</t>
  </si>
  <si>
    <t>LST-281</t>
  </si>
  <si>
    <t>LST-282</t>
  </si>
  <si>
    <t>LST-283</t>
  </si>
  <si>
    <t>LST-284</t>
  </si>
  <si>
    <t>LST-285</t>
  </si>
  <si>
    <t>LST-286</t>
  </si>
  <si>
    <t>LST-287</t>
  </si>
  <si>
    <t>LST-288</t>
  </si>
  <si>
    <t>LST-289</t>
  </si>
  <si>
    <t>LST-290</t>
  </si>
  <si>
    <t>LST-291</t>
  </si>
  <si>
    <t>LST-292</t>
  </si>
  <si>
    <t>LST-293</t>
  </si>
  <si>
    <t>LST-294</t>
  </si>
  <si>
    <t>LST-295</t>
  </si>
  <si>
    <t>LST-296</t>
  </si>
  <si>
    <t>LST-297</t>
  </si>
  <si>
    <t>LST-298</t>
  </si>
  <si>
    <t>LST-299</t>
  </si>
  <si>
    <t>LST-300</t>
  </si>
  <si>
    <t>LST-301</t>
  </si>
  <si>
    <t>Rate_Ceiling_Flag</t>
  </si>
  <si>
    <t>LST-302</t>
  </si>
  <si>
    <t>LST-303</t>
  </si>
  <si>
    <t>LST-304</t>
  </si>
  <si>
    <t>LST-305</t>
  </si>
  <si>
    <t>LST-306</t>
  </si>
  <si>
    <t>LST-307</t>
  </si>
  <si>
    <t>LST-308</t>
  </si>
  <si>
    <t>LST-309</t>
  </si>
  <si>
    <t>LST-310</t>
  </si>
  <si>
    <t>LST-311</t>
  </si>
  <si>
    <t>LST-312</t>
  </si>
  <si>
    <t>LST-313</t>
  </si>
  <si>
    <t>LST-314</t>
  </si>
  <si>
    <t>LST-315</t>
  </si>
  <si>
    <t>LST-316</t>
  </si>
  <si>
    <t>LST-317</t>
  </si>
  <si>
    <t>LST-318</t>
  </si>
  <si>
    <t>LST-319</t>
  </si>
  <si>
    <t>LST-320</t>
  </si>
  <si>
    <t>LST-321</t>
  </si>
  <si>
    <t>LST-322</t>
  </si>
  <si>
    <t>LST-323</t>
  </si>
  <si>
    <t>LST-324</t>
  </si>
  <si>
    <t>LST-325</t>
  </si>
  <si>
    <t>LST-326</t>
  </si>
  <si>
    <t>LST-327</t>
  </si>
  <si>
    <t>LST-328</t>
  </si>
  <si>
    <t>LST-329</t>
  </si>
  <si>
    <t>LST-330</t>
  </si>
  <si>
    <t>LST-331</t>
  </si>
  <si>
    <t>LST-332</t>
  </si>
  <si>
    <t>LST-333</t>
  </si>
  <si>
    <t>LST-334</t>
  </si>
  <si>
    <t>LST-335</t>
  </si>
  <si>
    <t>LST-336</t>
  </si>
  <si>
    <t>LST-337</t>
  </si>
  <si>
    <t>LST-338</t>
  </si>
  <si>
    <t>LST-339</t>
  </si>
  <si>
    <t>LST-340</t>
  </si>
  <si>
    <t>LST-341</t>
  </si>
  <si>
    <t>LST-342</t>
  </si>
  <si>
    <t>LST-343</t>
  </si>
  <si>
    <t>LST-344</t>
  </si>
  <si>
    <t>LST-345</t>
  </si>
  <si>
    <t>LST-346</t>
  </si>
  <si>
    <t>LST-347</t>
  </si>
  <si>
    <t>LST-348</t>
  </si>
  <si>
    <t>LST-349</t>
  </si>
  <si>
    <t>LST-350</t>
  </si>
  <si>
    <t>LST-351</t>
  </si>
  <si>
    <t>LST-352</t>
  </si>
  <si>
    <t>LST-353</t>
  </si>
  <si>
    <t>LST-354</t>
  </si>
  <si>
    <t>LST-355</t>
  </si>
  <si>
    <t>LST-356</t>
  </si>
  <si>
    <t>LST-357</t>
  </si>
  <si>
    <t>LST-358</t>
  </si>
  <si>
    <t>LST-359</t>
  </si>
  <si>
    <t>LST-360</t>
  </si>
  <si>
    <t>LST-361</t>
  </si>
  <si>
    <t>LST-362</t>
  </si>
  <si>
    <t>LST-363</t>
  </si>
  <si>
    <t>LST-364</t>
  </si>
  <si>
    <t>LST-365</t>
  </si>
  <si>
    <t>LST-366</t>
  </si>
  <si>
    <t>LST-367</t>
  </si>
  <si>
    <t>LST-368</t>
  </si>
  <si>
    <t>LST-369</t>
  </si>
  <si>
    <t>LST-370</t>
  </si>
  <si>
    <t>LST-371</t>
  </si>
  <si>
    <t>LST-372</t>
  </si>
  <si>
    <t>LST-373</t>
  </si>
  <si>
    <t>LST-374</t>
  </si>
  <si>
    <t>LST-375</t>
  </si>
  <si>
    <t>LST-376</t>
  </si>
  <si>
    <t>LST-377</t>
  </si>
  <si>
    <t>LST-378</t>
  </si>
  <si>
    <t>LST-379</t>
  </si>
  <si>
    <t>LST-380</t>
  </si>
  <si>
    <t>LST-381</t>
  </si>
  <si>
    <t>LST-382</t>
  </si>
  <si>
    <t>LST-383</t>
  </si>
  <si>
    <t>LST-384</t>
  </si>
  <si>
    <t>LST-385</t>
  </si>
  <si>
    <t>LST-386</t>
  </si>
  <si>
    <t>LST-387</t>
  </si>
  <si>
    <t>LST-388</t>
  </si>
  <si>
    <t>LST-389</t>
  </si>
  <si>
    <t>LST-390</t>
  </si>
  <si>
    <t>LST-391</t>
  </si>
  <si>
    <t>LST-392</t>
  </si>
  <si>
    <t>LST-393</t>
  </si>
  <si>
    <t>LST-394</t>
  </si>
  <si>
    <t>LST-395</t>
  </si>
  <si>
    <t>LST-396</t>
  </si>
  <si>
    <t>LST-397</t>
  </si>
  <si>
    <t>LST-398</t>
  </si>
  <si>
    <t>LST-399</t>
  </si>
  <si>
    <t>LST-400</t>
  </si>
  <si>
    <t>LST-401</t>
  </si>
  <si>
    <t>LST-402</t>
  </si>
  <si>
    <t>LST-403</t>
  </si>
  <si>
    <t>LST-404</t>
  </si>
  <si>
    <t>LST-405</t>
  </si>
  <si>
    <t>LST-406</t>
  </si>
  <si>
    <t>LST-407</t>
  </si>
  <si>
    <t>LST-408</t>
  </si>
  <si>
    <t>LST-409</t>
  </si>
  <si>
    <t>LST-410</t>
  </si>
  <si>
    <t>LST-411</t>
  </si>
  <si>
    <t>LST-412</t>
  </si>
  <si>
    <t>LST-413</t>
  </si>
  <si>
    <t>LST-414</t>
  </si>
  <si>
    <t>LST-415</t>
  </si>
  <si>
    <t>LST-416</t>
  </si>
  <si>
    <t>LST-417</t>
  </si>
  <si>
    <t>LST-418</t>
  </si>
  <si>
    <t>LST-419</t>
  </si>
  <si>
    <t>LST-420</t>
  </si>
  <si>
    <t>LST-421</t>
  </si>
  <si>
    <t>LST-422</t>
  </si>
  <si>
    <t>LST-423</t>
  </si>
  <si>
    <t>LST-424</t>
  </si>
  <si>
    <t>LST-425</t>
  </si>
  <si>
    <t>LST-426</t>
  </si>
  <si>
    <t>LST-427</t>
  </si>
  <si>
    <t>LST-428</t>
  </si>
  <si>
    <t>LST-429</t>
  </si>
  <si>
    <t>LST-430</t>
  </si>
  <si>
    <t>LST-431</t>
  </si>
  <si>
    <t>LST-432</t>
  </si>
  <si>
    <t>LST-433</t>
  </si>
  <si>
    <t>LST-434</t>
  </si>
  <si>
    <t>LST-435</t>
  </si>
  <si>
    <t>LST-436</t>
  </si>
  <si>
    <t>LST-437</t>
  </si>
  <si>
    <t>LST-438</t>
  </si>
  <si>
    <t>LST-439</t>
  </si>
  <si>
    <t>LST-440</t>
  </si>
  <si>
    <t>LST-441</t>
  </si>
  <si>
    <t>LST-442</t>
  </si>
  <si>
    <t>LST-443</t>
  </si>
  <si>
    <t>LST-444</t>
  </si>
  <si>
    <t>LST-445</t>
  </si>
  <si>
    <t>LST-446</t>
  </si>
  <si>
    <t>LST-447</t>
  </si>
  <si>
    <t>LST-448</t>
  </si>
  <si>
    <t>LST-449</t>
  </si>
  <si>
    <t>LST-450</t>
  </si>
  <si>
    <t>LST-451</t>
  </si>
  <si>
    <t>LST-452</t>
  </si>
  <si>
    <t>LST-453</t>
  </si>
  <si>
    <t>LST-454</t>
  </si>
  <si>
    <t>LST-455</t>
  </si>
  <si>
    <t>LST-456</t>
  </si>
  <si>
    <t>LST-457</t>
  </si>
  <si>
    <t>LST-458</t>
  </si>
  <si>
    <t>LST-459</t>
  </si>
  <si>
    <t>LST-460</t>
  </si>
  <si>
    <t>LST-461</t>
  </si>
  <si>
    <t>LST-462</t>
  </si>
  <si>
    <t>LST-463</t>
  </si>
  <si>
    <t>LST-464</t>
  </si>
  <si>
    <t>LST-465</t>
  </si>
  <si>
    <t>LST-466</t>
  </si>
  <si>
    <t>LST-467</t>
  </si>
  <si>
    <t>LST-468</t>
  </si>
  <si>
    <t>LST-469</t>
  </si>
  <si>
    <t>LST-470</t>
  </si>
  <si>
    <t>LST-471</t>
  </si>
  <si>
    <t>LST-472</t>
  </si>
  <si>
    <t>LST-473</t>
  </si>
  <si>
    <t>LST-474</t>
  </si>
  <si>
    <t>LST-475</t>
  </si>
  <si>
    <t>LST-476</t>
  </si>
  <si>
    <t>LST-477</t>
  </si>
  <si>
    <t>LST-478</t>
  </si>
  <si>
    <t>LST-479</t>
  </si>
  <si>
    <t>LST-480</t>
  </si>
  <si>
    <t>LST-481</t>
  </si>
  <si>
    <t>LST-482</t>
  </si>
  <si>
    <t>LST-483</t>
  </si>
  <si>
    <t>LST-484</t>
  </si>
  <si>
    <t>LST-485</t>
  </si>
  <si>
    <t>LST-486</t>
  </si>
  <si>
    <t>LST-487</t>
  </si>
  <si>
    <t>LST-488</t>
  </si>
  <si>
    <t>LST-489</t>
  </si>
  <si>
    <t>LST-490</t>
  </si>
  <si>
    <t>LST-491</t>
  </si>
  <si>
    <t>LST-492</t>
  </si>
  <si>
    <t>LST-493</t>
  </si>
  <si>
    <t>LST-494</t>
  </si>
  <si>
    <t>LST-495</t>
  </si>
  <si>
    <t>LST-496</t>
  </si>
  <si>
    <t>LST-497</t>
  </si>
  <si>
    <t>LST-498</t>
  </si>
  <si>
    <t>LST-499</t>
  </si>
  <si>
    <t>LST-500</t>
  </si>
  <si>
    <t>LST-501</t>
  </si>
  <si>
    <t>LST-502</t>
  </si>
  <si>
    <t>LST-503</t>
  </si>
  <si>
    <t>LST-504</t>
  </si>
  <si>
    <t>LST-505</t>
  </si>
  <si>
    <t>LST-506</t>
  </si>
  <si>
    <t>LST-507</t>
  </si>
  <si>
    <t>LST-508</t>
  </si>
  <si>
    <t>LST-509</t>
  </si>
  <si>
    <t>LST-510</t>
  </si>
  <si>
    <t>LST-511</t>
  </si>
  <si>
    <t>LST-512</t>
  </si>
  <si>
    <t>LST-513</t>
  </si>
  <si>
    <t>LST-514</t>
  </si>
  <si>
    <t>LST-515</t>
  </si>
  <si>
    <t>LST-516</t>
  </si>
  <si>
    <t>LST-517</t>
  </si>
  <si>
    <t>LST-518</t>
  </si>
  <si>
    <t>LST-519</t>
  </si>
  <si>
    <t>LST-520</t>
  </si>
  <si>
    <t>LST-521</t>
  </si>
  <si>
    <t>LST-522</t>
  </si>
  <si>
    <t>LST-523</t>
  </si>
  <si>
    <t>LST-524</t>
  </si>
  <si>
    <t>LST-525</t>
  </si>
  <si>
    <t>LST-526</t>
  </si>
  <si>
    <t>LST-527</t>
  </si>
  <si>
    <t>LST-528</t>
  </si>
  <si>
    <t>LST-529</t>
  </si>
  <si>
    <t>LST-530</t>
  </si>
  <si>
    <t>LST-531</t>
  </si>
  <si>
    <t>LST-532</t>
  </si>
  <si>
    <t>LST-533</t>
  </si>
  <si>
    <t>LST-534</t>
  </si>
  <si>
    <t>LST-535</t>
  </si>
  <si>
    <t>LST-536</t>
  </si>
  <si>
    <t>LST-537</t>
  </si>
  <si>
    <t>LST-538</t>
  </si>
  <si>
    <t>LST-539</t>
  </si>
  <si>
    <t>LST-540</t>
  </si>
  <si>
    <t>LST-541</t>
  </si>
  <si>
    <t>LST-542</t>
  </si>
  <si>
    <t>LST-543</t>
  </si>
  <si>
    <t>LST-544</t>
  </si>
  <si>
    <t>LST-545</t>
  </si>
  <si>
    <t>LST-546</t>
  </si>
  <si>
    <t>LST-547</t>
  </si>
  <si>
    <t>LST-548</t>
  </si>
  <si>
    <t>LST-549</t>
  </si>
  <si>
    <t>LST-550</t>
  </si>
  <si>
    <t>LST-551</t>
  </si>
  <si>
    <t>LST-552</t>
  </si>
  <si>
    <t>LST-553</t>
  </si>
  <si>
    <t>LST-554</t>
  </si>
  <si>
    <t>LST-555</t>
  </si>
  <si>
    <t>LST-556</t>
  </si>
  <si>
    <t>LST-557</t>
  </si>
  <si>
    <t>LST-558</t>
  </si>
  <si>
    <t>LST-559</t>
  </si>
  <si>
    <t>LST-560</t>
  </si>
  <si>
    <t>LST-561</t>
  </si>
  <si>
    <t>LST-562</t>
  </si>
  <si>
    <t>LST-563</t>
  </si>
  <si>
    <t>LST-564</t>
  </si>
  <si>
    <t>LST-565</t>
  </si>
  <si>
    <t>LST-566</t>
  </si>
  <si>
    <t>LST-567</t>
  </si>
  <si>
    <t>LST-568</t>
  </si>
  <si>
    <t>LST-569</t>
  </si>
  <si>
    <t>LST-570</t>
  </si>
  <si>
    <t>LST-571</t>
  </si>
  <si>
    <t>LST-572</t>
  </si>
  <si>
    <t>LST-573</t>
  </si>
  <si>
    <t>LST-574</t>
  </si>
  <si>
    <t>LST-575</t>
  </si>
  <si>
    <t>LST-576</t>
  </si>
  <si>
    <t>LST-577</t>
  </si>
  <si>
    <t>LST-578</t>
  </si>
  <si>
    <t>LST-579</t>
  </si>
  <si>
    <t>LST-580</t>
  </si>
  <si>
    <t>LST-581</t>
  </si>
  <si>
    <t>LST-582</t>
  </si>
  <si>
    <t>LST-583</t>
  </si>
  <si>
    <t>LST-584</t>
  </si>
  <si>
    <t>LST-585</t>
  </si>
  <si>
    <t>LST-586</t>
  </si>
  <si>
    <t>LST-587</t>
  </si>
  <si>
    <t>LST-588</t>
  </si>
  <si>
    <t>LST-589</t>
  </si>
  <si>
    <t>LST-590</t>
  </si>
  <si>
    <t>LST-591</t>
  </si>
  <si>
    <t>LST-592</t>
  </si>
  <si>
    <t>LST-593</t>
  </si>
  <si>
    <t>LST-594</t>
  </si>
  <si>
    <t>LST-595</t>
  </si>
  <si>
    <t>LST-596</t>
  </si>
  <si>
    <t>LST-597</t>
  </si>
  <si>
    <t>LST-598</t>
  </si>
  <si>
    <t>LST-599</t>
  </si>
  <si>
    <t>LST-600</t>
  </si>
  <si>
    <t>LST-601</t>
  </si>
  <si>
    <t>LST-602</t>
  </si>
  <si>
    <t>LST-603</t>
  </si>
  <si>
    <t>LST-604</t>
  </si>
  <si>
    <t>LST-605</t>
  </si>
  <si>
    <t>LST-606</t>
  </si>
  <si>
    <t>LST-607</t>
  </si>
  <si>
    <t>LST-608</t>
  </si>
  <si>
    <t>LST-609</t>
  </si>
  <si>
    <t>LST-610</t>
  </si>
  <si>
    <t>LST-611</t>
  </si>
  <si>
    <t>LST-612</t>
  </si>
  <si>
    <t>LST-613</t>
  </si>
  <si>
    <t>LST-614</t>
  </si>
  <si>
    <t>LST-615</t>
  </si>
  <si>
    <t>LST-616</t>
  </si>
  <si>
    <t>LST-617</t>
  </si>
  <si>
    <t>LST-618</t>
  </si>
  <si>
    <t>LST-619</t>
  </si>
  <si>
    <t>LST-620</t>
  </si>
  <si>
    <t>LST-621</t>
  </si>
  <si>
    <t>LST-622</t>
  </si>
  <si>
    <t>LST-623</t>
  </si>
  <si>
    <t>LST-624</t>
  </si>
  <si>
    <t>LST-625</t>
  </si>
  <si>
    <t>LST-626</t>
  </si>
  <si>
    <t>LST-627</t>
  </si>
  <si>
    <t>LST-628</t>
  </si>
  <si>
    <t>LST-629</t>
  </si>
  <si>
    <t>LST-630</t>
  </si>
  <si>
    <t>LST-631</t>
  </si>
  <si>
    <t>LST-632</t>
  </si>
  <si>
    <t>LST-633</t>
  </si>
  <si>
    <t>LST-634</t>
  </si>
  <si>
    <t>LST-635</t>
  </si>
  <si>
    <t>LST-636</t>
  </si>
  <si>
    <t>LST-637</t>
  </si>
  <si>
    <t>LST-638</t>
  </si>
  <si>
    <t>LST-639</t>
  </si>
  <si>
    <t>LST-640</t>
  </si>
  <si>
    <t>LST-641</t>
  </si>
  <si>
    <t>LST-642</t>
  </si>
  <si>
    <t>LST-643</t>
  </si>
  <si>
    <t>LST-644</t>
  </si>
  <si>
    <t>LST-645</t>
  </si>
  <si>
    <t>LST-646</t>
  </si>
  <si>
    <t>LST-647</t>
  </si>
  <si>
    <t>LST-648</t>
  </si>
  <si>
    <t>LST-649</t>
  </si>
  <si>
    <t>LST-650</t>
  </si>
  <si>
    <t>LST-651</t>
  </si>
  <si>
    <t>LST-652</t>
  </si>
  <si>
    <t>LST-653</t>
  </si>
  <si>
    <t>LST-654</t>
  </si>
  <si>
    <t>LST-655</t>
  </si>
  <si>
    <t>LST-656</t>
  </si>
  <si>
    <t>LST-657</t>
  </si>
  <si>
    <t>LST-658</t>
  </si>
  <si>
    <t>LST-659</t>
  </si>
  <si>
    <t>LST-660</t>
  </si>
  <si>
    <t>LST-661</t>
  </si>
  <si>
    <t>LST-662</t>
  </si>
  <si>
    <t>LST-663</t>
  </si>
  <si>
    <t>LST-664</t>
  </si>
  <si>
    <t>LST-665</t>
  </si>
  <si>
    <t>LST-666</t>
  </si>
  <si>
    <t>LST-667</t>
  </si>
  <si>
    <t>LST-668</t>
  </si>
  <si>
    <t>LST-669</t>
  </si>
  <si>
    <t>LST-670</t>
  </si>
  <si>
    <t>LST-671</t>
  </si>
  <si>
    <t>LST-672</t>
  </si>
  <si>
    <t>LST-673</t>
  </si>
  <si>
    <t>Hetali Blessings</t>
  </si>
  <si>
    <t>Conwood Astoria</t>
  </si>
  <si>
    <t>IM Applaud 38</t>
  </si>
  <si>
    <t>Vasant Valley</t>
  </si>
  <si>
    <t>Lalani Grandeur</t>
  </si>
  <si>
    <t>Suyojana Residency</t>
  </si>
  <si>
    <t>Aasamanta Krupa</t>
  </si>
  <si>
    <t>Lodha Fiorenza</t>
  </si>
  <si>
    <t>JP Decks</t>
  </si>
  <si>
    <t>Velentine Tower</t>
  </si>
  <si>
    <t>Arkade Aspire</t>
  </si>
  <si>
    <t>Oberoi Esquire</t>
  </si>
  <si>
    <t>Laxmi Sadan</t>
  </si>
  <si>
    <t>Romell Aether</t>
  </si>
  <si>
    <t>Milind Bhavan</t>
  </si>
  <si>
    <t>Sukhniwas CHS</t>
  </si>
  <si>
    <t>Best Colony</t>
  </si>
  <si>
    <t>Laxmi Shrushti</t>
  </si>
  <si>
    <t>Riddhi Siddhi Heights</t>
  </si>
  <si>
    <t>Topiwala CHS</t>
  </si>
  <si>
    <t>Sunteck City Avenue 2</t>
  </si>
  <si>
    <t>Nanddham CHS</t>
  </si>
  <si>
    <t>Asshna Samadhan</t>
  </si>
  <si>
    <t>Patra CHS</t>
  </si>
  <si>
    <t>Imperial Heights</t>
  </si>
  <si>
    <t>Polaris Tower</t>
  </si>
  <si>
    <t>Chandak Stella</t>
  </si>
  <si>
    <t>Ekta tripolis</t>
  </si>
  <si>
    <t>Wadhwa Crown Residences</t>
  </si>
  <si>
    <t>Green Field Society</t>
  </si>
  <si>
    <t>Aditi Shristi Residency</t>
  </si>
  <si>
    <t>Hardevi Society</t>
  </si>
  <si>
    <t>Ranbir Height</t>
  </si>
  <si>
    <t>Halkara Rameshwar Darshan</t>
  </si>
  <si>
    <t>Oberoi Splendor</t>
  </si>
  <si>
    <t>HDIL Dheeraj Vaibhav</t>
  </si>
  <si>
    <t>Dhiraj Darshan Apartments</t>
  </si>
  <si>
    <t>Brindaban 2</t>
  </si>
  <si>
    <t>Lily White</t>
  </si>
  <si>
    <t>Poonam Nagar</t>
  </si>
  <si>
    <t>pearl chs</t>
  </si>
  <si>
    <t>Universal Garden</t>
  </si>
  <si>
    <t>SMGK Associate Residency</t>
  </si>
  <si>
    <t>Lodha Bel Air</t>
  </si>
  <si>
    <t>Lodha Unica</t>
  </si>
  <si>
    <t>Paradigm Alaya</t>
  </si>
  <si>
    <t>Level The Residences</t>
  </si>
  <si>
    <t>Ravi Kiran Society</t>
  </si>
  <si>
    <t>Vision Heights</t>
  </si>
  <si>
    <t>The Park Residences</t>
  </si>
  <si>
    <t>Windermere CHS</t>
  </si>
  <si>
    <t>Sheth 72 West</t>
  </si>
  <si>
    <t>UNIVERSAL GARDEN</t>
  </si>
  <si>
    <t>Adhar Vastu Society</t>
  </si>
  <si>
    <t>Relcon Kalpavriksha Apartment</t>
  </si>
  <si>
    <t>IVY MARVEL</t>
  </si>
  <si>
    <t>VASTU OMKAR</t>
  </si>
  <si>
    <t>Pradhan</t>
  </si>
  <si>
    <t>Moss Aadhira</t>
  </si>
  <si>
    <t>Subarswar Vireshwar Heights</t>
  </si>
  <si>
    <t>SGPH Parlashray CHS</t>
  </si>
  <si>
    <t>SHRI SAI KRUPA</t>
  </si>
  <si>
    <t>DEEPANJALI</t>
  </si>
  <si>
    <t>HASYAVADAN</t>
  </si>
  <si>
    <t>PARK WAY MANOR</t>
  </si>
  <si>
    <t>ALAKNANDA</t>
  </si>
  <si>
    <t>VISHAL SUSHEEL</t>
  </si>
  <si>
    <t>Manek CHS</t>
  </si>
  <si>
    <t>Insignia</t>
  </si>
  <si>
    <t>Majithia Apartments</t>
  </si>
  <si>
    <t>Narendra</t>
  </si>
  <si>
    <t>A3 ASHIRWAD SOCIETY</t>
  </si>
  <si>
    <t>Sai Jyote Apartment</t>
  </si>
  <si>
    <t>20+ Years</t>
  </si>
  <si>
    <t>Jyoti sadan</t>
  </si>
  <si>
    <t>DLH Legacy</t>
  </si>
  <si>
    <t>Gokul Divine CHS</t>
  </si>
  <si>
    <t>Mahesh Sadan</t>
  </si>
  <si>
    <t>JPV Pratap Legacy</t>
  </si>
  <si>
    <t>Bharat Juhu Acropolis</t>
  </si>
  <si>
    <t>Shree Suraj Park Grandeur</t>
  </si>
  <si>
    <t>Juhu Ajanta</t>
  </si>
  <si>
    <t>Silver Square</t>
  </si>
  <si>
    <t>Silver Avenue</t>
  </si>
  <si>
    <t>Vinayak Raghvendra CHS</t>
  </si>
  <si>
    <t>Chityna Nagar</t>
  </si>
  <si>
    <t>Shelton Apartments</t>
  </si>
  <si>
    <t>Kolte Patil Alora</t>
  </si>
  <si>
    <t>Emerald</t>
  </si>
  <si>
    <t>Golden Valley</t>
  </si>
  <si>
    <t>Aakash Darshan Chs</t>
  </si>
  <si>
    <t>Navratna CHS</t>
  </si>
  <si>
    <t>Legend Apartments</t>
  </si>
  <si>
    <t>Kumar Society</t>
  </si>
  <si>
    <t>Prem Angan</t>
  </si>
  <si>
    <t>Dheeraj Insignia</t>
  </si>
  <si>
    <t>Raj Galaxy Apartment</t>
  </si>
  <si>
    <t>Transcon Ramdev Plaza</t>
  </si>
  <si>
    <t>Sukhanand Krupa CHS</t>
  </si>
  <si>
    <t>Dheeraj Heritage Residency</t>
  </si>
  <si>
    <t>Avanti Apartment</t>
  </si>
  <si>
    <t>Ekta Trinity</t>
  </si>
  <si>
    <t>Sunaina Apartments</t>
  </si>
  <si>
    <t>Mayfair Liv</t>
  </si>
  <si>
    <t>Gokul Sushma</t>
  </si>
  <si>
    <t>Neeta Apartment</t>
  </si>
  <si>
    <t>Anand villa</t>
  </si>
  <si>
    <t>S Raheja Panorama</t>
  </si>
  <si>
    <t>LRK12</t>
  </si>
  <si>
    <t>KM Mid Summer CHS</t>
  </si>
  <si>
    <t>Sharan</t>
  </si>
  <si>
    <t>Louisiana Apartments</t>
  </si>
  <si>
    <t>Khar East</t>
  </si>
  <si>
    <t>Crescent Heritage</t>
  </si>
  <si>
    <t>Prime Shiv Heights</t>
  </si>
  <si>
    <t>Savitri Apartments</t>
  </si>
  <si>
    <t>Ashoka Hind CHS</t>
  </si>
  <si>
    <t>Park heights</t>
  </si>
  <si>
    <t>Upasana Apartment</t>
  </si>
  <si>
    <t>L Nagpal N Tower</t>
  </si>
  <si>
    <t>S Raheja New Light</t>
  </si>
  <si>
    <t>Sai Dham Building</t>
  </si>
  <si>
    <t>Casa Bella</t>
  </si>
  <si>
    <t>Gym View</t>
  </si>
  <si>
    <t>Raheja Regency Terraces</t>
  </si>
  <si>
    <t>elite vista</t>
  </si>
  <si>
    <t>Jeevandeep chs</t>
  </si>
  <si>
    <t>Anand Villa Apartment</t>
  </si>
  <si>
    <t>Rustomjee Cleon</t>
  </si>
  <si>
    <t>Antariksh Ace</t>
  </si>
  <si>
    <t>Amikrupa New Safalaya CHS</t>
  </si>
  <si>
    <t>Jeevansheela CHS</t>
  </si>
  <si>
    <t>Gulmohar Avenue</t>
  </si>
  <si>
    <t>Vaibhavlaxmi</t>
  </si>
  <si>
    <t>BC Corp Arista</t>
  </si>
  <si>
    <t>Agami Eternity</t>
  </si>
  <si>
    <t>Rustomjee Seasons</t>
  </si>
  <si>
    <t>Kanakia Paris</t>
  </si>
  <si>
    <t>Serendipity</t>
  </si>
  <si>
    <t>Kalpataru Magnus</t>
  </si>
  <si>
    <t>Reclamation</t>
  </si>
  <si>
    <t>Rachana chs</t>
  </si>
  <si>
    <t>Jaycee Bhagtani Premier</t>
  </si>
  <si>
    <t>Mt Nirmala CHS</t>
  </si>
  <si>
    <t>Amin Alturas</t>
  </si>
  <si>
    <t>Hill Rd</t>
  </si>
  <si>
    <t>lamour</t>
  </si>
  <si>
    <t>Hicons Residency</t>
  </si>
  <si>
    <t>Suman Apartments</t>
  </si>
  <si>
    <t>K L Astoria</t>
  </si>
  <si>
    <t>Parishram</t>
  </si>
  <si>
    <t>Flowline DLH Signature</t>
  </si>
  <si>
    <t>SSD Pali Palms</t>
  </si>
  <si>
    <t>Bandra Olympic Society</t>
  </si>
  <si>
    <t>Marble Arch</t>
  </si>
  <si>
    <t>Mahim East</t>
  </si>
  <si>
    <t>Mahim West</t>
  </si>
  <si>
    <t>Bhagwan Singh Apartment</t>
  </si>
  <si>
    <t>Citizen Society</t>
  </si>
  <si>
    <t>Gala Swayam</t>
  </si>
  <si>
    <t>Prescon Midtown Bay</t>
  </si>
  <si>
    <t>Union House</t>
  </si>
  <si>
    <t>mansion chs</t>
  </si>
  <si>
    <t>Omkar Vayu</t>
  </si>
  <si>
    <t>Union park</t>
  </si>
  <si>
    <t>Svarna Rosemary</t>
  </si>
  <si>
    <t>Kanakia Miami</t>
  </si>
  <si>
    <t>Siddhi Yog</t>
  </si>
  <si>
    <t>Princecare Zinnia</t>
  </si>
  <si>
    <t>Tridhaatu Aaroha</t>
  </si>
  <si>
    <t>Satra Mahavir Ville</t>
  </si>
  <si>
    <t>Orient Bellwether Heights</t>
  </si>
  <si>
    <t>Tanishq Mont Kiara</t>
  </si>
  <si>
    <t>Parijat</t>
  </si>
  <si>
    <t>Sugee Paavan</t>
  </si>
  <si>
    <t>Tangent Sumati Heights</t>
  </si>
  <si>
    <t>Rigved Windsong</t>
  </si>
  <si>
    <t>DT Amarsons Entallia</t>
  </si>
  <si>
    <t>Wadhwa Pristine</t>
  </si>
  <si>
    <t>Sanghvi Aaditya Elegance</t>
  </si>
  <si>
    <t>Prestige Jasdan Apartment</t>
  </si>
  <si>
    <t>Happy Home Jade Vedant</t>
  </si>
  <si>
    <t>Godrej Five Gardens</t>
  </si>
  <si>
    <t>Matoshree Ankur</t>
  </si>
  <si>
    <t>Mira Mar</t>
  </si>
  <si>
    <t>Vibrant ekam park</t>
  </si>
  <si>
    <t>Sugee Sanskruti</t>
  </si>
  <si>
    <t>Amrut Kumbh Society</t>
  </si>
  <si>
    <t>Luis Apartment</t>
  </si>
  <si>
    <t>SPKRV Chs</t>
  </si>
  <si>
    <t>Shivaji Park House</t>
  </si>
  <si>
    <t>Suraj Lumiere Apartments</t>
  </si>
  <si>
    <t>Amber Kutir CHS</t>
  </si>
  <si>
    <t>Kohinoor Altissimo</t>
  </si>
  <si>
    <t>Park Mist</t>
  </si>
  <si>
    <t>Amruta Apartment</t>
  </si>
  <si>
    <t>Park Residency</t>
  </si>
  <si>
    <t>Sugee Preksha</t>
  </si>
  <si>
    <t>Nandivardhan Monopoli</t>
  </si>
  <si>
    <t>Landmark Tower</t>
  </si>
  <si>
    <t>kesari</t>
  </si>
  <si>
    <t>Natu 9 Bhalchandra</t>
  </si>
  <si>
    <t>Naigaon Society</t>
  </si>
  <si>
    <t>Crystal Tower</t>
  </si>
  <si>
    <t>Royal Status</t>
  </si>
  <si>
    <t>New TATA tower</t>
  </si>
  <si>
    <t>The Bombay ICC</t>
  </si>
  <si>
    <t>Kesar Polaris</t>
  </si>
  <si>
    <t>Parasmani complex</t>
  </si>
  <si>
    <t>Royal Grace</t>
  </si>
  <si>
    <t>The Dream House</t>
  </si>
  <si>
    <t>Shiv Shakti</t>
  </si>
  <si>
    <t>Bachelors</t>
  </si>
  <si>
    <t>Matru Ashish</t>
  </si>
  <si>
    <t>Lifescapes Aquino anexx</t>
  </si>
  <si>
    <t>Prestige Height</t>
  </si>
  <si>
    <t>Paschim Apartments</t>
  </si>
  <si>
    <t>Sugee Atharva</t>
  </si>
  <si>
    <t>Aristo Pearl Residency</t>
  </si>
  <si>
    <t>Siddharatnakar Apartment</t>
  </si>
  <si>
    <t>El Dorado</t>
  </si>
  <si>
    <t>Udyan Darshan</t>
  </si>
  <si>
    <t>Rohan Lifescapes Aquino</t>
  </si>
  <si>
    <t>Vaibhav Apartment</t>
  </si>
  <si>
    <t>Kalaya Tower</t>
  </si>
  <si>
    <t>Lower Parel East</t>
  </si>
  <si>
    <t>Lower Parel West</t>
  </si>
  <si>
    <t>greenfield chs</t>
  </si>
  <si>
    <t>mahavir prasad</t>
  </si>
  <si>
    <t>Neumec Elegance</t>
  </si>
  <si>
    <t>The Baya Central</t>
  </si>
  <si>
    <t>Lam</t>
  </si>
  <si>
    <t>Hatdia Ison Height</t>
  </si>
  <si>
    <t>Mermit tower</t>
  </si>
  <si>
    <t>L&amp;T Crescent Bay</t>
  </si>
  <si>
    <t>Sun Palazzo</t>
  </si>
  <si>
    <t>Lodha World View</t>
  </si>
  <si>
    <t>Lodha Primo</t>
  </si>
  <si>
    <t>Alamdar The Auro</t>
  </si>
  <si>
    <t>Lodha Vista</t>
  </si>
  <si>
    <t>MHADA</t>
  </si>
  <si>
    <t>Mahaveer Darshan</t>
  </si>
  <si>
    <t>omkar tower</t>
  </si>
  <si>
    <t>Dwarika mai</t>
  </si>
  <si>
    <t>Enpar Lotus 101</t>
  </si>
  <si>
    <t>Lodha Marquise</t>
  </si>
  <si>
    <t>falcon castle</t>
  </si>
  <si>
    <t>Mittal Phoenix Towers</t>
  </si>
  <si>
    <t>Piramal Mahalaxmi</t>
  </si>
  <si>
    <t>Shramik Ekta Foundation</t>
  </si>
  <si>
    <t>Nalwala Apartment</t>
  </si>
  <si>
    <t>Samruddhi Apartments</t>
  </si>
  <si>
    <t>ocean height</t>
  </si>
  <si>
    <t>Prestige Jasdan Classic</t>
  </si>
  <si>
    <t>Lodha Primero</t>
  </si>
  <si>
    <t>Planet Godrej</t>
  </si>
  <si>
    <t>Lokhandwala Minerva</t>
  </si>
  <si>
    <t>K Raheja Vivarea</t>
  </si>
  <si>
    <t>Godrej Avenue Eleven</t>
  </si>
  <si>
    <t>Nathani Heights</t>
  </si>
  <si>
    <t>Central Avenue</t>
  </si>
  <si>
    <t>potia apartment</t>
  </si>
  <si>
    <t>Rajendra vihar</t>
  </si>
  <si>
    <t>Maimoona Residency</t>
  </si>
  <si>
    <t>Mount Kailash CHS</t>
  </si>
  <si>
    <t>DB Orchid Tower</t>
  </si>
  <si>
    <t>mantri H</t>
  </si>
  <si>
    <t>terrace building</t>
  </si>
  <si>
    <t>Valencia Apartment</t>
  </si>
  <si>
    <t>Amorina Heights</t>
  </si>
  <si>
    <t>Kemps Corner</t>
  </si>
  <si>
    <t>Aditya akruti</t>
  </si>
  <si>
    <t>PROCTOR CHAMBERS</t>
  </si>
  <si>
    <t>Darsshan Vonalzo</t>
  </si>
  <si>
    <t>Todiwalla Building</t>
  </si>
  <si>
    <t>Pankaj Apartments</t>
  </si>
  <si>
    <t>Lifescapes Arihant</t>
  </si>
  <si>
    <t>sneha sadan</t>
  </si>
  <si>
    <t>dulewala project</t>
  </si>
  <si>
    <t>Saraswati</t>
  </si>
  <si>
    <t>Deccan Chambers</t>
  </si>
  <si>
    <t>1st Parsiwada</t>
  </si>
  <si>
    <t>Chunawala Building</t>
  </si>
  <si>
    <t>Bharat Mahal</t>
  </si>
  <si>
    <t>Siddharth Apartments</t>
  </si>
  <si>
    <t>ETC Sea Views</t>
  </si>
  <si>
    <t>Marine Palace</t>
  </si>
  <si>
    <t>kaveri Building</t>
  </si>
  <si>
    <t>Om Shanti Building</t>
  </si>
  <si>
    <t>jaywant Building</t>
  </si>
  <si>
    <t>Krishna Apartments</t>
  </si>
  <si>
    <t>Vishnu Mahal</t>
  </si>
  <si>
    <t>Ahoora Mahal</t>
  </si>
  <si>
    <t>Sagar Building</t>
  </si>
  <si>
    <t>Geeta Apartments</t>
  </si>
  <si>
    <t>Shivam Building</t>
  </si>
  <si>
    <t>palm court</t>
  </si>
  <si>
    <t>pushp kunj building</t>
  </si>
  <si>
    <t>SHALIM HOUSE</t>
  </si>
  <si>
    <t>Advent</t>
  </si>
  <si>
    <t>Prithvi house</t>
  </si>
  <si>
    <t>Algebra Court</t>
  </si>
  <si>
    <t>10-15 Years</t>
  </si>
  <si>
    <t>Sai Residency</t>
  </si>
  <si>
    <t>Haware Nakshtra</t>
  </si>
  <si>
    <t>Veena Samrajya</t>
  </si>
  <si>
    <t>VBHC Greenwoods</t>
  </si>
  <si>
    <t>CRD Gardenia</t>
  </si>
  <si>
    <t>Ghodela 27 Park View</t>
  </si>
  <si>
    <t>Tata New Haven</t>
  </si>
  <si>
    <t>Mahindra Happinest</t>
  </si>
  <si>
    <t>IPSIT Landmark</t>
  </si>
  <si>
    <t>Archana Apartments</t>
  </si>
  <si>
    <t>Al Karim Manzil</t>
  </si>
  <si>
    <t>TULSI TERRACE</t>
  </si>
  <si>
    <t>RAJDOOT MANSION</t>
  </si>
  <si>
    <t>Aplite Greenstone Heritage</t>
  </si>
  <si>
    <t>Ajay Apartment</t>
  </si>
  <si>
    <t>The Baya Victoria</t>
  </si>
  <si>
    <t>Piramal Aranya</t>
  </si>
  <si>
    <t>Tenement compound</t>
  </si>
  <si>
    <t>Olympia Tower</t>
  </si>
  <si>
    <t>Monte South</t>
  </si>
  <si>
    <t>ISD Maple Heights</t>
  </si>
  <si>
    <t>Fortune Towers</t>
  </si>
  <si>
    <t>Peninsula Salsette 27</t>
  </si>
  <si>
    <t>Kodia Maimoona Residency</t>
  </si>
  <si>
    <t>Merwanji</t>
  </si>
  <si>
    <t>LST-674</t>
  </si>
  <si>
    <t>LST-675</t>
  </si>
  <si>
    <t>LST-676</t>
  </si>
  <si>
    <t>LST-677</t>
  </si>
  <si>
    <t>LST-678</t>
  </si>
  <si>
    <t>LST-679</t>
  </si>
  <si>
    <t>LST-680</t>
  </si>
  <si>
    <t>LST-681</t>
  </si>
  <si>
    <t>LST-682</t>
  </si>
  <si>
    <t>LST-683</t>
  </si>
  <si>
    <t>LST-684</t>
  </si>
  <si>
    <t>LST-685</t>
  </si>
  <si>
    <t>LST-686</t>
  </si>
  <si>
    <t>LST-687</t>
  </si>
  <si>
    <t>LST-688</t>
  </si>
  <si>
    <t>LST-689</t>
  </si>
  <si>
    <t>LST-690</t>
  </si>
  <si>
    <t>LST-691</t>
  </si>
  <si>
    <t>LST-692</t>
  </si>
  <si>
    <t>LST-693</t>
  </si>
  <si>
    <t>LST-694</t>
  </si>
  <si>
    <t>LST-695</t>
  </si>
  <si>
    <t>LST-696</t>
  </si>
  <si>
    <t>LST-697</t>
  </si>
  <si>
    <t>LST-698</t>
  </si>
  <si>
    <t>LST-699</t>
  </si>
  <si>
    <t>LST-700</t>
  </si>
  <si>
    <t>LST-701</t>
  </si>
  <si>
    <t>LST-702</t>
  </si>
  <si>
    <t>LST-703</t>
  </si>
  <si>
    <t>LST-704</t>
  </si>
  <si>
    <t>LST-705</t>
  </si>
  <si>
    <t>LST-706</t>
  </si>
  <si>
    <t>LST-707</t>
  </si>
  <si>
    <t>LST-708</t>
  </si>
  <si>
    <t>LST-709</t>
  </si>
  <si>
    <t>LST-710</t>
  </si>
  <si>
    <t>LST-711</t>
  </si>
  <si>
    <t>LST-712</t>
  </si>
  <si>
    <t>LST-713</t>
  </si>
  <si>
    <t>LST-714</t>
  </si>
  <si>
    <t>LST-715</t>
  </si>
  <si>
    <t>LST-716</t>
  </si>
  <si>
    <t>LST-717</t>
  </si>
  <si>
    <t>LST-718</t>
  </si>
  <si>
    <t>LST-719</t>
  </si>
  <si>
    <t>LST-720</t>
  </si>
  <si>
    <t>Omkar Om Residency</t>
  </si>
  <si>
    <t>Vighnaharta</t>
  </si>
  <si>
    <t>Sai Apartment</t>
  </si>
  <si>
    <t>Girnar Tower</t>
  </si>
  <si>
    <t>Omkar veda</t>
  </si>
  <si>
    <t>Ruparel Ariana</t>
  </si>
  <si>
    <t>Lodha Venezia</t>
  </si>
  <si>
    <t>Peninsula Celestia Spaces</t>
  </si>
  <si>
    <t>Kalpataru Avana</t>
  </si>
  <si>
    <t>Runwal Nirvana</t>
  </si>
  <si>
    <t>Matunga East</t>
  </si>
  <si>
    <t>Matunga West</t>
  </si>
  <si>
    <t>Manav Heights</t>
  </si>
  <si>
    <t>9 Uma Ishaan</t>
  </si>
  <si>
    <t>Bhalchandra Bhuvan Apartment</t>
  </si>
  <si>
    <t>Shantiniketan</t>
  </si>
  <si>
    <t>Riddhi Siddhi Apartment</t>
  </si>
  <si>
    <t>Patel Palace</t>
  </si>
  <si>
    <t>High Samruddhi Heights</t>
  </si>
  <si>
    <t>Jehangir Mansion CHS</t>
  </si>
  <si>
    <t>Aden Court</t>
  </si>
  <si>
    <t>Palai Villa</t>
  </si>
  <si>
    <t>Shanti Niketan Apartment</t>
  </si>
  <si>
    <t>Devi Sadan</t>
  </si>
  <si>
    <t>kanak S</t>
  </si>
  <si>
    <t>Ruparel Iris</t>
  </si>
  <si>
    <t>Manohar Mahal</t>
  </si>
  <si>
    <t>Amar Jeevan CHS</t>
  </si>
  <si>
    <t>Parijat Building</t>
  </si>
  <si>
    <t>Sumit Abode 2</t>
  </si>
  <si>
    <t>Swayam</t>
  </si>
  <si>
    <t>GoodBldg CHS</t>
  </si>
  <si>
    <t>Aangan</t>
  </si>
  <si>
    <t>Good CHS</t>
  </si>
  <si>
    <t>Om Shree Siddhivinayak CHS</t>
  </si>
  <si>
    <t>Aditya Elegance</t>
  </si>
  <si>
    <t>Ms apartment</t>
  </si>
  <si>
    <t>Jewel Crest</t>
  </si>
  <si>
    <t>Jain Society</t>
  </si>
  <si>
    <t>Arihant Residency</t>
  </si>
  <si>
    <t>Raheja Regency</t>
  </si>
  <si>
    <t>Residence society</t>
  </si>
  <si>
    <t>Owners Colony CHS</t>
  </si>
  <si>
    <t>Harsh Tulip</t>
  </si>
  <si>
    <t>Amrit chs</t>
  </si>
  <si>
    <t>Press Enclave</t>
  </si>
  <si>
    <t>V Residence</t>
  </si>
  <si>
    <t>Kalpataru Karmakshetra</t>
  </si>
  <si>
    <t>sham dham</t>
  </si>
  <si>
    <t>Sindhidurg CHS</t>
  </si>
  <si>
    <t>Shiv Sneha CHS</t>
  </si>
  <si>
    <t>Nandavan CHS</t>
  </si>
  <si>
    <t>Kurla East</t>
  </si>
  <si>
    <t>Kurla West</t>
  </si>
  <si>
    <t>LST-721</t>
  </si>
  <si>
    <t>LST-722</t>
  </si>
  <si>
    <t>LST-723</t>
  </si>
  <si>
    <t>LST-724</t>
  </si>
  <si>
    <t>LST-725</t>
  </si>
  <si>
    <t>LST-726</t>
  </si>
  <si>
    <t>LST-727</t>
  </si>
  <si>
    <t>LST-728</t>
  </si>
  <si>
    <t>LST-729</t>
  </si>
  <si>
    <t>LST-730</t>
  </si>
  <si>
    <t>LST-731</t>
  </si>
  <si>
    <t>LST-732</t>
  </si>
  <si>
    <t>LST-733</t>
  </si>
  <si>
    <t>LST-734</t>
  </si>
  <si>
    <t>LST-735</t>
  </si>
  <si>
    <t>LST-736</t>
  </si>
  <si>
    <t>LST-737</t>
  </si>
  <si>
    <t>LST-738</t>
  </si>
  <si>
    <t>LST-739</t>
  </si>
  <si>
    <t>LST-740</t>
  </si>
  <si>
    <t>LST-741</t>
  </si>
  <si>
    <t>LST-742</t>
  </si>
  <si>
    <t>LST-743</t>
  </si>
  <si>
    <t>LST-744</t>
  </si>
  <si>
    <t>LST-745</t>
  </si>
  <si>
    <t>LST-746</t>
  </si>
  <si>
    <t>LST-747</t>
  </si>
  <si>
    <t>LST-748</t>
  </si>
  <si>
    <t>LST-749</t>
  </si>
  <si>
    <t>LST-750</t>
  </si>
  <si>
    <t>LST-751</t>
  </si>
  <si>
    <t>LST-752</t>
  </si>
  <si>
    <t>LST-753</t>
  </si>
  <si>
    <t>LST-754</t>
  </si>
  <si>
    <t>LST-755</t>
  </si>
  <si>
    <t>LST-756</t>
  </si>
  <si>
    <t>LST-757</t>
  </si>
  <si>
    <t>LST-758</t>
  </si>
  <si>
    <t>LST-759</t>
  </si>
  <si>
    <t>LST-760</t>
  </si>
  <si>
    <t>LST-761</t>
  </si>
  <si>
    <t>LST-762</t>
  </si>
  <si>
    <t>LST-763</t>
  </si>
  <si>
    <t>LST-764</t>
  </si>
  <si>
    <t>LST-765</t>
  </si>
  <si>
    <t>LST-766</t>
  </si>
  <si>
    <t>LST-767</t>
  </si>
  <si>
    <t>LST-768</t>
  </si>
  <si>
    <t>LST-769</t>
  </si>
  <si>
    <t>LST-770</t>
  </si>
  <si>
    <t>LST-771</t>
  </si>
  <si>
    <t>LST-772</t>
  </si>
  <si>
    <t>LST-773</t>
  </si>
  <si>
    <t>LST-774</t>
  </si>
  <si>
    <t>LST-775</t>
  </si>
  <si>
    <t>LST-776</t>
  </si>
  <si>
    <t>LST-777</t>
  </si>
  <si>
    <t>LST-778</t>
  </si>
  <si>
    <t>LST-779</t>
  </si>
  <si>
    <t>LST-780</t>
  </si>
  <si>
    <t>LST-781</t>
  </si>
  <si>
    <t>LST-782</t>
  </si>
  <si>
    <t>LST-783</t>
  </si>
  <si>
    <t>LST-784</t>
  </si>
  <si>
    <t>LST-785</t>
  </si>
  <si>
    <t>LST-786</t>
  </si>
  <si>
    <t>LST-787</t>
  </si>
  <si>
    <t>LST-788</t>
  </si>
  <si>
    <t>LST-789</t>
  </si>
  <si>
    <t>LST-790</t>
  </si>
  <si>
    <t>LST-791</t>
  </si>
  <si>
    <t>LST-792</t>
  </si>
  <si>
    <t>LST-793</t>
  </si>
  <si>
    <t>LST-794</t>
  </si>
  <si>
    <t>LST-795</t>
  </si>
  <si>
    <t>LST-796</t>
  </si>
  <si>
    <t>LST-797</t>
  </si>
  <si>
    <t>LST-798</t>
  </si>
  <si>
    <t>LST-799</t>
  </si>
  <si>
    <t>SKG Eastern Winds</t>
  </si>
  <si>
    <t>Sayba Elegant</t>
  </si>
  <si>
    <t>Amrut CHS</t>
  </si>
  <si>
    <t>Goyal Ambarish Heights</t>
  </si>
  <si>
    <t>Shree Gavdevi Kamgar CHS</t>
  </si>
  <si>
    <t>Roha Vatika</t>
  </si>
  <si>
    <t>Star Sayba Opal</t>
  </si>
  <si>
    <t>Deraiya Nehru Nagar Nirmal Chs</t>
  </si>
  <si>
    <t>Advait Bliss</t>
  </si>
  <si>
    <t>Shivsrushti Apartment</t>
  </si>
  <si>
    <t>Gagangiri Gagan 45</t>
  </si>
  <si>
    <t>Om Nandadeep CHS</t>
  </si>
  <si>
    <t>BKC Crown</t>
  </si>
  <si>
    <t>Omkar Vive</t>
  </si>
  <si>
    <t>Kohinoor City</t>
  </si>
  <si>
    <t>Omkar Meridia</t>
  </si>
  <si>
    <t>Star Sayba Sapphire</t>
  </si>
  <si>
    <t>Om Niwas Society</t>
  </si>
  <si>
    <t>Kohinoor City Phase 2</t>
  </si>
  <si>
    <t>Kohinoor Phase III</t>
  </si>
  <si>
    <t>Satya Jivan</t>
  </si>
  <si>
    <t>Vidyavihar East</t>
  </si>
  <si>
    <t>Vidyavihar West</t>
  </si>
  <si>
    <t>Shankar vijay</t>
  </si>
  <si>
    <t>BaldevSingh chs</t>
  </si>
  <si>
    <t>yashoda heights</t>
  </si>
  <si>
    <t>Yashodhan Niwas</t>
  </si>
  <si>
    <t>Neelkanth Vihar</t>
  </si>
  <si>
    <t>Kumar Parasmani</t>
  </si>
  <si>
    <t>Vallabh Tej Bhuvan</t>
  </si>
  <si>
    <t>Nest bldg</t>
  </si>
  <si>
    <t>rajawadi chs</t>
  </si>
  <si>
    <t>Shiv Jyoti Apartment</t>
  </si>
  <si>
    <t>Pramod CHS</t>
  </si>
  <si>
    <t>Prathmesh Tanishq Residency</t>
  </si>
  <si>
    <t>Kalpana Srushti</t>
  </si>
  <si>
    <t>HDIL Premier Exotica</t>
  </si>
  <si>
    <t>Atlantic Laxmi Residency</t>
  </si>
  <si>
    <t>Skyline Oasis</t>
  </si>
  <si>
    <t>Plaha And Mehta Arihant</t>
  </si>
  <si>
    <t>Neelkanth Kingdom</t>
  </si>
  <si>
    <t>Ghatkopar East</t>
  </si>
  <si>
    <t>Ghatkopar West</t>
  </si>
  <si>
    <t>Shreeji Laxmi</t>
  </si>
  <si>
    <t>MICL Aaradhya One Earth</t>
  </si>
  <si>
    <t>Shree Laxmi Narayan</t>
  </si>
  <si>
    <t>Gurukrupa Devam Majesty</t>
  </si>
  <si>
    <t>HS Samarpan</t>
  </si>
  <si>
    <t>Rising City</t>
  </si>
  <si>
    <t>Shubham Sarayu</t>
  </si>
  <si>
    <t>Hubtown Rising City</t>
  </si>
  <si>
    <t>Drushti Sapphire</t>
  </si>
  <si>
    <t>Milan Milap CHS</t>
  </si>
  <si>
    <t>Tanishkaa Vikrant</t>
  </si>
  <si>
    <t>Royal Altezza</t>
  </si>
  <si>
    <t>Garodia Palace</t>
  </si>
  <si>
    <t>The Meridian Towers</t>
  </si>
  <si>
    <t>Suvidha Apartment</t>
  </si>
  <si>
    <t>Gagan Vihar CHS</t>
  </si>
  <si>
    <t>Swagat Society</t>
  </si>
  <si>
    <t>Sukh Shantiniketan Chs</t>
  </si>
  <si>
    <t>Kalpataru Aura</t>
  </si>
  <si>
    <t>Wadhwa Promenade</t>
  </si>
  <si>
    <t>Vikram Apartments</t>
  </si>
  <si>
    <t>Sai Everest Garden View</t>
  </si>
  <si>
    <t>Wadhwa Boulevard</t>
  </si>
  <si>
    <t>Runwal The Orchard Residency</t>
  </si>
  <si>
    <t>Silver Matruprabha</t>
  </si>
  <si>
    <t>Neelkanth Enclave</t>
  </si>
  <si>
    <t>Vikhroli East</t>
  </si>
  <si>
    <t>Vikhroli West</t>
  </si>
  <si>
    <t>Adityaraj Royale</t>
  </si>
  <si>
    <t>Shraddha Opulent</t>
  </si>
  <si>
    <t>Godrej Origins</t>
  </si>
  <si>
    <t>LST-800</t>
  </si>
  <si>
    <t>LST-801</t>
  </si>
  <si>
    <t>LST-802</t>
  </si>
  <si>
    <t>LST-803</t>
  </si>
  <si>
    <t>LST-804</t>
  </si>
  <si>
    <t>LST-805</t>
  </si>
  <si>
    <t>LST-806</t>
  </si>
  <si>
    <t>LST-807</t>
  </si>
  <si>
    <t>LST-808</t>
  </si>
  <si>
    <t>LST-809</t>
  </si>
  <si>
    <t>LST-810</t>
  </si>
  <si>
    <t>LST-811</t>
  </si>
  <si>
    <t>LST-812</t>
  </si>
  <si>
    <t>LST-813</t>
  </si>
  <si>
    <t>LST-814</t>
  </si>
  <si>
    <t>LST-815</t>
  </si>
  <si>
    <t>LST-816</t>
  </si>
  <si>
    <t>LST-817</t>
  </si>
  <si>
    <t>LST-818</t>
  </si>
  <si>
    <t>LST-819</t>
  </si>
  <si>
    <t>LST-820</t>
  </si>
  <si>
    <t>LST-821</t>
  </si>
  <si>
    <t>LST-822</t>
  </si>
  <si>
    <t>LST-823</t>
  </si>
  <si>
    <t>LST-824</t>
  </si>
  <si>
    <t>LST-825</t>
  </si>
  <si>
    <t>LST-826</t>
  </si>
  <si>
    <t>LST-827</t>
  </si>
  <si>
    <t>LST-828</t>
  </si>
  <si>
    <t>LST-829</t>
  </si>
  <si>
    <t>LST-830</t>
  </si>
  <si>
    <t>LST-831</t>
  </si>
  <si>
    <t>LST-832</t>
  </si>
  <si>
    <t>LST-833</t>
  </si>
  <si>
    <t>LST-834</t>
  </si>
  <si>
    <t>LST-835</t>
  </si>
  <si>
    <t>LST-836</t>
  </si>
  <si>
    <t>LST-837</t>
  </si>
  <si>
    <t>LST-838</t>
  </si>
  <si>
    <t>LST-839</t>
  </si>
  <si>
    <t>LST-840</t>
  </si>
  <si>
    <t>LST-841</t>
  </si>
  <si>
    <t>LST-842</t>
  </si>
  <si>
    <t>LST-843</t>
  </si>
  <si>
    <t>LST-844</t>
  </si>
  <si>
    <t>LST-845</t>
  </si>
  <si>
    <t>LST-846</t>
  </si>
  <si>
    <t>LST-847</t>
  </si>
  <si>
    <t>LST-848</t>
  </si>
  <si>
    <t>LST-849</t>
  </si>
  <si>
    <t>LST-850</t>
  </si>
  <si>
    <t>LST-851</t>
  </si>
  <si>
    <t>LST-852</t>
  </si>
  <si>
    <t>LST-853</t>
  </si>
  <si>
    <t>LST-854</t>
  </si>
  <si>
    <t>LST-855</t>
  </si>
  <si>
    <t>LST-856</t>
  </si>
  <si>
    <t>LST-857</t>
  </si>
  <si>
    <t>LST-858</t>
  </si>
  <si>
    <t>LST-859</t>
  </si>
  <si>
    <t>LST-860</t>
  </si>
  <si>
    <t>LST-861</t>
  </si>
  <si>
    <t>LST-862</t>
  </si>
  <si>
    <t>LST-863</t>
  </si>
  <si>
    <t>Godrej The Trees</t>
  </si>
  <si>
    <t>Shraddha Passion</t>
  </si>
  <si>
    <t>Godrej Platinum</t>
  </si>
  <si>
    <t>Geetai Siena</t>
  </si>
  <si>
    <t>Adityaraj Breeze</t>
  </si>
  <si>
    <t>Swastik Tulip</t>
  </si>
  <si>
    <t>Swastik Platinum</t>
  </si>
  <si>
    <t>Adityaraj landmark</t>
  </si>
  <si>
    <t>Aikya Roots</t>
  </si>
  <si>
    <t>Lok Gaurav CHS</t>
  </si>
  <si>
    <t>Mayfair The View</t>
  </si>
  <si>
    <t>Mayfair Hillcrest</t>
  </si>
  <si>
    <t>Shiv Krupa</t>
  </si>
  <si>
    <t>Blumen</t>
  </si>
  <si>
    <t>Mayfair Sonata Greens</t>
  </si>
  <si>
    <t>Raj Splendour</t>
  </si>
  <si>
    <t>Kanjurmarg East</t>
  </si>
  <si>
    <t>Kanakia Zen World</t>
  </si>
  <si>
    <t>Arkade Earth</t>
  </si>
  <si>
    <t>Garden Heights</t>
  </si>
  <si>
    <t>guru krupa</t>
  </si>
  <si>
    <t>Aadi Allure</t>
  </si>
  <si>
    <t>Lodha Aurum Grande</t>
  </si>
  <si>
    <t>Runwal Bliss</t>
  </si>
  <si>
    <t>N G Royal Park</t>
  </si>
  <si>
    <t>NG Royal Park</t>
  </si>
  <si>
    <t>Runwal Forests</t>
  </si>
  <si>
    <t>Sheth Avante</t>
  </si>
  <si>
    <t>GMLR PROJECT</t>
  </si>
  <si>
    <t>Ajanta Society</t>
  </si>
  <si>
    <t>Mahindra Great Eastern Gardens</t>
  </si>
  <si>
    <t>Gundecha Altura</t>
  </si>
  <si>
    <t>DSS Mahavir Trinkets</t>
  </si>
  <si>
    <t>DSS Mahavir Majestik</t>
  </si>
  <si>
    <t>Gundecha Heights</t>
  </si>
  <si>
    <t>Lily Runwal Forests</t>
  </si>
  <si>
    <t>Bhandup East</t>
  </si>
  <si>
    <t>Bhandup West</t>
  </si>
  <si>
    <t>LST-864</t>
  </si>
  <si>
    <t>LST-865</t>
  </si>
  <si>
    <t>LST-866</t>
  </si>
  <si>
    <t>LST-867</t>
  </si>
  <si>
    <t>LST-868</t>
  </si>
  <si>
    <t>LST-869</t>
  </si>
  <si>
    <t>LST-870</t>
  </si>
  <si>
    <t>LST-871</t>
  </si>
  <si>
    <t>LST-872</t>
  </si>
  <si>
    <t>LST-873</t>
  </si>
  <si>
    <t>LST-874</t>
  </si>
  <si>
    <t>LST-875</t>
  </si>
  <si>
    <t>LST-876</t>
  </si>
  <si>
    <t>LST-877</t>
  </si>
  <si>
    <t>LST-878</t>
  </si>
  <si>
    <t>LST-879</t>
  </si>
  <si>
    <t>LST-880</t>
  </si>
  <si>
    <t>LST-881</t>
  </si>
  <si>
    <t>LST-882</t>
  </si>
  <si>
    <t>LST-883</t>
  </si>
  <si>
    <t>LST-884</t>
  </si>
  <si>
    <t>LST-885</t>
  </si>
  <si>
    <t>LST-886</t>
  </si>
  <si>
    <t>LST-887</t>
  </si>
  <si>
    <t>LST-888</t>
  </si>
  <si>
    <t>LST-889</t>
  </si>
  <si>
    <t>LST-890</t>
  </si>
  <si>
    <t>LST-891</t>
  </si>
  <si>
    <t>LST-892</t>
  </si>
  <si>
    <t>LST-893</t>
  </si>
  <si>
    <t>LST-894</t>
  </si>
  <si>
    <t>LST-895</t>
  </si>
  <si>
    <t>LST-896</t>
  </si>
  <si>
    <t>LST-897</t>
  </si>
  <si>
    <t>LST-898</t>
  </si>
  <si>
    <t>LST-899</t>
  </si>
  <si>
    <t>LST-900</t>
  </si>
  <si>
    <t>LST-901</t>
  </si>
  <si>
    <t>LST-902</t>
  </si>
  <si>
    <t>LST-903</t>
  </si>
  <si>
    <t>LST-904</t>
  </si>
  <si>
    <t>LST-905</t>
  </si>
  <si>
    <t>LST-906</t>
  </si>
  <si>
    <t>LST-907</t>
  </si>
  <si>
    <t>LST-908</t>
  </si>
  <si>
    <t>LST-909</t>
  </si>
  <si>
    <t>LST-910</t>
  </si>
  <si>
    <t>LST-911</t>
  </si>
  <si>
    <t>LST-912</t>
  </si>
  <si>
    <t>LST-913</t>
  </si>
  <si>
    <t>LST-914</t>
  </si>
  <si>
    <t>LST-915</t>
  </si>
  <si>
    <t>LST-916</t>
  </si>
  <si>
    <t>LST-917</t>
  </si>
  <si>
    <t>LST-918</t>
  </si>
  <si>
    <t>LST-919</t>
  </si>
  <si>
    <t>LST-920</t>
  </si>
  <si>
    <t>LST-921</t>
  </si>
  <si>
    <t>LST-922</t>
  </si>
  <si>
    <t>LST-923</t>
  </si>
  <si>
    <t>LST-924</t>
  </si>
  <si>
    <t>LST-925</t>
  </si>
  <si>
    <t>LST-926</t>
  </si>
  <si>
    <t>LST-927</t>
  </si>
  <si>
    <t>LST-928</t>
  </si>
  <si>
    <t>LST-929</t>
  </si>
  <si>
    <t>LST-930</t>
  </si>
  <si>
    <t>LST-931</t>
  </si>
  <si>
    <t>LST-932</t>
  </si>
  <si>
    <t>LST-933</t>
  </si>
  <si>
    <t>LST-934</t>
  </si>
  <si>
    <t>LST-935</t>
  </si>
  <si>
    <t>LST-936</t>
  </si>
  <si>
    <t>LST-937</t>
  </si>
  <si>
    <t>LST-938</t>
  </si>
  <si>
    <t>LST-939</t>
  </si>
  <si>
    <t>LST-940</t>
  </si>
  <si>
    <t>LST-941</t>
  </si>
  <si>
    <t>LST-942</t>
  </si>
  <si>
    <t>LST-943</t>
  </si>
  <si>
    <t>LST-944</t>
  </si>
  <si>
    <t>LST-945</t>
  </si>
  <si>
    <t>LST-946</t>
  </si>
  <si>
    <t>LST-947</t>
  </si>
  <si>
    <t>LST-948</t>
  </si>
  <si>
    <t>LST-949</t>
  </si>
  <si>
    <t>LST-950</t>
  </si>
  <si>
    <t>LST-951</t>
  </si>
  <si>
    <t>LST-952</t>
  </si>
  <si>
    <t>LST-953</t>
  </si>
  <si>
    <t>LST-954</t>
  </si>
  <si>
    <t>LST-955</t>
  </si>
  <si>
    <t>LST-956</t>
  </si>
  <si>
    <t>LST-957</t>
  </si>
  <si>
    <t>LST-958</t>
  </si>
  <si>
    <t>LST-959</t>
  </si>
  <si>
    <t>LST-960</t>
  </si>
  <si>
    <t>LST-961</t>
  </si>
  <si>
    <t>LST-962</t>
  </si>
  <si>
    <t>LST-963</t>
  </si>
  <si>
    <t>LST-964</t>
  </si>
  <si>
    <t>LST-965</t>
  </si>
  <si>
    <t>LST-966</t>
  </si>
  <si>
    <t>LST-967</t>
  </si>
  <si>
    <t>LST-968</t>
  </si>
  <si>
    <t>LST-969</t>
  </si>
  <si>
    <t>LST-970</t>
  </si>
  <si>
    <t>LST-971</t>
  </si>
  <si>
    <t>LST-972</t>
  </si>
  <si>
    <t>LST-973</t>
  </si>
  <si>
    <t>LST-974</t>
  </si>
  <si>
    <t>LST-975</t>
  </si>
  <si>
    <t>LST-976</t>
  </si>
  <si>
    <t>LST-977</t>
  </si>
  <si>
    <t>LST-978</t>
  </si>
  <si>
    <t>LST-979</t>
  </si>
  <si>
    <t>LST-980</t>
  </si>
  <si>
    <t>LST-981</t>
  </si>
  <si>
    <t>LST-982</t>
  </si>
  <si>
    <t>LST-983</t>
  </si>
  <si>
    <t>LST-984</t>
  </si>
  <si>
    <t>LST-985</t>
  </si>
  <si>
    <t>LST-986</t>
  </si>
  <si>
    <t>LST-987</t>
  </si>
  <si>
    <t>LST-988</t>
  </si>
  <si>
    <t>LST-989</t>
  </si>
  <si>
    <t>LST-990</t>
  </si>
  <si>
    <t>LST-991</t>
  </si>
  <si>
    <t>LST-992</t>
  </si>
  <si>
    <t>LST-993</t>
  </si>
  <si>
    <t>LST-994</t>
  </si>
  <si>
    <t>LST-995</t>
  </si>
  <si>
    <t>LST-996</t>
  </si>
  <si>
    <t>LST-997</t>
  </si>
  <si>
    <t>LST-998</t>
  </si>
  <si>
    <t>LST-999</t>
  </si>
  <si>
    <t>LST-1000</t>
  </si>
  <si>
    <t>RUNWAL GARDEN HEIGHTS</t>
  </si>
  <si>
    <t>Pragati Apartment</t>
  </si>
  <si>
    <t>Bell Heaven CHS</t>
  </si>
  <si>
    <t>Aakruti Matoshree Park</t>
  </si>
  <si>
    <t>Anant Ashirwad</t>
  </si>
  <si>
    <t>Neptune Complex</t>
  </si>
  <si>
    <t>Jyoti Isha Vasyam</t>
  </si>
  <si>
    <t>Trimurti Goodwill CHS</t>
  </si>
  <si>
    <t>Chaitanya CHS</t>
  </si>
  <si>
    <t>GHP Souvenir</t>
  </si>
  <si>
    <t>Devarshi Apartments</t>
  </si>
  <si>
    <t>Akanksha Apartment</t>
  </si>
  <si>
    <t>Neelam Senroofs</t>
  </si>
  <si>
    <t>Dreams</t>
  </si>
  <si>
    <t>Kailash Complex</t>
  </si>
  <si>
    <t>Mayuresh Srishti</t>
  </si>
  <si>
    <t>Swastik CHS</t>
  </si>
  <si>
    <t>Mahresh Park</t>
  </si>
  <si>
    <t>Barkha CHS</t>
  </si>
  <si>
    <t>Kalpataru Crest</t>
  </si>
  <si>
    <t>Sunshine Samriddhi Garden</t>
  </si>
  <si>
    <t>Dreams Complex</t>
  </si>
  <si>
    <t>Rustomjee Bella</t>
  </si>
  <si>
    <t>Neptune Living Point</t>
  </si>
  <si>
    <t>Lodha Imperia</t>
  </si>
  <si>
    <t>Piramal Revanta</t>
  </si>
  <si>
    <t>Sita Kutir Chs</t>
  </si>
  <si>
    <t>Shree Ratan</t>
  </si>
  <si>
    <t>Gala Nagar Chs</t>
  </si>
  <si>
    <t>Sarvodaya Nagar</t>
  </si>
  <si>
    <t>Kalpataru Elitus</t>
  </si>
  <si>
    <t>Sheth Montana</t>
  </si>
  <si>
    <t>L&amp;T Rejuve 360</t>
  </si>
  <si>
    <t>Runwal Sanctuary</t>
  </si>
  <si>
    <t>Prestige Siesta</t>
  </si>
  <si>
    <t>The Prestige City</t>
  </si>
  <si>
    <t>Runwal Greens</t>
  </si>
  <si>
    <t>Prem Vishnu</t>
  </si>
  <si>
    <t>Destiny Height</t>
  </si>
  <si>
    <t>Runwal Heritage</t>
  </si>
  <si>
    <t>Gagangiri Tower</t>
  </si>
  <si>
    <t>Manav Apartment</t>
  </si>
  <si>
    <t>Sai Flora</t>
  </si>
  <si>
    <t>Gagangiri Elanza</t>
  </si>
  <si>
    <t>Vidya Chs</t>
  </si>
  <si>
    <t>Sainath Vrindavan</t>
  </si>
  <si>
    <t>Palkhee society</t>
  </si>
  <si>
    <t>Indu Enterprise Ankoor CHS</t>
  </si>
  <si>
    <t>ankurdev Danvijay</t>
  </si>
  <si>
    <t>Sainath Towers</t>
  </si>
  <si>
    <t>A V JVM</t>
  </si>
  <si>
    <t>Shiv Sadhana Chs</t>
  </si>
  <si>
    <t>Hiranandani The Walk</t>
  </si>
  <si>
    <t>New Hill View Chs</t>
  </si>
  <si>
    <t>Raunak Bliss</t>
  </si>
  <si>
    <t>KIPL Morya</t>
  </si>
  <si>
    <t>Haware Citi</t>
  </si>
  <si>
    <t>Windsor CHS</t>
  </si>
  <si>
    <t>Kalpataru Sunrise</t>
  </si>
  <si>
    <t>Runwal Eirene</t>
  </si>
  <si>
    <t>Crown Kolshet</t>
  </si>
  <si>
    <t>Immensa</t>
  </si>
  <si>
    <t>Piramal Vaikunth</t>
  </si>
  <si>
    <t>Dosti West County</t>
  </si>
  <si>
    <t>Godrej Emerald</t>
  </si>
  <si>
    <t>Hiranandani Crown</t>
  </si>
  <si>
    <t>Sunil Raj CHS</t>
  </si>
  <si>
    <t>Yogi Anusaya CHS</t>
  </si>
  <si>
    <t>Chatrapati Shivaji CHS</t>
  </si>
  <si>
    <t>Ramdarshan</t>
  </si>
  <si>
    <t>Nirmal Jeevan CHS</t>
  </si>
  <si>
    <t>Villa Royale</t>
  </si>
  <si>
    <t>park view</t>
  </si>
  <si>
    <t>Kishin leela</t>
  </si>
  <si>
    <t>Shree Gurunanak CHS</t>
  </si>
  <si>
    <t>Jai Santoshi Mata CHS</t>
  </si>
  <si>
    <t>Sai Tirth</t>
  </si>
  <si>
    <t>Dombivli East</t>
  </si>
  <si>
    <t>Dombivli West</t>
  </si>
  <si>
    <t>Lodha Casa Bella</t>
  </si>
  <si>
    <t>Lodha Palava Casa Eviva</t>
  </si>
  <si>
    <t>Runwal My City</t>
  </si>
  <si>
    <t>Lodha Palava Downtown</t>
  </si>
  <si>
    <t>Sarvodaya Leela</t>
  </si>
  <si>
    <t>Lodha CBG Sophistica</t>
  </si>
  <si>
    <t>Lodha Casa Foresta</t>
  </si>
  <si>
    <t>Lodha Palava Lakeshore Green</t>
  </si>
  <si>
    <t>Siddharth Riverwood Park</t>
  </si>
  <si>
    <t>Maruti Mahadev Nagar CHS</t>
  </si>
  <si>
    <t>Casa Rio Palava</t>
  </si>
  <si>
    <t>Pragati chs</t>
  </si>
  <si>
    <t>EVAAN CHS</t>
  </si>
  <si>
    <t>Nandadeep arcade</t>
  </si>
  <si>
    <t>Sai Tirth Society</t>
  </si>
  <si>
    <t>Yashwant balu kathe Niwas</t>
  </si>
  <si>
    <t>Pragati Residency</t>
  </si>
  <si>
    <t>OM sai</t>
  </si>
  <si>
    <t>Vrindavan Complex</t>
  </si>
  <si>
    <t>Swaminarayan City</t>
  </si>
  <si>
    <t>Sindhu Sagar Apartments</t>
  </si>
  <si>
    <t>Pandurang Ashish CHS</t>
  </si>
  <si>
    <t>Kalyan East</t>
  </si>
  <si>
    <t>Kalyan West</t>
  </si>
  <si>
    <t>Krishna Square</t>
  </si>
  <si>
    <t>Seasons Sahara</t>
  </si>
  <si>
    <t>Kohinoor Eden</t>
  </si>
  <si>
    <t>Prabhat Mangeshi Era</t>
  </si>
  <si>
    <t>Triveni CHS</t>
  </si>
  <si>
    <t>Raj apartment</t>
  </si>
  <si>
    <t>Dasrath Apartment</t>
  </si>
  <si>
    <t>Yashraj Paradise</t>
  </si>
  <si>
    <t>Shree Hari Apartment</t>
  </si>
  <si>
    <t>Krishna Paradise</t>
  </si>
  <si>
    <t>Durga Imperial</t>
  </si>
  <si>
    <t>West Pioneer Metro Grande</t>
  </si>
  <si>
    <t>Rai Heritage</t>
  </si>
  <si>
    <t>Raunak city</t>
  </si>
  <si>
    <t>Tharwani Vedant Palacia</t>
  </si>
  <si>
    <t>Mangeshi Flora</t>
  </si>
  <si>
    <t>Regency Garden</t>
  </si>
  <si>
    <t>Jai Hind Society</t>
  </si>
  <si>
    <t>Purnima Tower</t>
  </si>
  <si>
    <t>Niraj Park</t>
  </si>
  <si>
    <t>Tharwani Majestic Towers</t>
  </si>
  <si>
    <t>Sai Sankul</t>
  </si>
  <si>
    <t>Wayle nagar</t>
  </si>
  <si>
    <t>Prafulla Paradise</t>
  </si>
  <si>
    <t>Amantra</t>
  </si>
  <si>
    <t>shree krishna apartment</t>
  </si>
  <si>
    <t>Tharwani Rosalie</t>
  </si>
  <si>
    <t>Guru Atman</t>
  </si>
  <si>
    <t>LST-1001</t>
  </si>
  <si>
    <t>LST-1002</t>
  </si>
  <si>
    <t>LST-1003</t>
  </si>
  <si>
    <t>LST-1004</t>
  </si>
  <si>
    <t>LST-1005</t>
  </si>
  <si>
    <t>LST-1006</t>
  </si>
  <si>
    <t>LST-1007</t>
  </si>
  <si>
    <t>LST-1008</t>
  </si>
  <si>
    <t>LST-1009</t>
  </si>
  <si>
    <t>LST-1010</t>
  </si>
  <si>
    <t>LST-1011</t>
  </si>
  <si>
    <t>LST-1012</t>
  </si>
  <si>
    <t>LST-1013</t>
  </si>
  <si>
    <t>LST-1014</t>
  </si>
  <si>
    <t>LST-1015</t>
  </si>
  <si>
    <t>LST-1016</t>
  </si>
  <si>
    <t>LST-1017</t>
  </si>
  <si>
    <t>LST-1018</t>
  </si>
  <si>
    <t>LST-1019</t>
  </si>
  <si>
    <t>LST-1020</t>
  </si>
  <si>
    <t>LST-1021</t>
  </si>
  <si>
    <t>LST-1022</t>
  </si>
  <si>
    <t>LST-1023</t>
  </si>
  <si>
    <t>Takshashila Loknagari CHS</t>
  </si>
  <si>
    <t>Ambarnath Jaihind</t>
  </si>
  <si>
    <t>Panvelkar Classic</t>
  </si>
  <si>
    <t>sai krupa</t>
  </si>
  <si>
    <t>Ajit CHS</t>
  </si>
  <si>
    <t>Charms Global City</t>
  </si>
  <si>
    <t>Empire Industrial Centrum</t>
  </si>
  <si>
    <t>GBK Vishwajeet Empire NX</t>
  </si>
  <si>
    <t>Aswam Chs</t>
  </si>
  <si>
    <t>Patel Ram Ambar</t>
  </si>
  <si>
    <t>Panvelkar Campus</t>
  </si>
  <si>
    <t>Atul Apts</t>
  </si>
  <si>
    <t>Katrap Chowk</t>
  </si>
  <si>
    <t>Dashmesh Empire</t>
  </si>
  <si>
    <t>mohan willows</t>
  </si>
  <si>
    <t>Arihant Anmol Chs</t>
  </si>
  <si>
    <t>Ram Rivera</t>
  </si>
  <si>
    <t>Godrej Vihaa</t>
  </si>
  <si>
    <t>ARC Manorama Nagar</t>
  </si>
  <si>
    <t>Shri Krishna Heights</t>
  </si>
  <si>
    <t>Rajai Uma Shankar CHS</t>
  </si>
  <si>
    <t>Parth Complex</t>
  </si>
  <si>
    <t>Jigar Umiya Nakshatra</t>
  </si>
  <si>
    <t>Shree Galaxy Heights</t>
  </si>
  <si>
    <t>Shiv Residency</t>
  </si>
  <si>
    <t>Usha Kiran Residency</t>
  </si>
  <si>
    <t>Pranjee Garden City</t>
  </si>
  <si>
    <t>Lodha New Cuffe Parade</t>
  </si>
  <si>
    <t>Ajmera Greenfinity</t>
  </si>
  <si>
    <t>Ajmera Bhakti Park</t>
  </si>
  <si>
    <t>Odyssey CHS</t>
  </si>
  <si>
    <t>Comet Apartment</t>
  </si>
  <si>
    <t>Bhaveswar Vijay</t>
  </si>
  <si>
    <t>Dosti Eastern Bay</t>
  </si>
  <si>
    <t>Dosti Acres Aster</t>
  </si>
  <si>
    <t>Lodha Estrella</t>
  </si>
  <si>
    <t>Lodha Aura New Cuffe Parade</t>
  </si>
  <si>
    <t>Lodha Dioro</t>
  </si>
  <si>
    <t>Lodha Elisium</t>
  </si>
  <si>
    <t>Ajmera Treon</t>
  </si>
  <si>
    <t>Chembur East</t>
  </si>
  <si>
    <t>Chembur West</t>
  </si>
  <si>
    <t>Meena Towers Apartment</t>
  </si>
  <si>
    <t>Sai Swayam</t>
  </si>
  <si>
    <t>Akshar Amar Mansion</t>
  </si>
  <si>
    <t>Rajyog Odina</t>
  </si>
  <si>
    <t>Sindhi Society</t>
  </si>
  <si>
    <t>Godrej Prime</t>
  </si>
  <si>
    <t>Mahalaxmi Heritage</t>
  </si>
  <si>
    <t>Wadhwa Dukes Horizon</t>
  </si>
  <si>
    <t>Laxmi legacy</t>
  </si>
  <si>
    <t>Krishna Heights</t>
  </si>
  <si>
    <t>Diamond Garden</t>
  </si>
  <si>
    <t>Sai Sanskar</t>
  </si>
  <si>
    <t>Akshay Apartment</t>
  </si>
  <si>
    <t>Atur Park</t>
  </si>
  <si>
    <t>Srinagar CHS</t>
  </si>
  <si>
    <t>Vrushali Villa</t>
  </si>
  <si>
    <t>Om Shree Shanti Kunj</t>
  </si>
  <si>
    <t>Navrang Apartment</t>
  </si>
  <si>
    <t>The Eagle CHS</t>
  </si>
  <si>
    <t>sneh parag</t>
  </si>
  <si>
    <t>Oswal Heights</t>
  </si>
  <si>
    <t>Radhika Residency</t>
  </si>
  <si>
    <t>Nisarg CHS</t>
  </si>
  <si>
    <t>Elite The crown</t>
  </si>
  <si>
    <t>Krushal Towers</t>
  </si>
  <si>
    <t>Varad Heights</t>
  </si>
  <si>
    <t>Gami Jaydeep Elanza</t>
  </si>
  <si>
    <t>Haware Intelligentia Infinity</t>
  </si>
  <si>
    <t>Silicon Heritage</t>
  </si>
  <si>
    <t>Shree Mangal CHS</t>
  </si>
  <si>
    <t>Bombay Links CHS</t>
  </si>
  <si>
    <t>Sai Krupa</t>
  </si>
  <si>
    <t>anuraj</t>
  </si>
  <si>
    <t>Om chs</t>
  </si>
  <si>
    <t>Manokamna CHS</t>
  </si>
  <si>
    <t>M G Complex</t>
  </si>
  <si>
    <t>Lok Terraces CHS</t>
  </si>
  <si>
    <t>Vidhani Mount View</t>
  </si>
  <si>
    <t>shree Ganesh</t>
  </si>
  <si>
    <t>EV Shraddha CHS</t>
  </si>
  <si>
    <t>Gami Jade</t>
  </si>
  <si>
    <t>Metro Aykon</t>
  </si>
  <si>
    <t>Arihant Sparsh</t>
  </si>
  <si>
    <t>EV 10 Marina Bay</t>
  </si>
  <si>
    <t>Aurum Q Residences</t>
  </si>
  <si>
    <t>Mahesh Apartment</t>
  </si>
  <si>
    <t>Elegant Yashraj Heights</t>
  </si>
  <si>
    <t>Megh Malhar</t>
  </si>
  <si>
    <t>vinayaka</t>
  </si>
  <si>
    <t>Chamunda Heights</t>
  </si>
  <si>
    <t>B and M Atlantis</t>
  </si>
  <si>
    <t>Shakti Calista</t>
  </si>
  <si>
    <t>Sainath Galaxy</t>
  </si>
  <si>
    <t>RNA NG Grand Plaza</t>
  </si>
  <si>
    <t>Bhagwati Eleganza</t>
  </si>
  <si>
    <t>Gami Asters</t>
  </si>
  <si>
    <t>Sai Ganesh</t>
  </si>
  <si>
    <t>shree heights</t>
  </si>
  <si>
    <t>Parth Lakefront</t>
  </si>
  <si>
    <t>Ashapura Park</t>
  </si>
  <si>
    <t>Shiv Darshan</t>
  </si>
  <si>
    <t>Bhumi Raj Meadows</t>
  </si>
  <si>
    <t>Topaz Apartments</t>
  </si>
  <si>
    <t>Riddhi Siddhi Heritage</t>
  </si>
  <si>
    <t>Sai Aracde Chs</t>
  </si>
  <si>
    <t>Pyramid Elements</t>
  </si>
  <si>
    <t>Dakshina CHS</t>
  </si>
  <si>
    <t>Mahavir Plaza</t>
  </si>
  <si>
    <t>Kasturi Tower</t>
  </si>
  <si>
    <t>Goodwill Harmony</t>
  </si>
  <si>
    <t>Green World</t>
  </si>
  <si>
    <t>Newa Garden</t>
  </si>
  <si>
    <t>Indiabulls Greens</t>
  </si>
  <si>
    <t>A R Kalandee</t>
  </si>
  <si>
    <t>Geomatrix Silver Crest</t>
  </si>
  <si>
    <t>Today Wisdom</t>
  </si>
  <si>
    <t>Shraddha Sankul chs</t>
  </si>
  <si>
    <t>Kalpataru Park Riviera</t>
  </si>
  <si>
    <t>Shree Amrut Garden</t>
  </si>
  <si>
    <t>Sairama Autograph</t>
  </si>
  <si>
    <t>India Bulls Green</t>
  </si>
  <si>
    <t>Neelsidhi Amarante</t>
  </si>
  <si>
    <t>Riddhi Siddhi Residency</t>
  </si>
  <si>
    <t>Crown Imperial Tower</t>
  </si>
  <si>
    <t>Paradise Sai World City</t>
  </si>
  <si>
    <t>Marathon Nexzone</t>
  </si>
  <si>
    <t>Patel Apartment</t>
  </si>
  <si>
    <t>Poonam Apartments</t>
  </si>
  <si>
    <t>Lokhandwala Lady Ratan Tower</t>
  </si>
  <si>
    <t>Pankaj Mansion</t>
  </si>
  <si>
    <t>shiv sagar</t>
  </si>
  <si>
    <t>Lodha The Park</t>
  </si>
  <si>
    <t>Lodha Adrina</t>
  </si>
  <si>
    <t>Lodha Kiara</t>
  </si>
  <si>
    <t>Himalaya CHS</t>
  </si>
  <si>
    <t>Venus CHS</t>
  </si>
  <si>
    <t>Lodha Trump Tower</t>
  </si>
  <si>
    <t>Lodha World Towers</t>
  </si>
  <si>
    <t>Sheth Vasant Oasis</t>
  </si>
  <si>
    <t>Bhavani Nagar CHS</t>
  </si>
  <si>
    <t>Eco Residency</t>
  </si>
  <si>
    <t>Lok Yamuna</t>
  </si>
  <si>
    <t>Naman Premier</t>
  </si>
  <si>
    <t>Lok Raunak</t>
  </si>
  <si>
    <t>Kanakia Sevens</t>
  </si>
  <si>
    <t>Blossom CHS</t>
  </si>
  <si>
    <t>Bhavani Nagar</t>
  </si>
  <si>
    <t>Kanakia Rainforest</t>
  </si>
  <si>
    <t>Udyan Complex</t>
  </si>
  <si>
    <t>Proxima Residences</t>
  </si>
  <si>
    <t>Eco Park</t>
  </si>
  <si>
    <t>LST-1024</t>
  </si>
  <si>
    <t>LST-1025</t>
  </si>
  <si>
    <t>LST-1026</t>
  </si>
  <si>
    <t>LST-1027</t>
  </si>
  <si>
    <t>LST-1028</t>
  </si>
  <si>
    <t>LST-1029</t>
  </si>
  <si>
    <t>LST-1030</t>
  </si>
  <si>
    <t>LST-1031</t>
  </si>
  <si>
    <t>LST-1032</t>
  </si>
  <si>
    <t>LST-1033</t>
  </si>
  <si>
    <t>LST-1034</t>
  </si>
  <si>
    <t>LST-1035</t>
  </si>
  <si>
    <t>LST-1036</t>
  </si>
  <si>
    <t>LST-1037</t>
  </si>
  <si>
    <t>LST-1038</t>
  </si>
  <si>
    <t>LST-1039</t>
  </si>
  <si>
    <t>LST-1040</t>
  </si>
  <si>
    <t>LST-1041</t>
  </si>
  <si>
    <t>LST-1042</t>
  </si>
  <si>
    <t>LST-1043</t>
  </si>
  <si>
    <t>LST-1044</t>
  </si>
  <si>
    <t>LST-1045</t>
  </si>
  <si>
    <t>LST-1046</t>
  </si>
  <si>
    <t>LST-1047</t>
  </si>
  <si>
    <t>LST-1048</t>
  </si>
  <si>
    <t>LST-1049</t>
  </si>
  <si>
    <t>LST-1050</t>
  </si>
  <si>
    <t>LST-1051</t>
  </si>
  <si>
    <t>LST-1052</t>
  </si>
  <si>
    <t>LST-1053</t>
  </si>
  <si>
    <t>LST-1054</t>
  </si>
  <si>
    <t>LST-1055</t>
  </si>
  <si>
    <t>LST-1056</t>
  </si>
  <si>
    <t>LST-1057</t>
  </si>
  <si>
    <t>LST-1058</t>
  </si>
  <si>
    <t>LST-1059</t>
  </si>
  <si>
    <t>LST-1060</t>
  </si>
  <si>
    <t>LST-1061</t>
  </si>
  <si>
    <t>LST-1062</t>
  </si>
  <si>
    <t>LST-1063</t>
  </si>
  <si>
    <t>LST-1064</t>
  </si>
  <si>
    <t>LST-1065</t>
  </si>
  <si>
    <t>LST-1066</t>
  </si>
  <si>
    <t>LST-1067</t>
  </si>
  <si>
    <t>LST-1068</t>
  </si>
  <si>
    <t>LST-1069</t>
  </si>
  <si>
    <t>LST-1070</t>
  </si>
  <si>
    <t>LST-1071</t>
  </si>
  <si>
    <t>LST-1072</t>
  </si>
  <si>
    <t>LST-1073</t>
  </si>
  <si>
    <t>LST-1074</t>
  </si>
  <si>
    <t>LST-1075</t>
  </si>
  <si>
    <t>LST-1076</t>
  </si>
  <si>
    <t>LST-1077</t>
  </si>
  <si>
    <t>LST-1078</t>
  </si>
  <si>
    <t>LST-1079</t>
  </si>
  <si>
    <t>LST-1080</t>
  </si>
  <si>
    <t>LST-1081</t>
  </si>
  <si>
    <t>LST-1082</t>
  </si>
  <si>
    <t>LST-1083</t>
  </si>
  <si>
    <t>LST-1084</t>
  </si>
  <si>
    <t>LST-1085</t>
  </si>
  <si>
    <t>LST-1086</t>
  </si>
  <si>
    <t>LST-1087</t>
  </si>
  <si>
    <t>LST-1088</t>
  </si>
  <si>
    <t>LST-1089</t>
  </si>
  <si>
    <t>LST-1090</t>
  </si>
  <si>
    <t>LST-1091</t>
  </si>
  <si>
    <t>LST-1092</t>
  </si>
  <si>
    <t>LST-1093</t>
  </si>
  <si>
    <t>LST-1094</t>
  </si>
  <si>
    <t>LST-1095</t>
  </si>
  <si>
    <t>LST-1096</t>
  </si>
  <si>
    <t>LST-1097</t>
  </si>
  <si>
    <t>LST-1098</t>
  </si>
  <si>
    <t>LST-1099</t>
  </si>
  <si>
    <t>LST-1100</t>
  </si>
  <si>
    <t>LST-1101</t>
  </si>
  <si>
    <t>LST-1102</t>
  </si>
  <si>
    <t>LST-1103</t>
  </si>
  <si>
    <t>LST-1104</t>
  </si>
  <si>
    <t>LST-1105</t>
  </si>
  <si>
    <t>LST-1106</t>
  </si>
  <si>
    <t>LST-1107</t>
  </si>
  <si>
    <t>LST-1108</t>
  </si>
  <si>
    <t>LST-1109</t>
  </si>
  <si>
    <t>LST-1110</t>
  </si>
  <si>
    <t>LST-1111</t>
  </si>
  <si>
    <t>LST-1112</t>
  </si>
  <si>
    <t>LST-1113</t>
  </si>
  <si>
    <t>LST-1114</t>
  </si>
  <si>
    <t>LST-1115</t>
  </si>
  <si>
    <t>LST-1116</t>
  </si>
  <si>
    <t>LST-1117</t>
  </si>
  <si>
    <t>LST-1118</t>
  </si>
  <si>
    <t>LST-1119</t>
  </si>
  <si>
    <t>LST-1120</t>
  </si>
  <si>
    <t>LST-1121</t>
  </si>
  <si>
    <t>LST-1122</t>
  </si>
  <si>
    <t>LST-1123</t>
  </si>
  <si>
    <t>LST-1124</t>
  </si>
  <si>
    <t>LST-1125</t>
  </si>
  <si>
    <t>LST-1126</t>
  </si>
  <si>
    <t>LST-1127</t>
  </si>
  <si>
    <t>LST-1128</t>
  </si>
  <si>
    <t>LST-1129</t>
  </si>
  <si>
    <t>LST-1130</t>
  </si>
  <si>
    <t>LST-1131</t>
  </si>
  <si>
    <t>LST-1132</t>
  </si>
  <si>
    <t>LST-1133</t>
  </si>
  <si>
    <t>LST-1134</t>
  </si>
  <si>
    <t>LST-1135</t>
  </si>
  <si>
    <t>LST-1136</t>
  </si>
  <si>
    <t>LST-1137</t>
  </si>
  <si>
    <t>LST-1138</t>
  </si>
  <si>
    <t>LST-1139</t>
  </si>
  <si>
    <t>LST-1140</t>
  </si>
  <si>
    <t>LST-1141</t>
  </si>
  <si>
    <t>LST-1142</t>
  </si>
  <si>
    <t>LST-1143</t>
  </si>
  <si>
    <t>LST-1144</t>
  </si>
  <si>
    <t>LST-1145</t>
  </si>
  <si>
    <t>LST-1146</t>
  </si>
  <si>
    <t>LST-1147</t>
  </si>
  <si>
    <t>LST-1148</t>
  </si>
  <si>
    <t>LST-1149</t>
  </si>
  <si>
    <t>LST-1150</t>
  </si>
  <si>
    <t>LST-1151</t>
  </si>
  <si>
    <t>LST-1152</t>
  </si>
  <si>
    <t>LST-1153</t>
  </si>
  <si>
    <t>LST-1154</t>
  </si>
  <si>
    <t>LST-1155</t>
  </si>
  <si>
    <t>Metric</t>
  </si>
  <si>
    <t>Value</t>
  </si>
  <si>
    <t>Total Listings</t>
  </si>
  <si>
    <t>Total Columns</t>
  </si>
  <si>
    <t>Total Localities</t>
  </si>
  <si>
    <t>Total Societies</t>
  </si>
  <si>
    <t>Total BHK Types</t>
  </si>
  <si>
    <t>Total Property Types</t>
  </si>
  <si>
    <t>Total Sources</t>
  </si>
  <si>
    <t>Total Furnishing Types</t>
  </si>
  <si>
    <t>Total Tenant Types</t>
  </si>
  <si>
    <t>Earliest Posted Date</t>
  </si>
  <si>
    <t>Latest Posted Date</t>
  </si>
  <si>
    <t>Column Name</t>
  </si>
  <si>
    <t>Data Type</t>
  </si>
  <si>
    <t>Category</t>
  </si>
  <si>
    <t>Null Allowed?</t>
  </si>
  <si>
    <t>Importance</t>
  </si>
  <si>
    <t>Keep?</t>
  </si>
  <si>
    <t>Notes</t>
  </si>
  <si>
    <t>Unique identifier assigned to each rental listing</t>
  </si>
  <si>
    <t>Primary Key</t>
  </si>
  <si>
    <t>No</t>
  </si>
  <si>
    <t>High</t>
  </si>
  <si>
    <t>Yes</t>
  </si>
  <si>
    <t>Primary key; every listing must be unique</t>
  </si>
  <si>
    <t>Property portal from which the listing was collected</t>
  </si>
  <si>
    <t>Dimension</t>
  </si>
  <si>
    <t>Medium</t>
  </si>
  <si>
    <t>Used for platform comparison</t>
  </si>
  <si>
    <t>Area where the property is located</t>
  </si>
  <si>
    <t>Core geographic analysis field</t>
  </si>
  <si>
    <t>Mumbai region classification (Western, Central, Harbour, Navi Mumbai, etc.)</t>
  </si>
  <si>
    <t>Used for regional comparisons</t>
  </si>
  <si>
    <t>Classification of locality (Premium, Mid, Budget)</t>
  </si>
  <si>
    <t>Helps compare pricing across market segments</t>
  </si>
  <si>
    <t>Name of the residential society/building</t>
  </si>
  <si>
    <t>Low</t>
  </si>
  <si>
    <t>Mostly descriptive because most societies have only one listing</t>
  </si>
  <si>
    <t>Monthly rent in Indian Rupees</t>
  </si>
  <si>
    <t>Fact</t>
  </si>
  <si>
    <t>Number of bedrooms</t>
  </si>
  <si>
    <t>Number of bathrooms</t>
  </si>
  <si>
    <t>Secondary pricing factor</t>
  </si>
  <si>
    <t>Floor on which the apartment is located</t>
  </si>
  <si>
    <t>SQL Data Type</t>
  </si>
  <si>
    <t>VARCHAR(100)</t>
  </si>
  <si>
    <t>String</t>
  </si>
  <si>
    <t>Critical</t>
  </si>
  <si>
    <t>Business Question Answered</t>
  </si>
  <si>
    <t>Used to analyse the influence of apartment floor level on rental pricing</t>
  </si>
  <si>
    <t>Business Definition</t>
  </si>
  <si>
    <t>Sample Value</t>
  </si>
  <si>
    <t>Core measure used to evaluate rental pricing and derive all pricing KPIs</t>
  </si>
  <si>
    <t>Primary property characteristic used for rental segmentation and comparison</t>
  </si>
  <si>
    <t>Total_Floors</t>
  </si>
  <si>
    <t>Total number of floors in the building</t>
  </si>
  <si>
    <t>Used to analyse building height and floor position</t>
  </si>
  <si>
    <t>Carpet area of the apartment in square feet</t>
  </si>
  <si>
    <t>Primary determinant of rental pricing</t>
  </si>
  <si>
    <t>Furnishing status of the apartment</t>
  </si>
  <si>
    <t>Used to analyse furnishing premium</t>
  </si>
  <si>
    <t>Preferred tenant category</t>
  </si>
  <si>
    <t>Used to analyse rental preferences</t>
  </si>
  <si>
    <t>Categorised age of the property</t>
  </si>
  <si>
    <t>Used for property lifecycle analysis</t>
  </si>
  <si>
    <t>Approximate property age in years</t>
  </si>
  <si>
    <t>Enables numerical age analysis</t>
  </si>
  <si>
    <t>Date when the listing was posted</t>
  </si>
  <si>
    <t>Date</t>
  </si>
  <si>
    <t>Used for market trend analysis</t>
  </si>
  <si>
    <t>Used in Dashboard?</t>
  </si>
  <si>
    <t>VARCHAR(20)</t>
  </si>
  <si>
    <t>How many unique listings were analysed?</t>
  </si>
  <si>
    <t>Which platform has more listings?</t>
  </si>
  <si>
    <t>Which locality is the most expensive?</t>
  </si>
  <si>
    <t>VARCHAR(50)</t>
  </si>
  <si>
    <t>Which Mumbai region has the highest average rent?</t>
  </si>
  <si>
    <t>Do premium localities command higher rents?</t>
  </si>
  <si>
    <t>VARCHAR(150)</t>
  </si>
  <si>
    <t>Which societies appear most frequently?</t>
  </si>
  <si>
    <t>INTEGER</t>
  </si>
  <si>
    <t>What is the average monthly rent?</t>
  </si>
  <si>
    <t>SMALLINT</t>
  </si>
  <si>
    <t>Which BHK category has the highest demand?</t>
  </si>
  <si>
    <t>Optional</t>
  </si>
  <si>
    <t>Does an extra bathroom increase rent?</t>
  </si>
  <si>
    <t>Does floor level influence rent?</t>
  </si>
  <si>
    <t>Are taller buildings associated with higher rents?</t>
  </si>
  <si>
    <t>How does carpet area affect rent?</t>
  </si>
  <si>
    <t>VARCHAR(30)</t>
  </si>
  <si>
    <t>What is the furnishing premium?</t>
  </si>
  <si>
    <t>Which tenant category is most common?</t>
  </si>
  <si>
    <t>Do newer properties command higher rents?</t>
  </si>
  <si>
    <t>What is the relationship between property age and rent?</t>
  </si>
  <si>
    <t>DATE</t>
  </si>
  <si>
    <t>How did listings change over time?</t>
  </si>
  <si>
    <t>Term</t>
  </si>
  <si>
    <t>Meaning</t>
  </si>
  <si>
    <t>Bedroom, Hall, Kitchen</t>
  </si>
  <si>
    <t>Carpet Area</t>
  </si>
  <si>
    <t>Usable floor area inside the apartment</t>
  </si>
  <si>
    <t>Rent Per SqFt</t>
  </si>
  <si>
    <t>Monthly rent divided by carpet area</t>
  </si>
  <si>
    <t>Furnishing Premium</t>
  </si>
  <si>
    <t>Additional rent attributable to furnishing status</t>
  </si>
  <si>
    <t>MRVI</t>
  </si>
  <si>
    <t>Mumbai Rental Value Index (our custom metric)</t>
  </si>
  <si>
    <t>Affordability Ratio</t>
  </si>
  <si>
    <t>Rent divided by assumed monthly salary</t>
  </si>
  <si>
    <t>Derived</t>
  </si>
  <si>
    <t>Calculated dynamically in SQL Views</t>
  </si>
  <si>
    <t>Annual rental value</t>
  </si>
  <si>
    <t>Rental price segment</t>
  </si>
  <si>
    <t>Generated using CASE statement</t>
  </si>
  <si>
    <t>Carpet area category</t>
  </si>
  <si>
    <t>Used for segmentation</t>
  </si>
  <si>
    <t>Rental rate quality classification</t>
  </si>
  <si>
    <t>Generated using business rules</t>
  </si>
  <si>
    <t>Price classification based on rent</t>
  </si>
  <si>
    <t>Indicates rate above locality threshold</t>
  </si>
  <si>
    <t>Calculated from locality benchmarks</t>
  </si>
  <si>
    <t>Overall record quality indicator</t>
  </si>
  <si>
    <t>Pass</t>
  </si>
  <si>
    <t>Mid</t>
  </si>
  <si>
    <t>Compact</t>
  </si>
  <si>
    <t>Normal</t>
  </si>
  <si>
    <t>no</t>
  </si>
  <si>
    <t>Calculated as Monthly Rent × 12 for annual rental valuation</t>
  </si>
  <si>
    <t>Overall quality status assigned after applying predefined data validation rules</t>
  </si>
  <si>
    <t>Identifies whether a listing is underpriced, fairly priced, or overpriced based on market benchmarks</t>
  </si>
  <si>
    <t>Numeric</t>
  </si>
  <si>
    <t>Smallint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</si>
</sst>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D2B55"/>
        <bgColor rgb="FF0D2B5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vertical="center"/>
    </xf>
    <xf numFmtId="164" fontId="0" fillId="0" borderId="0" xfId="0" applyNumberForma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vertical="center"/>
    </xf>
    <xf numFmtId="2" fontId="0" fillId="0" borderId="0" xfId="0" applyNumberFormat="1"/>
    <xf numFmtId="0" fontId="3" fillId="2" borderId="0" xfId="0" applyFont="1" applyFill="1"/>
    <xf numFmtId="0" fontId="1" fillId="0" borderId="0" xfId="0" applyFont="1"/>
    <xf numFmtId="16" fontId="0" fillId="0" borderId="0" xfId="0" applyNumberFormat="1"/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/>
    </xf>
    <xf numFmtId="15" fontId="0" fillId="0" borderId="0" xfId="0" applyNumberFormat="1"/>
    <xf numFmtId="0" fontId="1" fillId="0" borderId="0" xfId="0" applyFont="1" applyAlignment="1">
      <alignment horizontal="center"/>
    </xf>
    <xf numFmtId="0" fontId="0" fillId="3" borderId="1" xfId="0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30"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7" tint="-0.24994659260841701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2" formatCode="0.00"/>
    </dxf>
    <dxf>
      <numFmt numFmtId="164" formatCode="[$-14009]yyyy/mm/dd;@"/>
    </dxf>
    <dxf>
      <numFmt numFmtId="2" formatCode="0.0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7030A0"/>
      <color rgb="FFBF9000"/>
      <color rgb="FF548235"/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C4806B-753A-44CD-B501-65BF80546CE7}" name="tblRentListings" displayName="tblRentListings" ref="A1:Z1156" totalsRowShown="0" headerRowDxfId="29">
  <autoFilter ref="A1:Z1156" xr:uid="{E9C4806B-753A-44CD-B501-65BF80546CE7}"/>
  <tableColumns count="26">
    <tableColumn id="1" xr3:uid="{B5190B93-F347-4A66-88B9-CFAFF65FE769}" name="Listing_ID" dataDxfId="28"/>
    <tableColumn id="2" xr3:uid="{968D2E08-5488-4858-982C-6D066A0084E8}" name="Source"/>
    <tableColumn id="3" xr3:uid="{BF69A58C-C171-4C6F-B654-64674C7A478E}" name="Locality"/>
    <tableColumn id="4" xr3:uid="{A5A81FE2-A0A0-4E9D-BD96-DFC6A7248743}" name="Sub_Region" dataDxfId="27">
      <calculatedColumnFormula>VLOOKUP(C2,Locality_Reference!A:C,2,)</calculatedColumnFormula>
    </tableColumn>
    <tableColumn id="5" xr3:uid="{21F06DC2-B869-4C15-B3EA-CE9FF755A932}" name="Locality_Tier" dataDxfId="26">
      <calculatedColumnFormula>VLOOKUP(C2,Locality_Reference!A:C,3,)</calculatedColumnFormula>
    </tableColumn>
    <tableColumn id="6" xr3:uid="{EA10A077-2A7A-4933-A01A-280C878249B4}" name="Society_Name" dataDxfId="25"/>
    <tableColumn id="7" xr3:uid="{5895DFD4-8145-4254-9502-808401AFED9F}" name="Rent" dataDxfId="24"/>
    <tableColumn id="8" xr3:uid="{481D0761-1A83-4C9A-ADAE-6ED56D170CD1}" name="BHK"/>
    <tableColumn id="9" xr3:uid="{3F7F0E79-813F-4B42-A611-BEEFB71BD3AA}" name="Bathroom"/>
    <tableColumn id="10" xr3:uid="{CC88D974-FECB-4E26-B9E3-32B795F7DCE6}" name="Floor"/>
    <tableColumn id="11" xr3:uid="{1FC6BADB-92AF-4E50-BCDF-703C2FA9C4D5}" name="Total Floors"/>
    <tableColumn id="12" xr3:uid="{9522BF6A-7885-42B6-A43C-90784277D3FF}" name="Carpet_Area_SqFt"/>
    <tableColumn id="13" xr3:uid="{C932C537-34B6-4743-90F1-FAC00F20DE94}" name="Furnishing"/>
    <tableColumn id="14" xr3:uid="{3FFDC5B3-C8D0-49E9-B6DA-7C6C7422EC3D}" name="Tenant_Type"/>
    <tableColumn id="15" xr3:uid="{15AA7A0F-75A3-429F-B9F3-6643B4F28595}" name="Property_Type"/>
    <tableColumn id="16" xr3:uid="{D30BAF72-51D4-406A-A6C6-E5ABD67206BC}" name="Property_Age_Category"/>
    <tableColumn id="17" xr3:uid="{F0CD73F5-3AA3-4A79-8064-BCAF8EA6BF42}" name="Property_Age_Years">
      <calculatedColumnFormula>IF(P2="20+ Years","20",IF(P2="15-20 Years","17.5",IF(P2="10+ Years","10",IF(P2="5-10 Years","7.5",IF(P2="1-5 Years","3",IF(P2="0-1 Year","1",""))))))</calculatedColumnFormula>
    </tableColumn>
    <tableColumn id="18" xr3:uid="{EE6D2BCE-7750-4CCB-A9F6-D73C1F21BF96}" name="Posted_Date" dataDxfId="23"/>
    <tableColumn id="19" xr3:uid="{18925BBD-76A8-4B84-8692-4F1211295C97}" name="Rent_Per_SqFt" dataDxfId="22">
      <calculatedColumnFormula>G2/L2</calculatedColumnFormula>
    </tableColumn>
    <tableColumn id="20" xr3:uid="{B4C958F2-F01F-4A24-A4EB-773D05B10B87}" name="Rent_Annual">
      <calculatedColumnFormula>G2*12</calculatedColumnFormula>
    </tableColumn>
    <tableColumn id="21" xr3:uid="{AD924AAB-A837-4DA0-BD3B-2819D314FC89}" name="Rent_Band">
      <calculatedColumnFormula>IF(G2&lt;=30000,"Budget",IF(G2&lt;=60000,"Mid",IF(G2&lt;=100000,"Premium","Luxury")))</calculatedColumnFormula>
    </tableColumn>
    <tableColumn id="22" xr3:uid="{C365DB6F-2366-4AB3-9F36-4EE60D47FF99}" name="Area_Band">
      <calculatedColumnFormula>IF(L2&lt;=500,"Compact",IF(L2&lt;=800,"Medium",IF(L2&lt;=1200,"Large","Spacious")))</calculatedColumnFormula>
    </tableColumn>
    <tableColumn id="23" xr3:uid="{DDC60C38-38B0-4C4E-9339-81DA1CF6CE65}" name="Rate_Quality_Flag">
      <calculatedColumnFormula>IF(S2 &lt; VLOOKUP(E2, Locality_Tier_Benchmarks!A:B, 2, FALSE) * 0.7, "Below Tier Range", "Normal")</calculatedColumnFormula>
    </tableColumn>
    <tableColumn id="24" xr3:uid="{FE9053FE-9E56-46E3-A74D-6129C966E1BF}" name="Absolute_Price_Flag">
      <calculatedColumnFormula>IF(G2&lt;7000,"Below Absolute Floor","Normal")</calculatedColumnFormula>
    </tableColumn>
    <tableColumn id="25" xr3:uid="{48841920-2D1D-40BE-B47F-B673C169AAC5}" name="Rate_Ceiling_Flag">
      <calculatedColumnFormula>IF(S2&gt;500,"Possible Typo - Check Zero","Normal")</calculatedColumnFormula>
    </tableColumn>
    <tableColumn id="26" xr3:uid="{7E672599-47BB-4416-96CC-45AFE738136F}" name="Data_Quality_Flag" dataDxfId="21">
      <calculatedColumnFormula>IF(OR(W2&lt;&gt;"Normal",X2&lt;&gt;"Normal",Y2&lt;&gt;"Normal"),"Review","Pass")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DCAF28-2E0B-4491-9092-EE0D8557E889}" name="tblDataDictionary" displayName="tblDataDictionary" ref="A1:L26" totalsRowShown="0" headerRowDxfId="20">
  <autoFilter ref="A1:L26" xr:uid="{C2DCAF28-2E0B-4491-9092-EE0D8557E889}"/>
  <tableColumns count="12">
    <tableColumn id="1" xr3:uid="{D089C38F-771A-443C-9537-95AB66A5C061}" name="Column Name" dataDxfId="19"/>
    <tableColumn id="13" xr3:uid="{DC845EF2-3B0F-4699-8EF2-876B72C5BBB5}" name="Data Type" dataDxfId="18"/>
    <tableColumn id="2" xr3:uid="{E1E3C817-4800-4B3D-A83B-6AA1F0AEC9C2}" name="Business Definition" dataDxfId="17"/>
    <tableColumn id="4" xr3:uid="{EFA9B6D9-7F84-495F-80BB-D89958447243}" name="Category" dataDxfId="16"/>
    <tableColumn id="5" xr3:uid="{8EC24B67-4662-4B9E-8CDE-A19011514532}" name="Sample Value" dataDxfId="15"/>
    <tableColumn id="6" xr3:uid="{2690011A-5744-48E2-ADE0-AB74E3B5ED0D}" name="Null Allowed?" dataDxfId="14"/>
    <tableColumn id="7" xr3:uid="{872BBA95-41F4-4DDF-A2B8-BF235841E4C4}" name="Importance" dataDxfId="13"/>
    <tableColumn id="8" xr3:uid="{5A7557FE-62EB-469C-BA37-CD95F097CAC3}" name="Keep?" dataDxfId="12"/>
    <tableColumn id="9" xr3:uid="{7E87F560-FFC5-4DF9-B226-D17C8CDA1A7F}" name="Notes" dataDxfId="11"/>
    <tableColumn id="10" xr3:uid="{E7E46A3A-D648-494A-81EB-F6C8FAFE79EE}" name="SQL Data Type" dataDxfId="10"/>
    <tableColumn id="11" xr3:uid="{752E57C0-0DA9-46EE-9F64-A1A6376674FF}" name="Used in Dashboard?" dataDxfId="9"/>
    <tableColumn id="12" xr3:uid="{616E10A1-70B5-4B0E-917F-AB2E14D2A2B5}" name="Business Question Answered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E17B-D327-40F1-BDFE-339D0AA5573B}">
  <dimension ref="A1:Z1156"/>
  <sheetViews>
    <sheetView topLeftCell="O2" workbookViewId="0">
      <selection activeCell="Z3" sqref="Z3"/>
    </sheetView>
  </sheetViews>
  <sheetFormatPr defaultRowHeight="15" x14ac:dyDescent="0.25"/>
  <cols>
    <col min="1" max="1" width="11.7109375" customWidth="1"/>
    <col min="2" max="2" width="11.28515625" bestFit="1" customWidth="1"/>
    <col min="3" max="3" width="16.5703125" bestFit="1" customWidth="1"/>
    <col min="4" max="4" width="15.140625" bestFit="1" customWidth="1"/>
    <col min="5" max="5" width="16" bestFit="1" customWidth="1"/>
    <col min="6" max="6" width="29.140625" bestFit="1" customWidth="1"/>
    <col min="7" max="7" width="9.5703125" style="8" bestFit="1" customWidth="1"/>
    <col min="8" max="8" width="6.7109375" customWidth="1"/>
    <col min="9" max="9" width="11.85546875" customWidth="1"/>
    <col min="10" max="10" width="7.7109375" customWidth="1"/>
    <col min="11" max="11" width="13.42578125" customWidth="1"/>
    <col min="12" max="12" width="19" customWidth="1"/>
    <col min="13" max="13" width="15.140625" bestFit="1" customWidth="1"/>
    <col min="14" max="14" width="14.5703125" customWidth="1"/>
    <col min="15" max="15" width="16.140625" customWidth="1"/>
    <col min="16" max="16" width="24.140625" customWidth="1"/>
    <col min="17" max="17" width="21.140625" customWidth="1"/>
    <col min="18" max="18" width="14.42578125" style="5" customWidth="1"/>
    <col min="19" max="19" width="16.140625" customWidth="1"/>
    <col min="20" max="20" width="14.5703125" customWidth="1"/>
    <col min="21" max="22" width="12.7109375" customWidth="1"/>
    <col min="23" max="23" width="19.140625" customWidth="1"/>
    <col min="24" max="24" width="21.140625" customWidth="1"/>
    <col min="25" max="25" width="20.28515625" customWidth="1"/>
    <col min="26" max="26" width="19.140625" customWidth="1"/>
  </cols>
  <sheetData>
    <row r="1" spans="1:26" s="10" customFormat="1" x14ac:dyDescent="0.25">
      <c r="A1" s="1" t="s">
        <v>0</v>
      </c>
      <c r="B1" s="1" t="s">
        <v>1</v>
      </c>
      <c r="C1" s="1" t="s">
        <v>2</v>
      </c>
      <c r="D1" s="1" t="s">
        <v>180</v>
      </c>
      <c r="E1" s="1" t="s">
        <v>451</v>
      </c>
      <c r="F1" s="1" t="s">
        <v>3</v>
      </c>
      <c r="G1" s="6" t="s">
        <v>4</v>
      </c>
      <c r="H1" s="1" t="s">
        <v>5</v>
      </c>
      <c r="I1" s="1" t="s">
        <v>6</v>
      </c>
      <c r="J1" s="1" t="s">
        <v>18</v>
      </c>
      <c r="K1" s="1" t="s">
        <v>19</v>
      </c>
      <c r="L1" s="1" t="s">
        <v>7</v>
      </c>
      <c r="M1" s="1" t="s">
        <v>8</v>
      </c>
      <c r="N1" s="1" t="s">
        <v>9</v>
      </c>
      <c r="O1" s="1" t="s">
        <v>10</v>
      </c>
      <c r="P1" s="10" t="s">
        <v>22</v>
      </c>
      <c r="Q1" s="10" t="s">
        <v>24</v>
      </c>
      <c r="R1" s="3" t="s">
        <v>11</v>
      </c>
      <c r="S1" s="10" t="s">
        <v>20</v>
      </c>
      <c r="T1" s="10" t="s">
        <v>21</v>
      </c>
      <c r="U1" s="10" t="s">
        <v>25</v>
      </c>
      <c r="V1" s="10" t="s">
        <v>26</v>
      </c>
      <c r="W1" s="10" t="s">
        <v>513</v>
      </c>
      <c r="X1" s="10" t="s">
        <v>514</v>
      </c>
      <c r="Y1" s="10" t="s">
        <v>704</v>
      </c>
      <c r="Z1" s="10" t="s">
        <v>450</v>
      </c>
    </row>
    <row r="2" spans="1:26" x14ac:dyDescent="0.25">
      <c r="A2" s="2" t="s">
        <v>185</v>
      </c>
      <c r="B2" s="2" t="s">
        <v>17</v>
      </c>
      <c r="C2" s="2" t="s">
        <v>12</v>
      </c>
      <c r="D2" s="2" t="str">
        <f>VLOOKUP(C2,Locality_Reference!A:C,2,)</f>
        <v>Western Line</v>
      </c>
      <c r="E2" s="2" t="str">
        <f>VLOOKUP(C2,Locality_Reference!A:C,3,)</f>
        <v>Mid Suburb</v>
      </c>
      <c r="F2" s="2" t="s">
        <v>13</v>
      </c>
      <c r="G2" s="7">
        <v>48000</v>
      </c>
      <c r="H2" s="2">
        <v>1</v>
      </c>
      <c r="I2" s="2">
        <v>2</v>
      </c>
      <c r="J2" s="2">
        <v>3</v>
      </c>
      <c r="K2" s="2">
        <v>7</v>
      </c>
      <c r="L2" s="2">
        <v>450</v>
      </c>
      <c r="M2" s="2" t="s">
        <v>14</v>
      </c>
      <c r="N2" s="2" t="s">
        <v>15</v>
      </c>
      <c r="O2" s="2" t="s">
        <v>16</v>
      </c>
      <c r="P2" s="2" t="s">
        <v>23</v>
      </c>
      <c r="Q2" t="str">
        <f>IF(P2="20+ Years","20",IF(P2="15-20 Years","17.5",IF(P2="10+ Years","10",IF(P2="5-10 Years","7.5",IF(P2="1-5 Years","3",IF(P2="0-1 Year","1",""))))))</f>
        <v>10</v>
      </c>
      <c r="R2" s="4">
        <v>46193</v>
      </c>
      <c r="S2" s="8">
        <f>G2/L2</f>
        <v>106.66666666666667</v>
      </c>
      <c r="T2">
        <f>G2*12</f>
        <v>576000</v>
      </c>
      <c r="U2" t="str">
        <f>IF(G2&lt;=30000,"Budget",IF(G2&lt;=60000,"Mid",IF(G2&lt;=100000,"Premium","Luxury")))</f>
        <v>Mid</v>
      </c>
      <c r="V2" t="str">
        <f>IF(L2&lt;=500,"Compact",IF(L2&lt;=800,"Medium",IF(L2&lt;=1200,"Large","Spacious")))</f>
        <v>Compact</v>
      </c>
      <c r="W2" t="str">
        <f>IF(S2 &lt; VLOOKUP(E2, Locality_Tier_Benchmarks!A:B, 2, FALSE) * 0.7, "Below Tier Range", "Normal")</f>
        <v>Normal</v>
      </c>
      <c r="X2" t="str">
        <f>IF(G2&lt;7000,"Below Absolute Floor","Normal")</f>
        <v>Normal</v>
      </c>
      <c r="Y2" t="str">
        <f>IF(S2&gt;500,"Possible Typo - Check Zero","Normal")</f>
        <v>Normal</v>
      </c>
      <c r="Z2" t="str">
        <f t="shared" ref="Z2:Z65" si="0">IF(OR(W2&lt;&gt;"Normal",X2&lt;&gt;"Normal",Y2&lt;&gt;"Normal"),"Review","Pass")</f>
        <v>Pass</v>
      </c>
    </row>
    <row r="3" spans="1:26" x14ac:dyDescent="0.25">
      <c r="A3" s="2" t="s">
        <v>186</v>
      </c>
      <c r="B3" s="2" t="s">
        <v>17</v>
      </c>
      <c r="C3" s="2" t="s">
        <v>27</v>
      </c>
      <c r="D3" s="2" t="str">
        <f>VLOOKUP(C3,Locality_Reference!A:C,2,)</f>
        <v>Western Line</v>
      </c>
      <c r="E3" s="2" t="str">
        <f>VLOOKUP(C3,Locality_Reference!A:C,3,)</f>
        <v>Mid Suburb</v>
      </c>
      <c r="F3" s="2" t="s">
        <v>28</v>
      </c>
      <c r="G3" s="7">
        <v>55000</v>
      </c>
      <c r="H3" s="2">
        <v>1</v>
      </c>
      <c r="I3" s="2">
        <v>2</v>
      </c>
      <c r="J3">
        <v>6</v>
      </c>
      <c r="K3">
        <v>7</v>
      </c>
      <c r="L3" s="2">
        <v>570</v>
      </c>
      <c r="M3" s="2" t="s">
        <v>14</v>
      </c>
      <c r="N3" t="s">
        <v>29</v>
      </c>
      <c r="O3" s="2" t="s">
        <v>16</v>
      </c>
      <c r="P3" s="2" t="s">
        <v>23</v>
      </c>
      <c r="Q3" t="str">
        <f t="shared" ref="Q3:Q66" si="1">IF(P3="20+ Years","20",IF(P3="15-20 Years","17.5",IF(P3="10+ Years","10",IF(P3="5-10 Years","7.5",IF(P3="1-5 Years","3",IF(P3="0-1 Year","1",""))))))</f>
        <v>10</v>
      </c>
      <c r="R3" s="4">
        <v>46137</v>
      </c>
      <c r="S3" s="8">
        <f t="shared" ref="S3:S66" si="2">G3/L3</f>
        <v>96.491228070175438</v>
      </c>
      <c r="T3">
        <f t="shared" ref="T3:T66" si="3">G3*12</f>
        <v>660000</v>
      </c>
      <c r="U3" t="str">
        <f t="shared" ref="U3:U66" si="4">IF(G3&lt;=30000,"Budget",IF(G3&lt;=60000,"Mid",IF(G3&lt;=100000,"Premium","Luxury")))</f>
        <v>Mid</v>
      </c>
      <c r="V3" t="str">
        <f t="shared" ref="V3:V66" si="5">IF(L3&lt;=500,"Compact",IF(L3&lt;=800,"Medium",IF(L3&lt;=1200,"Large","Spacious")))</f>
        <v>Medium</v>
      </c>
      <c r="W3" t="str">
        <f>IF(S3 &lt; VLOOKUP(E3, Locality_Tier_Benchmarks!A:B, 2, FALSE) * 0.7, "Below Tier Range", "Normal")</f>
        <v>Normal</v>
      </c>
      <c r="X3" t="str">
        <f t="shared" ref="X3:X66" si="6">IF(G3&lt;7000,"Below Absolute Floor","Normal")</f>
        <v>Normal</v>
      </c>
      <c r="Y3" t="str">
        <f t="shared" ref="Y3:Y66" si="7">IF(S3&gt;500,"Possible Typo - Check Zero","Normal")</f>
        <v>Normal</v>
      </c>
      <c r="Z3" t="str">
        <f t="shared" si="0"/>
        <v>Pass</v>
      </c>
    </row>
    <row r="4" spans="1:26" x14ac:dyDescent="0.25">
      <c r="A4" s="2" t="s">
        <v>187</v>
      </c>
      <c r="B4" s="2" t="s">
        <v>17</v>
      </c>
      <c r="C4" s="2" t="s">
        <v>12</v>
      </c>
      <c r="D4" s="2" t="str">
        <f>VLOOKUP(C4,Locality_Reference!A:C,2,)</f>
        <v>Western Line</v>
      </c>
      <c r="E4" s="2" t="str">
        <f>VLOOKUP(C4,Locality_Reference!A:C,3,)</f>
        <v>Mid Suburb</v>
      </c>
      <c r="F4" s="2" t="s">
        <v>30</v>
      </c>
      <c r="G4" s="8">
        <v>90000</v>
      </c>
      <c r="H4">
        <v>2</v>
      </c>
      <c r="I4">
        <v>2</v>
      </c>
      <c r="J4">
        <v>3</v>
      </c>
      <c r="K4">
        <v>12</v>
      </c>
      <c r="L4">
        <v>700</v>
      </c>
      <c r="M4" s="2" t="s">
        <v>14</v>
      </c>
      <c r="N4" t="s">
        <v>29</v>
      </c>
      <c r="O4" s="2" t="s">
        <v>16</v>
      </c>
      <c r="P4" t="s">
        <v>31</v>
      </c>
      <c r="Q4" t="str">
        <f t="shared" si="1"/>
        <v>3</v>
      </c>
      <c r="R4" s="5">
        <v>46177</v>
      </c>
      <c r="S4" s="8">
        <f t="shared" si="2"/>
        <v>128.57142857142858</v>
      </c>
      <c r="T4">
        <f t="shared" si="3"/>
        <v>1080000</v>
      </c>
      <c r="U4" t="str">
        <f t="shared" si="4"/>
        <v>Premium</v>
      </c>
      <c r="V4" t="str">
        <f t="shared" si="5"/>
        <v>Medium</v>
      </c>
      <c r="W4" t="str">
        <f>IF(S4 &lt; VLOOKUP(E4, Locality_Tier_Benchmarks!A:B, 2, FALSE) * 0.7, "Below Tier Range", "Normal")</f>
        <v>Normal</v>
      </c>
      <c r="X4" t="str">
        <f t="shared" si="6"/>
        <v>Normal</v>
      </c>
      <c r="Y4" t="str">
        <f t="shared" si="7"/>
        <v>Normal</v>
      </c>
      <c r="Z4" t="str">
        <f t="shared" si="0"/>
        <v>Pass</v>
      </c>
    </row>
    <row r="5" spans="1:26" x14ac:dyDescent="0.25">
      <c r="A5" s="2" t="s">
        <v>188</v>
      </c>
      <c r="B5" s="2" t="s">
        <v>17</v>
      </c>
      <c r="C5" s="2" t="s">
        <v>12</v>
      </c>
      <c r="D5" s="2" t="str">
        <f>VLOOKUP(C5,Locality_Reference!A:C,2,)</f>
        <v>Western Line</v>
      </c>
      <c r="E5" s="2" t="str">
        <f>VLOOKUP(C5,Locality_Reference!A:C,3,)</f>
        <v>Mid Suburb</v>
      </c>
      <c r="F5" s="2" t="s">
        <v>32</v>
      </c>
      <c r="G5" s="8">
        <v>77999</v>
      </c>
      <c r="H5">
        <v>2</v>
      </c>
      <c r="I5">
        <v>2</v>
      </c>
      <c r="J5">
        <v>6</v>
      </c>
      <c r="K5">
        <v>9</v>
      </c>
      <c r="L5">
        <v>642</v>
      </c>
      <c r="M5" s="2" t="s">
        <v>33</v>
      </c>
      <c r="N5" t="s">
        <v>29</v>
      </c>
      <c r="O5" s="2" t="s">
        <v>16</v>
      </c>
      <c r="P5" t="s">
        <v>34</v>
      </c>
      <c r="Q5" t="str">
        <f t="shared" si="1"/>
        <v/>
      </c>
      <c r="R5" s="5">
        <v>46182</v>
      </c>
      <c r="S5" s="8">
        <f t="shared" si="2"/>
        <v>121.49376947040498</v>
      </c>
      <c r="T5">
        <f t="shared" si="3"/>
        <v>935988</v>
      </c>
      <c r="U5" t="str">
        <f t="shared" si="4"/>
        <v>Premium</v>
      </c>
      <c r="V5" t="str">
        <f t="shared" si="5"/>
        <v>Medium</v>
      </c>
      <c r="W5" t="str">
        <f>IF(S5 &lt; VLOOKUP(E5, Locality_Tier_Benchmarks!A:B, 2, FALSE) * 0.7, "Below Tier Range", "Normal")</f>
        <v>Normal</v>
      </c>
      <c r="X5" t="str">
        <f t="shared" si="6"/>
        <v>Normal</v>
      </c>
      <c r="Y5" t="str">
        <f t="shared" si="7"/>
        <v>Normal</v>
      </c>
      <c r="Z5" t="str">
        <f t="shared" si="0"/>
        <v>Pass</v>
      </c>
    </row>
    <row r="6" spans="1:26" x14ac:dyDescent="0.25">
      <c r="A6" s="2" t="s">
        <v>189</v>
      </c>
      <c r="B6" s="2" t="s">
        <v>17</v>
      </c>
      <c r="C6" s="2" t="s">
        <v>27</v>
      </c>
      <c r="D6" s="2" t="str">
        <f>VLOOKUP(C6,Locality_Reference!A:C,2,)</f>
        <v>Western Line</v>
      </c>
      <c r="E6" s="2" t="str">
        <f>VLOOKUP(C6,Locality_Reference!A:C,3,)</f>
        <v>Mid Suburb</v>
      </c>
      <c r="F6" s="2" t="s">
        <v>35</v>
      </c>
      <c r="G6" s="8">
        <v>250000</v>
      </c>
      <c r="H6">
        <v>3</v>
      </c>
      <c r="I6">
        <v>4</v>
      </c>
      <c r="J6">
        <v>15</v>
      </c>
      <c r="K6">
        <v>33</v>
      </c>
      <c r="L6">
        <v>1318</v>
      </c>
      <c r="M6" s="2" t="s">
        <v>36</v>
      </c>
      <c r="N6" t="s">
        <v>15</v>
      </c>
      <c r="O6" s="2" t="s">
        <v>16</v>
      </c>
      <c r="P6" t="s">
        <v>34</v>
      </c>
      <c r="Q6" t="str">
        <f t="shared" si="1"/>
        <v/>
      </c>
      <c r="R6" s="5">
        <v>46193</v>
      </c>
      <c r="S6" s="8">
        <f t="shared" si="2"/>
        <v>189.6813353566009</v>
      </c>
      <c r="T6">
        <f t="shared" si="3"/>
        <v>3000000</v>
      </c>
      <c r="U6" t="str">
        <f t="shared" si="4"/>
        <v>Luxury</v>
      </c>
      <c r="V6" t="str">
        <f t="shared" si="5"/>
        <v>Spacious</v>
      </c>
      <c r="W6" t="str">
        <f>IF(S6 &lt; VLOOKUP(E6, Locality_Tier_Benchmarks!A:B, 2, FALSE) * 0.7, "Below Tier Range", "Normal")</f>
        <v>Normal</v>
      </c>
      <c r="X6" t="str">
        <f t="shared" si="6"/>
        <v>Normal</v>
      </c>
      <c r="Y6" t="str">
        <f t="shared" si="7"/>
        <v>Normal</v>
      </c>
      <c r="Z6" t="str">
        <f t="shared" si="0"/>
        <v>Pass</v>
      </c>
    </row>
    <row r="7" spans="1:26" x14ac:dyDescent="0.25">
      <c r="A7" s="2" t="s">
        <v>190</v>
      </c>
      <c r="B7" s="2" t="s">
        <v>17</v>
      </c>
      <c r="C7" s="2" t="s">
        <v>12</v>
      </c>
      <c r="D7" s="2" t="str">
        <f>VLOOKUP(C7,Locality_Reference!A:C,2,)</f>
        <v>Western Line</v>
      </c>
      <c r="E7" s="2" t="str">
        <f>VLOOKUP(C7,Locality_Reference!A:C,3,)</f>
        <v>Mid Suburb</v>
      </c>
      <c r="F7" s="2" t="s">
        <v>37</v>
      </c>
      <c r="G7" s="8">
        <v>82000</v>
      </c>
      <c r="H7">
        <v>2</v>
      </c>
      <c r="I7">
        <v>2</v>
      </c>
      <c r="J7">
        <v>2</v>
      </c>
      <c r="K7">
        <v>26</v>
      </c>
      <c r="L7">
        <v>635</v>
      </c>
      <c r="M7" s="2" t="s">
        <v>14</v>
      </c>
      <c r="N7" t="s">
        <v>29</v>
      </c>
      <c r="O7" s="2" t="s">
        <v>16</v>
      </c>
      <c r="P7" t="s">
        <v>31</v>
      </c>
      <c r="Q7" t="str">
        <f t="shared" si="1"/>
        <v>3</v>
      </c>
      <c r="R7" s="5">
        <v>46167</v>
      </c>
      <c r="S7" s="8">
        <f t="shared" si="2"/>
        <v>129.13385826771653</v>
      </c>
      <c r="T7">
        <f t="shared" si="3"/>
        <v>984000</v>
      </c>
      <c r="U7" t="str">
        <f t="shared" si="4"/>
        <v>Premium</v>
      </c>
      <c r="V7" t="str">
        <f t="shared" si="5"/>
        <v>Medium</v>
      </c>
      <c r="W7" t="str">
        <f>IF(S7 &lt; VLOOKUP(E7, Locality_Tier_Benchmarks!A:B, 2, FALSE) * 0.7, "Below Tier Range", "Normal")</f>
        <v>Normal</v>
      </c>
      <c r="X7" t="str">
        <f t="shared" si="6"/>
        <v>Normal</v>
      </c>
      <c r="Y7" t="str">
        <f t="shared" si="7"/>
        <v>Normal</v>
      </c>
      <c r="Z7" t="str">
        <f t="shared" si="0"/>
        <v>Pass</v>
      </c>
    </row>
    <row r="8" spans="1:26" x14ac:dyDescent="0.25">
      <c r="A8" s="2" t="s">
        <v>191</v>
      </c>
      <c r="B8" s="2" t="s">
        <v>17</v>
      </c>
      <c r="C8" s="2" t="s">
        <v>27</v>
      </c>
      <c r="D8" s="2" t="str">
        <f>VLOOKUP(C8,Locality_Reference!A:C,2,)</f>
        <v>Western Line</v>
      </c>
      <c r="E8" s="2" t="str">
        <f>VLOOKUP(C8,Locality_Reference!A:C,3,)</f>
        <v>Mid Suburb</v>
      </c>
      <c r="F8" s="2" t="s">
        <v>38</v>
      </c>
      <c r="G8" s="8">
        <v>155000</v>
      </c>
      <c r="H8">
        <v>3</v>
      </c>
      <c r="I8">
        <v>3</v>
      </c>
      <c r="J8">
        <v>11</v>
      </c>
      <c r="K8">
        <v>21</v>
      </c>
      <c r="L8">
        <v>1250</v>
      </c>
      <c r="M8" s="2" t="s">
        <v>36</v>
      </c>
      <c r="N8" t="s">
        <v>29</v>
      </c>
      <c r="O8" s="2" t="s">
        <v>16</v>
      </c>
      <c r="P8" t="s">
        <v>34</v>
      </c>
      <c r="Q8" t="str">
        <f t="shared" si="1"/>
        <v/>
      </c>
      <c r="R8" s="5">
        <v>46193</v>
      </c>
      <c r="S8" s="8">
        <f t="shared" si="2"/>
        <v>124</v>
      </c>
      <c r="T8">
        <f t="shared" si="3"/>
        <v>1860000</v>
      </c>
      <c r="U8" t="str">
        <f t="shared" si="4"/>
        <v>Luxury</v>
      </c>
      <c r="V8" t="str">
        <f t="shared" si="5"/>
        <v>Spacious</v>
      </c>
      <c r="W8" t="str">
        <f>IF(S8 &lt; VLOOKUP(E8, Locality_Tier_Benchmarks!A:B, 2, FALSE) * 0.7, "Below Tier Range", "Normal")</f>
        <v>Normal</v>
      </c>
      <c r="X8" t="str">
        <f t="shared" si="6"/>
        <v>Normal</v>
      </c>
      <c r="Y8" t="str">
        <f t="shared" si="7"/>
        <v>Normal</v>
      </c>
      <c r="Z8" t="str">
        <f t="shared" si="0"/>
        <v>Pass</v>
      </c>
    </row>
    <row r="9" spans="1:26" x14ac:dyDescent="0.25">
      <c r="A9" s="2" t="s">
        <v>192</v>
      </c>
      <c r="B9" s="2" t="s">
        <v>17</v>
      </c>
      <c r="C9" s="2" t="s">
        <v>27</v>
      </c>
      <c r="D9" s="2" t="str">
        <f>VLOOKUP(C9,Locality_Reference!A:C,2,)</f>
        <v>Western Line</v>
      </c>
      <c r="E9" s="2" t="str">
        <f>VLOOKUP(C9,Locality_Reference!A:C,3,)</f>
        <v>Mid Suburb</v>
      </c>
      <c r="F9" s="2" t="s">
        <v>39</v>
      </c>
      <c r="G9" s="8">
        <v>130000</v>
      </c>
      <c r="H9">
        <v>3</v>
      </c>
      <c r="I9">
        <v>3</v>
      </c>
      <c r="J9">
        <v>8</v>
      </c>
      <c r="K9">
        <v>12</v>
      </c>
      <c r="L9">
        <v>1100</v>
      </c>
      <c r="M9" s="2" t="s">
        <v>14</v>
      </c>
      <c r="N9" t="s">
        <v>29</v>
      </c>
      <c r="O9" s="2" t="s">
        <v>16</v>
      </c>
      <c r="P9" t="s">
        <v>23</v>
      </c>
      <c r="Q9" t="str">
        <f t="shared" si="1"/>
        <v>10</v>
      </c>
      <c r="R9" s="5">
        <v>46146</v>
      </c>
      <c r="S9" s="8">
        <f t="shared" si="2"/>
        <v>118.18181818181819</v>
      </c>
      <c r="T9">
        <f t="shared" si="3"/>
        <v>1560000</v>
      </c>
      <c r="U9" t="str">
        <f t="shared" si="4"/>
        <v>Luxury</v>
      </c>
      <c r="V9" t="str">
        <f t="shared" si="5"/>
        <v>Large</v>
      </c>
      <c r="W9" t="str">
        <f>IF(S9 &lt; VLOOKUP(E9, Locality_Tier_Benchmarks!A:B, 2, FALSE) * 0.7, "Below Tier Range", "Normal")</f>
        <v>Normal</v>
      </c>
      <c r="X9" t="str">
        <f t="shared" si="6"/>
        <v>Normal</v>
      </c>
      <c r="Y9" t="str">
        <f t="shared" si="7"/>
        <v>Normal</v>
      </c>
      <c r="Z9" t="str">
        <f t="shared" si="0"/>
        <v>Pass</v>
      </c>
    </row>
    <row r="10" spans="1:26" x14ac:dyDescent="0.25">
      <c r="A10" s="2" t="s">
        <v>193</v>
      </c>
      <c r="B10" s="2" t="s">
        <v>17</v>
      </c>
      <c r="C10" s="2" t="s">
        <v>27</v>
      </c>
      <c r="D10" s="2" t="str">
        <f>VLOOKUP(C10,Locality_Reference!A:C,2,)</f>
        <v>Western Line</v>
      </c>
      <c r="E10" s="2" t="str">
        <f>VLOOKUP(C10,Locality_Reference!A:C,3,)</f>
        <v>Mid Suburb</v>
      </c>
      <c r="F10" s="2" t="s">
        <v>40</v>
      </c>
      <c r="G10" s="8">
        <v>115000</v>
      </c>
      <c r="H10">
        <v>2</v>
      </c>
      <c r="I10">
        <v>2</v>
      </c>
      <c r="J10">
        <v>20</v>
      </c>
      <c r="K10">
        <v>35</v>
      </c>
      <c r="L10">
        <v>660</v>
      </c>
      <c r="M10" s="2" t="s">
        <v>36</v>
      </c>
      <c r="N10" t="s">
        <v>15</v>
      </c>
      <c r="O10" s="2" t="s">
        <v>16</v>
      </c>
      <c r="P10" t="s">
        <v>34</v>
      </c>
      <c r="Q10" t="str">
        <f t="shared" si="1"/>
        <v/>
      </c>
      <c r="R10" s="5">
        <v>46184</v>
      </c>
      <c r="S10" s="8">
        <f t="shared" si="2"/>
        <v>174.24242424242425</v>
      </c>
      <c r="T10">
        <f t="shared" si="3"/>
        <v>1380000</v>
      </c>
      <c r="U10" t="str">
        <f t="shared" si="4"/>
        <v>Luxury</v>
      </c>
      <c r="V10" t="str">
        <f t="shared" si="5"/>
        <v>Medium</v>
      </c>
      <c r="W10" t="str">
        <f>IF(S10 &lt; VLOOKUP(E10, Locality_Tier_Benchmarks!A:B, 2, FALSE) * 0.7, "Below Tier Range", "Normal")</f>
        <v>Normal</v>
      </c>
      <c r="X10" t="str">
        <f t="shared" si="6"/>
        <v>Normal</v>
      </c>
      <c r="Y10" t="str">
        <f t="shared" si="7"/>
        <v>Normal</v>
      </c>
      <c r="Z10" t="str">
        <f t="shared" si="0"/>
        <v>Pass</v>
      </c>
    </row>
    <row r="11" spans="1:26" x14ac:dyDescent="0.25">
      <c r="A11" s="2" t="s">
        <v>194</v>
      </c>
      <c r="B11" s="2" t="s">
        <v>17</v>
      </c>
      <c r="C11" s="2" t="s">
        <v>27</v>
      </c>
      <c r="D11" s="2" t="str">
        <f>VLOOKUP(C11,Locality_Reference!A:C,2,)</f>
        <v>Western Line</v>
      </c>
      <c r="E11" s="2" t="str">
        <f>VLOOKUP(C11,Locality_Reference!A:C,3,)</f>
        <v>Mid Suburb</v>
      </c>
      <c r="F11" s="2" t="s">
        <v>41</v>
      </c>
      <c r="G11" s="8">
        <v>70000</v>
      </c>
      <c r="H11">
        <v>2</v>
      </c>
      <c r="I11">
        <v>2</v>
      </c>
      <c r="J11">
        <v>3</v>
      </c>
      <c r="K11">
        <v>7</v>
      </c>
      <c r="L11">
        <v>720</v>
      </c>
      <c r="M11" s="2" t="s">
        <v>36</v>
      </c>
      <c r="N11" t="s">
        <v>15</v>
      </c>
      <c r="O11" s="2" t="s">
        <v>16</v>
      </c>
      <c r="P11" t="s">
        <v>23</v>
      </c>
      <c r="Q11" t="str">
        <f t="shared" si="1"/>
        <v>10</v>
      </c>
      <c r="R11" s="5">
        <v>46162</v>
      </c>
      <c r="S11" s="8">
        <f t="shared" si="2"/>
        <v>97.222222222222229</v>
      </c>
      <c r="T11">
        <f t="shared" si="3"/>
        <v>840000</v>
      </c>
      <c r="U11" t="str">
        <f t="shared" si="4"/>
        <v>Premium</v>
      </c>
      <c r="V11" t="str">
        <f t="shared" si="5"/>
        <v>Medium</v>
      </c>
      <c r="W11" t="str">
        <f>IF(S11 &lt; VLOOKUP(E11, Locality_Tier_Benchmarks!A:B, 2, FALSE) * 0.7, "Below Tier Range", "Normal")</f>
        <v>Normal</v>
      </c>
      <c r="X11" t="str">
        <f t="shared" si="6"/>
        <v>Normal</v>
      </c>
      <c r="Y11" t="str">
        <f t="shared" si="7"/>
        <v>Normal</v>
      </c>
      <c r="Z11" t="str">
        <f t="shared" si="0"/>
        <v>Pass</v>
      </c>
    </row>
    <row r="12" spans="1:26" x14ac:dyDescent="0.25">
      <c r="A12" s="2" t="s">
        <v>195</v>
      </c>
      <c r="B12" s="2" t="s">
        <v>17</v>
      </c>
      <c r="C12" s="2" t="s">
        <v>12</v>
      </c>
      <c r="D12" s="2" t="str">
        <f>VLOOKUP(C12,Locality_Reference!A:C,2,)</f>
        <v>Western Line</v>
      </c>
      <c r="E12" s="2" t="str">
        <f>VLOOKUP(C12,Locality_Reference!A:C,3,)</f>
        <v>Mid Suburb</v>
      </c>
      <c r="F12" s="2" t="s">
        <v>42</v>
      </c>
      <c r="G12" s="8">
        <v>75000</v>
      </c>
      <c r="H12">
        <v>2</v>
      </c>
      <c r="I12">
        <v>2</v>
      </c>
      <c r="J12">
        <v>11</v>
      </c>
      <c r="K12">
        <v>22</v>
      </c>
      <c r="L12">
        <v>618</v>
      </c>
      <c r="M12" s="2" t="s">
        <v>36</v>
      </c>
      <c r="N12" t="s">
        <v>29</v>
      </c>
      <c r="O12" s="2" t="s">
        <v>16</v>
      </c>
      <c r="P12" t="s">
        <v>34</v>
      </c>
      <c r="Q12" t="str">
        <f t="shared" si="1"/>
        <v/>
      </c>
      <c r="R12" s="5">
        <v>46192</v>
      </c>
      <c r="S12" s="8">
        <f t="shared" si="2"/>
        <v>121.35922330097087</v>
      </c>
      <c r="T12">
        <f t="shared" si="3"/>
        <v>900000</v>
      </c>
      <c r="U12" t="str">
        <f t="shared" si="4"/>
        <v>Premium</v>
      </c>
      <c r="V12" t="str">
        <f t="shared" si="5"/>
        <v>Medium</v>
      </c>
      <c r="W12" t="str">
        <f>IF(S12 &lt; VLOOKUP(E12, Locality_Tier_Benchmarks!A:B, 2, FALSE) * 0.7, "Below Tier Range", "Normal")</f>
        <v>Normal</v>
      </c>
      <c r="X12" t="str">
        <f t="shared" si="6"/>
        <v>Normal</v>
      </c>
      <c r="Y12" t="str">
        <f t="shared" si="7"/>
        <v>Normal</v>
      </c>
      <c r="Z12" t="str">
        <f t="shared" si="0"/>
        <v>Pass</v>
      </c>
    </row>
    <row r="13" spans="1:26" x14ac:dyDescent="0.25">
      <c r="A13" s="2" t="s">
        <v>196</v>
      </c>
      <c r="B13" s="2" t="s">
        <v>17</v>
      </c>
      <c r="C13" s="2" t="s">
        <v>12</v>
      </c>
      <c r="D13" s="2" t="str">
        <f>VLOOKUP(C13,Locality_Reference!A:C,2,)</f>
        <v>Western Line</v>
      </c>
      <c r="E13" s="2" t="str">
        <f>VLOOKUP(C13,Locality_Reference!A:C,3,)</f>
        <v>Mid Suburb</v>
      </c>
      <c r="F13" s="2" t="s">
        <v>43</v>
      </c>
      <c r="G13" s="8">
        <v>125000</v>
      </c>
      <c r="H13">
        <v>3</v>
      </c>
      <c r="I13">
        <v>3</v>
      </c>
      <c r="J13">
        <v>9</v>
      </c>
      <c r="K13">
        <v>12</v>
      </c>
      <c r="L13">
        <v>1100</v>
      </c>
      <c r="M13" s="2" t="s">
        <v>36</v>
      </c>
      <c r="N13" t="s">
        <v>15</v>
      </c>
      <c r="O13" s="2" t="s">
        <v>16</v>
      </c>
      <c r="P13" t="s">
        <v>34</v>
      </c>
      <c r="Q13" t="str">
        <f t="shared" si="1"/>
        <v/>
      </c>
      <c r="R13" s="5">
        <v>46184</v>
      </c>
      <c r="S13" s="8">
        <f t="shared" si="2"/>
        <v>113.63636363636364</v>
      </c>
      <c r="T13">
        <f t="shared" si="3"/>
        <v>1500000</v>
      </c>
      <c r="U13" t="str">
        <f t="shared" si="4"/>
        <v>Luxury</v>
      </c>
      <c r="V13" t="str">
        <f t="shared" si="5"/>
        <v>Large</v>
      </c>
      <c r="W13" t="str">
        <f>IF(S13 &lt; VLOOKUP(E13, Locality_Tier_Benchmarks!A:B, 2, FALSE) * 0.7, "Below Tier Range", "Normal")</f>
        <v>Normal</v>
      </c>
      <c r="X13" t="str">
        <f t="shared" si="6"/>
        <v>Normal</v>
      </c>
      <c r="Y13" t="str">
        <f t="shared" si="7"/>
        <v>Normal</v>
      </c>
      <c r="Z13" t="str">
        <f t="shared" si="0"/>
        <v>Pass</v>
      </c>
    </row>
    <row r="14" spans="1:26" x14ac:dyDescent="0.25">
      <c r="A14" s="2" t="s">
        <v>197</v>
      </c>
      <c r="B14" s="2" t="s">
        <v>17</v>
      </c>
      <c r="C14" s="2" t="s">
        <v>12</v>
      </c>
      <c r="D14" s="2" t="str">
        <f>VLOOKUP(C14,Locality_Reference!A:C,2,)</f>
        <v>Western Line</v>
      </c>
      <c r="E14" s="2" t="str">
        <f>VLOOKUP(C14,Locality_Reference!A:C,3,)</f>
        <v>Mid Suburb</v>
      </c>
      <c r="F14" s="2" t="s">
        <v>44</v>
      </c>
      <c r="G14" s="8">
        <v>110000</v>
      </c>
      <c r="H14">
        <v>3</v>
      </c>
      <c r="I14">
        <v>3</v>
      </c>
      <c r="J14">
        <v>9</v>
      </c>
      <c r="K14">
        <v>15</v>
      </c>
      <c r="L14">
        <v>1100</v>
      </c>
      <c r="M14" s="2" t="s">
        <v>36</v>
      </c>
      <c r="N14" t="s">
        <v>29</v>
      </c>
      <c r="O14" s="2" t="s">
        <v>16</v>
      </c>
      <c r="P14" t="s">
        <v>34</v>
      </c>
      <c r="Q14" t="str">
        <f t="shared" si="1"/>
        <v/>
      </c>
      <c r="R14" s="5">
        <v>46182</v>
      </c>
      <c r="S14" s="8">
        <f t="shared" si="2"/>
        <v>100</v>
      </c>
      <c r="T14">
        <f t="shared" si="3"/>
        <v>1320000</v>
      </c>
      <c r="U14" t="str">
        <f t="shared" si="4"/>
        <v>Luxury</v>
      </c>
      <c r="V14" t="str">
        <f t="shared" si="5"/>
        <v>Large</v>
      </c>
      <c r="W14" t="str">
        <f>IF(S14 &lt; VLOOKUP(E14, Locality_Tier_Benchmarks!A:B, 2, FALSE) * 0.7, "Below Tier Range", "Normal")</f>
        <v>Normal</v>
      </c>
      <c r="X14" t="str">
        <f t="shared" si="6"/>
        <v>Normal</v>
      </c>
      <c r="Y14" t="str">
        <f t="shared" si="7"/>
        <v>Normal</v>
      </c>
      <c r="Z14" t="str">
        <f t="shared" si="0"/>
        <v>Pass</v>
      </c>
    </row>
    <row r="15" spans="1:26" x14ac:dyDescent="0.25">
      <c r="A15" s="2" t="s">
        <v>198</v>
      </c>
      <c r="B15" s="2" t="s">
        <v>17</v>
      </c>
      <c r="C15" s="2" t="s">
        <v>27</v>
      </c>
      <c r="D15" s="2" t="str">
        <f>VLOOKUP(C15,Locality_Reference!A:C,2,)</f>
        <v>Western Line</v>
      </c>
      <c r="E15" s="2" t="str">
        <f>VLOOKUP(C15,Locality_Reference!A:C,3,)</f>
        <v>Mid Suburb</v>
      </c>
      <c r="F15" s="2" t="s">
        <v>45</v>
      </c>
      <c r="G15" s="8">
        <v>94000</v>
      </c>
      <c r="H15">
        <v>2</v>
      </c>
      <c r="I15">
        <v>2</v>
      </c>
      <c r="J15">
        <v>11</v>
      </c>
      <c r="K15">
        <v>27</v>
      </c>
      <c r="L15">
        <v>1185</v>
      </c>
      <c r="M15" s="2" t="s">
        <v>36</v>
      </c>
      <c r="N15" t="s">
        <v>29</v>
      </c>
      <c r="O15" s="2" t="s">
        <v>16</v>
      </c>
      <c r="P15" t="s">
        <v>34</v>
      </c>
      <c r="Q15" t="str">
        <f t="shared" si="1"/>
        <v/>
      </c>
      <c r="R15" s="5">
        <v>46192</v>
      </c>
      <c r="S15" s="8">
        <f t="shared" si="2"/>
        <v>79.324894514767934</v>
      </c>
      <c r="T15">
        <f t="shared" si="3"/>
        <v>1128000</v>
      </c>
      <c r="U15" t="str">
        <f t="shared" si="4"/>
        <v>Premium</v>
      </c>
      <c r="V15" t="str">
        <f t="shared" si="5"/>
        <v>Large</v>
      </c>
      <c r="W15" t="str">
        <f>IF(S15 &lt; VLOOKUP(E15, Locality_Tier_Benchmarks!A:B, 2, FALSE) * 0.7, "Below Tier Range", "Normal")</f>
        <v>Normal</v>
      </c>
      <c r="X15" t="str">
        <f t="shared" si="6"/>
        <v>Normal</v>
      </c>
      <c r="Y15" t="str">
        <f t="shared" si="7"/>
        <v>Normal</v>
      </c>
      <c r="Z15" t="str">
        <f t="shared" si="0"/>
        <v>Pass</v>
      </c>
    </row>
    <row r="16" spans="1:26" x14ac:dyDescent="0.25">
      <c r="A16" s="2" t="s">
        <v>199</v>
      </c>
      <c r="B16" s="2" t="s">
        <v>17</v>
      </c>
      <c r="C16" s="2" t="s">
        <v>27</v>
      </c>
      <c r="D16" s="2" t="str">
        <f>VLOOKUP(C16,Locality_Reference!A:C,2,)</f>
        <v>Western Line</v>
      </c>
      <c r="E16" s="2" t="str">
        <f>VLOOKUP(C16,Locality_Reference!A:C,3,)</f>
        <v>Mid Suburb</v>
      </c>
      <c r="F16" s="2" t="s">
        <v>46</v>
      </c>
      <c r="G16" s="8">
        <v>120000</v>
      </c>
      <c r="H16">
        <v>2</v>
      </c>
      <c r="I16">
        <v>2</v>
      </c>
      <c r="J16">
        <v>11</v>
      </c>
      <c r="K16">
        <v>17</v>
      </c>
      <c r="L16">
        <v>731</v>
      </c>
      <c r="M16" s="2" t="s">
        <v>36</v>
      </c>
      <c r="N16" t="s">
        <v>29</v>
      </c>
      <c r="O16" s="2" t="s">
        <v>16</v>
      </c>
      <c r="P16" t="s">
        <v>47</v>
      </c>
      <c r="Q16" t="str">
        <f t="shared" si="1"/>
        <v>1</v>
      </c>
      <c r="R16" s="5">
        <v>46193</v>
      </c>
      <c r="S16" s="8">
        <f t="shared" si="2"/>
        <v>164.15868673050616</v>
      </c>
      <c r="T16">
        <f t="shared" si="3"/>
        <v>1440000</v>
      </c>
      <c r="U16" t="str">
        <f t="shared" si="4"/>
        <v>Luxury</v>
      </c>
      <c r="V16" t="str">
        <f t="shared" si="5"/>
        <v>Medium</v>
      </c>
      <c r="W16" t="str">
        <f>IF(S16 &lt; VLOOKUP(E16, Locality_Tier_Benchmarks!A:B, 2, FALSE) * 0.7, "Below Tier Range", "Normal")</f>
        <v>Normal</v>
      </c>
      <c r="X16" t="str">
        <f t="shared" si="6"/>
        <v>Normal</v>
      </c>
      <c r="Y16" t="str">
        <f t="shared" si="7"/>
        <v>Normal</v>
      </c>
      <c r="Z16" t="str">
        <f t="shared" si="0"/>
        <v>Pass</v>
      </c>
    </row>
    <row r="17" spans="1:26" x14ac:dyDescent="0.25">
      <c r="A17" s="2" t="s">
        <v>200</v>
      </c>
      <c r="B17" s="2" t="s">
        <v>17</v>
      </c>
      <c r="C17" s="2" t="s">
        <v>27</v>
      </c>
      <c r="D17" s="2" t="str">
        <f>VLOOKUP(C17,Locality_Reference!A:C,2,)</f>
        <v>Western Line</v>
      </c>
      <c r="E17" s="2" t="str">
        <f>VLOOKUP(C17,Locality_Reference!A:C,3,)</f>
        <v>Mid Suburb</v>
      </c>
      <c r="F17" s="2" t="s">
        <v>45</v>
      </c>
      <c r="G17" s="8">
        <v>133000</v>
      </c>
      <c r="H17">
        <v>3</v>
      </c>
      <c r="I17">
        <v>3</v>
      </c>
      <c r="J17">
        <v>15</v>
      </c>
      <c r="K17">
        <v>27</v>
      </c>
      <c r="L17">
        <v>1350</v>
      </c>
      <c r="M17" s="2" t="s">
        <v>36</v>
      </c>
      <c r="N17" t="s">
        <v>29</v>
      </c>
      <c r="O17" s="2" t="s">
        <v>16</v>
      </c>
      <c r="P17" t="s">
        <v>34</v>
      </c>
      <c r="Q17" t="str">
        <f t="shared" si="1"/>
        <v/>
      </c>
      <c r="R17" s="5">
        <v>46192</v>
      </c>
      <c r="S17" s="8">
        <f t="shared" si="2"/>
        <v>98.518518518518519</v>
      </c>
      <c r="T17">
        <f t="shared" si="3"/>
        <v>1596000</v>
      </c>
      <c r="U17" t="str">
        <f t="shared" si="4"/>
        <v>Luxury</v>
      </c>
      <c r="V17" t="str">
        <f t="shared" si="5"/>
        <v>Spacious</v>
      </c>
      <c r="W17" t="str">
        <f>IF(S17 &lt; VLOOKUP(E17, Locality_Tier_Benchmarks!A:B, 2, FALSE) * 0.7, "Below Tier Range", "Normal")</f>
        <v>Normal</v>
      </c>
      <c r="X17" t="str">
        <f t="shared" si="6"/>
        <v>Normal</v>
      </c>
      <c r="Y17" t="str">
        <f t="shared" si="7"/>
        <v>Normal</v>
      </c>
      <c r="Z17" t="str">
        <f t="shared" si="0"/>
        <v>Pass</v>
      </c>
    </row>
    <row r="18" spans="1:26" x14ac:dyDescent="0.25">
      <c r="A18" s="2" t="s">
        <v>201</v>
      </c>
      <c r="B18" s="2" t="s">
        <v>17</v>
      </c>
      <c r="C18" s="2" t="s">
        <v>12</v>
      </c>
      <c r="D18" s="2" t="str">
        <f>VLOOKUP(C18,Locality_Reference!A:C,2,)</f>
        <v>Western Line</v>
      </c>
      <c r="E18" s="2" t="str">
        <f>VLOOKUP(C18,Locality_Reference!A:C,3,)</f>
        <v>Mid Suburb</v>
      </c>
      <c r="F18" s="2" t="s">
        <v>48</v>
      </c>
      <c r="G18" s="8">
        <v>210000</v>
      </c>
      <c r="H18">
        <v>3</v>
      </c>
      <c r="I18">
        <v>3</v>
      </c>
      <c r="J18">
        <v>14</v>
      </c>
      <c r="K18">
        <v>29</v>
      </c>
      <c r="L18">
        <v>1381</v>
      </c>
      <c r="M18" s="2" t="s">
        <v>33</v>
      </c>
      <c r="N18" t="s">
        <v>29</v>
      </c>
      <c r="O18" s="2" t="s">
        <v>16</v>
      </c>
      <c r="P18" t="s">
        <v>31</v>
      </c>
      <c r="Q18" t="str">
        <f t="shared" si="1"/>
        <v>3</v>
      </c>
      <c r="R18" s="5">
        <v>46185</v>
      </c>
      <c r="S18" s="8">
        <f t="shared" si="2"/>
        <v>152.06372194062274</v>
      </c>
      <c r="T18">
        <f t="shared" si="3"/>
        <v>2520000</v>
      </c>
      <c r="U18" t="str">
        <f t="shared" si="4"/>
        <v>Luxury</v>
      </c>
      <c r="V18" t="str">
        <f t="shared" si="5"/>
        <v>Spacious</v>
      </c>
      <c r="W18" t="str">
        <f>IF(S18 &lt; VLOOKUP(E18, Locality_Tier_Benchmarks!A:B, 2, FALSE) * 0.7, "Below Tier Range", "Normal")</f>
        <v>Normal</v>
      </c>
      <c r="X18" t="str">
        <f t="shared" si="6"/>
        <v>Normal</v>
      </c>
      <c r="Y18" t="str">
        <f t="shared" si="7"/>
        <v>Normal</v>
      </c>
      <c r="Z18" t="str">
        <f t="shared" si="0"/>
        <v>Pass</v>
      </c>
    </row>
    <row r="19" spans="1:26" x14ac:dyDescent="0.25">
      <c r="A19" s="2" t="s">
        <v>202</v>
      </c>
      <c r="B19" s="2" t="s">
        <v>17</v>
      </c>
      <c r="C19" s="2" t="s">
        <v>27</v>
      </c>
      <c r="D19" s="2" t="str">
        <f>VLOOKUP(C19,Locality_Reference!A:C,2,)</f>
        <v>Western Line</v>
      </c>
      <c r="E19" s="2" t="str">
        <f>VLOOKUP(C19,Locality_Reference!A:C,3,)</f>
        <v>Mid Suburb</v>
      </c>
      <c r="F19" s="2" t="s">
        <v>40</v>
      </c>
      <c r="G19" s="8">
        <v>120000</v>
      </c>
      <c r="H19">
        <v>2</v>
      </c>
      <c r="I19">
        <v>2</v>
      </c>
      <c r="J19">
        <v>19</v>
      </c>
      <c r="K19">
        <v>35</v>
      </c>
      <c r="L19">
        <v>680</v>
      </c>
      <c r="M19" s="2" t="s">
        <v>36</v>
      </c>
      <c r="N19" t="s">
        <v>15</v>
      </c>
      <c r="O19" s="2" t="s">
        <v>16</v>
      </c>
      <c r="P19" t="s">
        <v>34</v>
      </c>
      <c r="Q19" t="str">
        <f t="shared" si="1"/>
        <v/>
      </c>
      <c r="R19" s="5">
        <v>46184</v>
      </c>
      <c r="S19" s="8">
        <f t="shared" si="2"/>
        <v>176.47058823529412</v>
      </c>
      <c r="T19">
        <f t="shared" si="3"/>
        <v>1440000</v>
      </c>
      <c r="U19" t="str">
        <f t="shared" si="4"/>
        <v>Luxury</v>
      </c>
      <c r="V19" t="str">
        <f t="shared" si="5"/>
        <v>Medium</v>
      </c>
      <c r="W19" t="str">
        <f>IF(S19 &lt; VLOOKUP(E19, Locality_Tier_Benchmarks!A:B, 2, FALSE) * 0.7, "Below Tier Range", "Normal")</f>
        <v>Normal</v>
      </c>
      <c r="X19" t="str">
        <f t="shared" si="6"/>
        <v>Normal</v>
      </c>
      <c r="Y19" t="str">
        <f t="shared" si="7"/>
        <v>Normal</v>
      </c>
      <c r="Z19" t="str">
        <f t="shared" si="0"/>
        <v>Pass</v>
      </c>
    </row>
    <row r="20" spans="1:26" x14ac:dyDescent="0.25">
      <c r="A20" s="2" t="s">
        <v>203</v>
      </c>
      <c r="B20" s="2" t="s">
        <v>17</v>
      </c>
      <c r="C20" s="2" t="s">
        <v>12</v>
      </c>
      <c r="D20" s="2" t="str">
        <f>VLOOKUP(C20,Locality_Reference!A:C,2,)</f>
        <v>Western Line</v>
      </c>
      <c r="E20" s="2" t="str">
        <f>VLOOKUP(C20,Locality_Reference!A:C,3,)</f>
        <v>Mid Suburb</v>
      </c>
      <c r="F20" s="2" t="s">
        <v>44</v>
      </c>
      <c r="G20" s="8">
        <v>80000</v>
      </c>
      <c r="H20">
        <v>2</v>
      </c>
      <c r="I20">
        <v>2</v>
      </c>
      <c r="J20">
        <v>7</v>
      </c>
      <c r="K20">
        <v>15</v>
      </c>
      <c r="L20">
        <v>755</v>
      </c>
      <c r="M20" s="2" t="s">
        <v>36</v>
      </c>
      <c r="N20" t="s">
        <v>29</v>
      </c>
      <c r="O20" s="2" t="s">
        <v>16</v>
      </c>
      <c r="P20" t="s">
        <v>31</v>
      </c>
      <c r="Q20" t="str">
        <f t="shared" si="1"/>
        <v>3</v>
      </c>
      <c r="R20" s="5">
        <v>46182</v>
      </c>
      <c r="S20" s="8">
        <f t="shared" si="2"/>
        <v>105.96026490066225</v>
      </c>
      <c r="T20">
        <f t="shared" si="3"/>
        <v>960000</v>
      </c>
      <c r="U20" t="str">
        <f t="shared" si="4"/>
        <v>Premium</v>
      </c>
      <c r="V20" t="str">
        <f t="shared" si="5"/>
        <v>Medium</v>
      </c>
      <c r="W20" t="str">
        <f>IF(S20 &lt; VLOOKUP(E20, Locality_Tier_Benchmarks!A:B, 2, FALSE) * 0.7, "Below Tier Range", "Normal")</f>
        <v>Normal</v>
      </c>
      <c r="X20" t="str">
        <f t="shared" si="6"/>
        <v>Normal</v>
      </c>
      <c r="Y20" t="str">
        <f t="shared" si="7"/>
        <v>Normal</v>
      </c>
      <c r="Z20" t="str">
        <f t="shared" si="0"/>
        <v>Pass</v>
      </c>
    </row>
    <row r="21" spans="1:26" x14ac:dyDescent="0.25">
      <c r="A21" s="2" t="s">
        <v>204</v>
      </c>
      <c r="B21" s="2" t="s">
        <v>17</v>
      </c>
      <c r="C21" s="2" t="s">
        <v>27</v>
      </c>
      <c r="D21" s="2" t="str">
        <f>VLOOKUP(C21,Locality_Reference!A:C,2,)</f>
        <v>Western Line</v>
      </c>
      <c r="E21" s="2" t="str">
        <f>VLOOKUP(C21,Locality_Reference!A:C,3,)</f>
        <v>Mid Suburb</v>
      </c>
      <c r="F21" s="2" t="s">
        <v>49</v>
      </c>
      <c r="G21" s="8">
        <v>140000</v>
      </c>
      <c r="H21">
        <v>3</v>
      </c>
      <c r="I21">
        <v>3</v>
      </c>
      <c r="J21">
        <v>10</v>
      </c>
      <c r="K21">
        <v>25</v>
      </c>
      <c r="L21">
        <v>1300</v>
      </c>
      <c r="M21" s="2" t="s">
        <v>36</v>
      </c>
      <c r="N21" t="s">
        <v>15</v>
      </c>
      <c r="O21" s="2" t="s">
        <v>16</v>
      </c>
      <c r="P21" t="s">
        <v>23</v>
      </c>
      <c r="Q21" t="str">
        <f t="shared" si="1"/>
        <v>10</v>
      </c>
      <c r="R21" s="5">
        <v>46188</v>
      </c>
      <c r="S21" s="8">
        <f t="shared" si="2"/>
        <v>107.69230769230769</v>
      </c>
      <c r="T21">
        <f t="shared" si="3"/>
        <v>1680000</v>
      </c>
      <c r="U21" t="str">
        <f t="shared" si="4"/>
        <v>Luxury</v>
      </c>
      <c r="V21" t="str">
        <f t="shared" si="5"/>
        <v>Spacious</v>
      </c>
      <c r="W21" t="str">
        <f>IF(S21 &lt; VLOOKUP(E21, Locality_Tier_Benchmarks!A:B, 2, FALSE) * 0.7, "Below Tier Range", "Normal")</f>
        <v>Normal</v>
      </c>
      <c r="X21" t="str">
        <f t="shared" si="6"/>
        <v>Normal</v>
      </c>
      <c r="Y21" t="str">
        <f t="shared" si="7"/>
        <v>Normal</v>
      </c>
      <c r="Z21" t="str">
        <f t="shared" si="0"/>
        <v>Pass</v>
      </c>
    </row>
    <row r="22" spans="1:26" x14ac:dyDescent="0.25">
      <c r="A22" s="2" t="s">
        <v>205</v>
      </c>
      <c r="B22" s="2" t="s">
        <v>17</v>
      </c>
      <c r="C22" s="2" t="s">
        <v>12</v>
      </c>
      <c r="D22" s="2" t="str">
        <f>VLOOKUP(C22,Locality_Reference!A:C,2,)</f>
        <v>Western Line</v>
      </c>
      <c r="E22" s="2" t="str">
        <f>VLOOKUP(C22,Locality_Reference!A:C,3,)</f>
        <v>Mid Suburb</v>
      </c>
      <c r="F22" s="2" t="s">
        <v>50</v>
      </c>
      <c r="G22" s="8">
        <v>65000</v>
      </c>
      <c r="H22">
        <v>2</v>
      </c>
      <c r="I22">
        <v>2</v>
      </c>
      <c r="J22">
        <v>7</v>
      </c>
      <c r="K22">
        <v>24</v>
      </c>
      <c r="L22">
        <v>710</v>
      </c>
      <c r="M22" s="2" t="s">
        <v>36</v>
      </c>
      <c r="N22" t="s">
        <v>15</v>
      </c>
      <c r="O22" s="2" t="s">
        <v>16</v>
      </c>
      <c r="P22" t="s">
        <v>34</v>
      </c>
      <c r="Q22" t="str">
        <f t="shared" si="1"/>
        <v/>
      </c>
      <c r="R22" s="5">
        <v>46184</v>
      </c>
      <c r="S22" s="8">
        <f t="shared" si="2"/>
        <v>91.549295774647888</v>
      </c>
      <c r="T22">
        <f t="shared" si="3"/>
        <v>780000</v>
      </c>
      <c r="U22" t="str">
        <f t="shared" si="4"/>
        <v>Premium</v>
      </c>
      <c r="V22" t="str">
        <f t="shared" si="5"/>
        <v>Medium</v>
      </c>
      <c r="W22" t="str">
        <f>IF(S22 &lt; VLOOKUP(E22, Locality_Tier_Benchmarks!A:B, 2, FALSE) * 0.7, "Below Tier Range", "Normal")</f>
        <v>Normal</v>
      </c>
      <c r="X22" t="str">
        <f t="shared" si="6"/>
        <v>Normal</v>
      </c>
      <c r="Y22" t="str">
        <f t="shared" si="7"/>
        <v>Normal</v>
      </c>
      <c r="Z22" t="str">
        <f t="shared" si="0"/>
        <v>Pass</v>
      </c>
    </row>
    <row r="23" spans="1:26" x14ac:dyDescent="0.25">
      <c r="A23" s="2" t="s">
        <v>206</v>
      </c>
      <c r="B23" s="2" t="s">
        <v>17</v>
      </c>
      <c r="C23" s="2" t="s">
        <v>27</v>
      </c>
      <c r="D23" s="2" t="str">
        <f>VLOOKUP(C23,Locality_Reference!A:C,2,)</f>
        <v>Western Line</v>
      </c>
      <c r="E23" s="2" t="str">
        <f>VLOOKUP(C23,Locality_Reference!A:C,3,)</f>
        <v>Mid Suburb</v>
      </c>
      <c r="F23" s="2" t="s">
        <v>51</v>
      </c>
      <c r="G23" s="8">
        <v>70000</v>
      </c>
      <c r="H23">
        <v>2</v>
      </c>
      <c r="I23">
        <v>2</v>
      </c>
      <c r="J23">
        <v>19</v>
      </c>
      <c r="K23">
        <v>20</v>
      </c>
      <c r="L23">
        <v>750</v>
      </c>
      <c r="M23" s="2" t="s">
        <v>33</v>
      </c>
      <c r="N23" t="s">
        <v>29</v>
      </c>
      <c r="O23" s="2" t="s">
        <v>16</v>
      </c>
      <c r="P23" t="s">
        <v>52</v>
      </c>
      <c r="Q23" t="str">
        <f t="shared" si="1"/>
        <v>7.5</v>
      </c>
      <c r="R23" s="5">
        <v>46150</v>
      </c>
      <c r="S23" s="8">
        <f t="shared" si="2"/>
        <v>93.333333333333329</v>
      </c>
      <c r="T23">
        <f t="shared" si="3"/>
        <v>840000</v>
      </c>
      <c r="U23" t="str">
        <f t="shared" si="4"/>
        <v>Premium</v>
      </c>
      <c r="V23" t="str">
        <f t="shared" si="5"/>
        <v>Medium</v>
      </c>
      <c r="W23" t="str">
        <f>IF(S23 &lt; VLOOKUP(E23, Locality_Tier_Benchmarks!A:B, 2, FALSE) * 0.7, "Below Tier Range", "Normal")</f>
        <v>Normal</v>
      </c>
      <c r="X23" t="str">
        <f t="shared" si="6"/>
        <v>Normal</v>
      </c>
      <c r="Y23" t="str">
        <f t="shared" si="7"/>
        <v>Normal</v>
      </c>
      <c r="Z23" t="str">
        <f t="shared" si="0"/>
        <v>Pass</v>
      </c>
    </row>
    <row r="24" spans="1:26" x14ac:dyDescent="0.25">
      <c r="A24" s="2" t="s">
        <v>207</v>
      </c>
      <c r="B24" s="2" t="s">
        <v>17</v>
      </c>
      <c r="C24" s="2" t="s">
        <v>27</v>
      </c>
      <c r="D24" s="2" t="str">
        <f>VLOOKUP(C24,Locality_Reference!A:C,2,)</f>
        <v>Western Line</v>
      </c>
      <c r="E24" s="2" t="str">
        <f>VLOOKUP(C24,Locality_Reference!A:C,3,)</f>
        <v>Mid Suburb</v>
      </c>
      <c r="F24" s="2" t="s">
        <v>53</v>
      </c>
      <c r="G24" s="8">
        <v>68000</v>
      </c>
      <c r="H24">
        <v>2</v>
      </c>
      <c r="I24">
        <v>2</v>
      </c>
      <c r="J24">
        <v>10</v>
      </c>
      <c r="K24">
        <v>14</v>
      </c>
      <c r="L24">
        <v>725</v>
      </c>
      <c r="M24" s="2" t="s">
        <v>36</v>
      </c>
      <c r="N24" t="s">
        <v>29</v>
      </c>
      <c r="O24" s="2" t="s">
        <v>16</v>
      </c>
      <c r="P24" t="s">
        <v>34</v>
      </c>
      <c r="Q24" t="str">
        <f t="shared" si="1"/>
        <v/>
      </c>
      <c r="R24" s="5">
        <v>46193</v>
      </c>
      <c r="S24" s="8">
        <f t="shared" si="2"/>
        <v>93.793103448275858</v>
      </c>
      <c r="T24">
        <f t="shared" si="3"/>
        <v>816000</v>
      </c>
      <c r="U24" t="str">
        <f t="shared" si="4"/>
        <v>Premium</v>
      </c>
      <c r="V24" t="str">
        <f t="shared" si="5"/>
        <v>Medium</v>
      </c>
      <c r="W24" t="str">
        <f>IF(S24 &lt; VLOOKUP(E24, Locality_Tier_Benchmarks!A:B, 2, FALSE) * 0.7, "Below Tier Range", "Normal")</f>
        <v>Normal</v>
      </c>
      <c r="X24" t="str">
        <f t="shared" si="6"/>
        <v>Normal</v>
      </c>
      <c r="Y24" t="str">
        <f t="shared" si="7"/>
        <v>Normal</v>
      </c>
      <c r="Z24" t="str">
        <f t="shared" si="0"/>
        <v>Pass</v>
      </c>
    </row>
    <row r="25" spans="1:26" x14ac:dyDescent="0.25">
      <c r="A25" s="2" t="s">
        <v>208</v>
      </c>
      <c r="B25" s="2" t="s">
        <v>17</v>
      </c>
      <c r="C25" s="2" t="s">
        <v>27</v>
      </c>
      <c r="D25" s="2" t="str">
        <f>VLOOKUP(C25,Locality_Reference!A:C,2,)</f>
        <v>Western Line</v>
      </c>
      <c r="E25" s="2" t="str">
        <f>VLOOKUP(C25,Locality_Reference!A:C,3,)</f>
        <v>Mid Suburb</v>
      </c>
      <c r="F25" s="2" t="s">
        <v>54</v>
      </c>
      <c r="G25" s="8">
        <v>130000</v>
      </c>
      <c r="H25">
        <v>2</v>
      </c>
      <c r="I25">
        <v>2</v>
      </c>
      <c r="J25">
        <v>15</v>
      </c>
      <c r="K25">
        <v>29</v>
      </c>
      <c r="L25">
        <v>932</v>
      </c>
      <c r="M25" s="2" t="s">
        <v>36</v>
      </c>
      <c r="N25" t="s">
        <v>29</v>
      </c>
      <c r="O25" s="2" t="s">
        <v>16</v>
      </c>
      <c r="P25" t="s">
        <v>34</v>
      </c>
      <c r="Q25" t="str">
        <f t="shared" si="1"/>
        <v/>
      </c>
      <c r="R25" s="5">
        <v>46192</v>
      </c>
      <c r="S25" s="8">
        <f t="shared" si="2"/>
        <v>139.48497854077254</v>
      </c>
      <c r="T25">
        <f t="shared" si="3"/>
        <v>1560000</v>
      </c>
      <c r="U25" t="str">
        <f t="shared" si="4"/>
        <v>Luxury</v>
      </c>
      <c r="V25" t="str">
        <f t="shared" si="5"/>
        <v>Large</v>
      </c>
      <c r="W25" t="str">
        <f>IF(S25 &lt; VLOOKUP(E25, Locality_Tier_Benchmarks!A:B, 2, FALSE) * 0.7, "Below Tier Range", "Normal")</f>
        <v>Normal</v>
      </c>
      <c r="X25" t="str">
        <f t="shared" si="6"/>
        <v>Normal</v>
      </c>
      <c r="Y25" t="str">
        <f t="shared" si="7"/>
        <v>Normal</v>
      </c>
      <c r="Z25" t="str">
        <f t="shared" si="0"/>
        <v>Pass</v>
      </c>
    </row>
    <row r="26" spans="1:26" x14ac:dyDescent="0.25">
      <c r="A26" s="2" t="s">
        <v>209</v>
      </c>
      <c r="B26" s="2" t="s">
        <v>17</v>
      </c>
      <c r="C26" s="2" t="s">
        <v>27</v>
      </c>
      <c r="D26" s="2" t="str">
        <f>VLOOKUP(C26,Locality_Reference!A:C,2,)</f>
        <v>Western Line</v>
      </c>
      <c r="E26" s="2" t="str">
        <f>VLOOKUP(C26,Locality_Reference!A:C,3,)</f>
        <v>Mid Suburb</v>
      </c>
      <c r="F26" s="2" t="s">
        <v>35</v>
      </c>
      <c r="G26" s="8">
        <v>200000</v>
      </c>
      <c r="H26">
        <v>3</v>
      </c>
      <c r="I26">
        <v>3</v>
      </c>
      <c r="J26">
        <v>11</v>
      </c>
      <c r="K26">
        <v>33</v>
      </c>
      <c r="L26">
        <v>1560</v>
      </c>
      <c r="M26" s="2" t="s">
        <v>36</v>
      </c>
      <c r="N26" t="s">
        <v>29</v>
      </c>
      <c r="O26" s="2" t="s">
        <v>16</v>
      </c>
      <c r="P26" t="s">
        <v>34</v>
      </c>
      <c r="Q26" t="str">
        <f t="shared" si="1"/>
        <v/>
      </c>
      <c r="R26" s="5">
        <v>46195</v>
      </c>
      <c r="S26" s="8">
        <f t="shared" si="2"/>
        <v>128.2051282051282</v>
      </c>
      <c r="T26">
        <f t="shared" si="3"/>
        <v>2400000</v>
      </c>
      <c r="U26" t="str">
        <f t="shared" si="4"/>
        <v>Luxury</v>
      </c>
      <c r="V26" t="str">
        <f t="shared" si="5"/>
        <v>Spacious</v>
      </c>
      <c r="W26" t="str">
        <f>IF(S26 &lt; VLOOKUP(E26, Locality_Tier_Benchmarks!A:B, 2, FALSE) * 0.7, "Below Tier Range", "Normal")</f>
        <v>Normal</v>
      </c>
      <c r="X26" t="str">
        <f t="shared" si="6"/>
        <v>Normal</v>
      </c>
      <c r="Y26" t="str">
        <f t="shared" si="7"/>
        <v>Normal</v>
      </c>
      <c r="Z26" t="str">
        <f t="shared" si="0"/>
        <v>Pass</v>
      </c>
    </row>
    <row r="27" spans="1:26" x14ac:dyDescent="0.25">
      <c r="A27" s="2" t="s">
        <v>210</v>
      </c>
      <c r="B27" s="2" t="s">
        <v>17</v>
      </c>
      <c r="C27" s="2" t="s">
        <v>27</v>
      </c>
      <c r="D27" s="2" t="str">
        <f>VLOOKUP(C27,Locality_Reference!A:C,2,)</f>
        <v>Western Line</v>
      </c>
      <c r="E27" s="2" t="str">
        <f>VLOOKUP(C27,Locality_Reference!A:C,3,)</f>
        <v>Mid Suburb</v>
      </c>
      <c r="F27" s="2" t="s">
        <v>46</v>
      </c>
      <c r="G27" s="8">
        <v>160000</v>
      </c>
      <c r="H27">
        <v>3</v>
      </c>
      <c r="I27">
        <v>3</v>
      </c>
      <c r="J27">
        <v>11</v>
      </c>
      <c r="K27">
        <v>17</v>
      </c>
      <c r="L27">
        <v>952</v>
      </c>
      <c r="M27" s="2" t="s">
        <v>36</v>
      </c>
      <c r="N27" t="s">
        <v>29</v>
      </c>
      <c r="O27" s="2" t="s">
        <v>16</v>
      </c>
      <c r="P27" t="s">
        <v>47</v>
      </c>
      <c r="Q27" t="str">
        <f t="shared" si="1"/>
        <v>1</v>
      </c>
      <c r="R27" s="5">
        <v>46193</v>
      </c>
      <c r="S27" s="8">
        <f t="shared" si="2"/>
        <v>168.0672268907563</v>
      </c>
      <c r="T27">
        <f t="shared" si="3"/>
        <v>1920000</v>
      </c>
      <c r="U27" t="str">
        <f t="shared" si="4"/>
        <v>Luxury</v>
      </c>
      <c r="V27" t="str">
        <f t="shared" si="5"/>
        <v>Large</v>
      </c>
      <c r="W27" t="str">
        <f>IF(S27 &lt; VLOOKUP(E27, Locality_Tier_Benchmarks!A:B, 2, FALSE) * 0.7, "Below Tier Range", "Normal")</f>
        <v>Normal</v>
      </c>
      <c r="X27" t="str">
        <f t="shared" si="6"/>
        <v>Normal</v>
      </c>
      <c r="Y27" t="str">
        <f t="shared" si="7"/>
        <v>Normal</v>
      </c>
      <c r="Z27" t="str">
        <f t="shared" si="0"/>
        <v>Pass</v>
      </c>
    </row>
    <row r="28" spans="1:26" x14ac:dyDescent="0.25">
      <c r="A28" s="2" t="s">
        <v>211</v>
      </c>
      <c r="B28" s="2" t="s">
        <v>17</v>
      </c>
      <c r="C28" s="2" t="s">
        <v>12</v>
      </c>
      <c r="D28" s="2" t="str">
        <f>VLOOKUP(C28,Locality_Reference!A:C,2,)</f>
        <v>Western Line</v>
      </c>
      <c r="E28" s="2" t="str">
        <f>VLOOKUP(C28,Locality_Reference!A:C,3,)</f>
        <v>Mid Suburb</v>
      </c>
      <c r="F28" s="2" t="s">
        <v>55</v>
      </c>
      <c r="G28" s="8">
        <v>90000</v>
      </c>
      <c r="H28">
        <v>2</v>
      </c>
      <c r="I28">
        <v>2</v>
      </c>
      <c r="J28">
        <v>4</v>
      </c>
      <c r="K28">
        <v>7</v>
      </c>
      <c r="L28">
        <v>700</v>
      </c>
      <c r="M28" s="2" t="s">
        <v>14</v>
      </c>
      <c r="N28" t="s">
        <v>15</v>
      </c>
      <c r="O28" s="2" t="s">
        <v>16</v>
      </c>
      <c r="P28" t="s">
        <v>23</v>
      </c>
      <c r="Q28" t="str">
        <f t="shared" si="1"/>
        <v>10</v>
      </c>
      <c r="R28" s="5">
        <v>46183</v>
      </c>
      <c r="S28" s="8">
        <f t="shared" si="2"/>
        <v>128.57142857142858</v>
      </c>
      <c r="T28">
        <f t="shared" si="3"/>
        <v>1080000</v>
      </c>
      <c r="U28" t="str">
        <f t="shared" si="4"/>
        <v>Premium</v>
      </c>
      <c r="V28" t="str">
        <f t="shared" si="5"/>
        <v>Medium</v>
      </c>
      <c r="W28" t="str">
        <f>IF(S28 &lt; VLOOKUP(E28, Locality_Tier_Benchmarks!A:B, 2, FALSE) * 0.7, "Below Tier Range", "Normal")</f>
        <v>Normal</v>
      </c>
      <c r="X28" t="str">
        <f t="shared" si="6"/>
        <v>Normal</v>
      </c>
      <c r="Y28" t="str">
        <f t="shared" si="7"/>
        <v>Normal</v>
      </c>
      <c r="Z28" t="str">
        <f t="shared" si="0"/>
        <v>Pass</v>
      </c>
    </row>
    <row r="29" spans="1:26" x14ac:dyDescent="0.25">
      <c r="A29" s="2" t="s">
        <v>212</v>
      </c>
      <c r="B29" s="2" t="s">
        <v>17</v>
      </c>
      <c r="C29" s="2" t="s">
        <v>27</v>
      </c>
      <c r="D29" s="2" t="str">
        <f>VLOOKUP(C29,Locality_Reference!A:C,2,)</f>
        <v>Western Line</v>
      </c>
      <c r="E29" s="2" t="str">
        <f>VLOOKUP(C29,Locality_Reference!A:C,3,)</f>
        <v>Mid Suburb</v>
      </c>
      <c r="F29" s="2" t="s">
        <v>56</v>
      </c>
      <c r="G29" s="8">
        <v>70000</v>
      </c>
      <c r="H29">
        <v>2</v>
      </c>
      <c r="I29">
        <v>2</v>
      </c>
      <c r="J29">
        <v>1</v>
      </c>
      <c r="K29">
        <v>6</v>
      </c>
      <c r="L29">
        <v>800</v>
      </c>
      <c r="M29" s="2" t="s">
        <v>36</v>
      </c>
      <c r="N29" t="s">
        <v>29</v>
      </c>
      <c r="O29" s="2" t="s">
        <v>16</v>
      </c>
      <c r="P29" t="s">
        <v>23</v>
      </c>
      <c r="Q29" t="str">
        <f t="shared" si="1"/>
        <v>10</v>
      </c>
      <c r="R29" s="5">
        <v>46195</v>
      </c>
      <c r="S29" s="8">
        <f t="shared" si="2"/>
        <v>87.5</v>
      </c>
      <c r="T29">
        <f t="shared" si="3"/>
        <v>840000</v>
      </c>
      <c r="U29" t="str">
        <f t="shared" si="4"/>
        <v>Premium</v>
      </c>
      <c r="V29" t="str">
        <f t="shared" si="5"/>
        <v>Medium</v>
      </c>
      <c r="W29" t="str">
        <f>IF(S29 &lt; VLOOKUP(E29, Locality_Tier_Benchmarks!A:B, 2, FALSE) * 0.7, "Below Tier Range", "Normal")</f>
        <v>Normal</v>
      </c>
      <c r="X29" t="str">
        <f t="shared" si="6"/>
        <v>Normal</v>
      </c>
      <c r="Y29" t="str">
        <f t="shared" si="7"/>
        <v>Normal</v>
      </c>
      <c r="Z29" t="str">
        <f t="shared" si="0"/>
        <v>Pass</v>
      </c>
    </row>
    <row r="30" spans="1:26" x14ac:dyDescent="0.25">
      <c r="A30" s="2" t="s">
        <v>213</v>
      </c>
      <c r="B30" s="2" t="s">
        <v>17</v>
      </c>
      <c r="C30" s="2" t="s">
        <v>27</v>
      </c>
      <c r="D30" s="2" t="str">
        <f>VLOOKUP(C30,Locality_Reference!A:C,2,)</f>
        <v>Western Line</v>
      </c>
      <c r="E30" s="2" t="str">
        <f>VLOOKUP(C30,Locality_Reference!A:C,3,)</f>
        <v>Mid Suburb</v>
      </c>
      <c r="F30" s="2" t="s">
        <v>57</v>
      </c>
      <c r="G30" s="8">
        <v>95000</v>
      </c>
      <c r="H30">
        <v>3</v>
      </c>
      <c r="I30">
        <v>3</v>
      </c>
      <c r="J30">
        <v>17</v>
      </c>
      <c r="K30">
        <v>21</v>
      </c>
      <c r="L30">
        <v>900</v>
      </c>
      <c r="M30" s="2" t="s">
        <v>33</v>
      </c>
      <c r="N30" t="s">
        <v>15</v>
      </c>
      <c r="O30" s="2" t="s">
        <v>16</v>
      </c>
      <c r="P30" t="s">
        <v>47</v>
      </c>
      <c r="Q30" t="str">
        <f t="shared" si="1"/>
        <v>1</v>
      </c>
      <c r="R30" s="5">
        <v>46150</v>
      </c>
      <c r="S30" s="8">
        <f t="shared" si="2"/>
        <v>105.55555555555556</v>
      </c>
      <c r="T30">
        <f t="shared" si="3"/>
        <v>1140000</v>
      </c>
      <c r="U30" t="str">
        <f t="shared" si="4"/>
        <v>Premium</v>
      </c>
      <c r="V30" t="str">
        <f t="shared" si="5"/>
        <v>Large</v>
      </c>
      <c r="W30" t="str">
        <f>IF(S30 &lt; VLOOKUP(E30, Locality_Tier_Benchmarks!A:B, 2, FALSE) * 0.7, "Below Tier Range", "Normal")</f>
        <v>Normal</v>
      </c>
      <c r="X30" t="str">
        <f t="shared" si="6"/>
        <v>Normal</v>
      </c>
      <c r="Y30" t="str">
        <f t="shared" si="7"/>
        <v>Normal</v>
      </c>
      <c r="Z30" t="str">
        <f t="shared" si="0"/>
        <v>Pass</v>
      </c>
    </row>
    <row r="31" spans="1:26" x14ac:dyDescent="0.25">
      <c r="A31" s="2" t="s">
        <v>214</v>
      </c>
      <c r="B31" s="2" t="s">
        <v>17</v>
      </c>
      <c r="C31" s="2" t="s">
        <v>27</v>
      </c>
      <c r="D31" s="2" t="str">
        <f>VLOOKUP(C31,Locality_Reference!A:C,2,)</f>
        <v>Western Line</v>
      </c>
      <c r="E31" s="2" t="str">
        <f>VLOOKUP(C31,Locality_Reference!A:C,3,)</f>
        <v>Mid Suburb</v>
      </c>
      <c r="F31" s="2" t="s">
        <v>58</v>
      </c>
      <c r="G31" s="8">
        <v>280000</v>
      </c>
      <c r="H31">
        <v>3</v>
      </c>
      <c r="I31">
        <v>3</v>
      </c>
      <c r="J31">
        <v>5</v>
      </c>
      <c r="K31">
        <v>8</v>
      </c>
      <c r="L31">
        <v>1300</v>
      </c>
      <c r="M31" s="2" t="s">
        <v>14</v>
      </c>
      <c r="N31" t="s">
        <v>15</v>
      </c>
      <c r="O31" s="2" t="s">
        <v>16</v>
      </c>
      <c r="P31" t="s">
        <v>52</v>
      </c>
      <c r="Q31" t="str">
        <f t="shared" si="1"/>
        <v>7.5</v>
      </c>
      <c r="R31" s="5">
        <v>46190</v>
      </c>
      <c r="S31" s="8">
        <f t="shared" si="2"/>
        <v>215.38461538461539</v>
      </c>
      <c r="T31">
        <f t="shared" si="3"/>
        <v>3360000</v>
      </c>
      <c r="U31" t="str">
        <f t="shared" si="4"/>
        <v>Luxury</v>
      </c>
      <c r="V31" t="str">
        <f t="shared" si="5"/>
        <v>Spacious</v>
      </c>
      <c r="W31" t="str">
        <f>IF(S31 &lt; VLOOKUP(E31, Locality_Tier_Benchmarks!A:B, 2, FALSE) * 0.7, "Below Tier Range", "Normal")</f>
        <v>Normal</v>
      </c>
      <c r="X31" t="str">
        <f t="shared" si="6"/>
        <v>Normal</v>
      </c>
      <c r="Y31" t="str">
        <f t="shared" si="7"/>
        <v>Normal</v>
      </c>
      <c r="Z31" t="str">
        <f t="shared" si="0"/>
        <v>Pass</v>
      </c>
    </row>
    <row r="32" spans="1:26" x14ac:dyDescent="0.25">
      <c r="A32" s="2" t="s">
        <v>215</v>
      </c>
      <c r="B32" s="2" t="s">
        <v>17</v>
      </c>
      <c r="C32" s="2" t="s">
        <v>59</v>
      </c>
      <c r="D32" s="2" t="str">
        <f>VLOOKUP(C32,Locality_Reference!A:C,2,)</f>
        <v>Central Suburbs</v>
      </c>
      <c r="E32" s="2" t="str">
        <f>VLOOKUP(C32,Locality_Reference!A:C,3,)</f>
        <v>Premium Suburb</v>
      </c>
      <c r="F32" s="2" t="s">
        <v>60</v>
      </c>
      <c r="G32" s="8">
        <v>85000</v>
      </c>
      <c r="H32">
        <v>2</v>
      </c>
      <c r="I32">
        <v>2</v>
      </c>
      <c r="J32">
        <v>12</v>
      </c>
      <c r="K32">
        <v>30</v>
      </c>
      <c r="L32">
        <v>737</v>
      </c>
      <c r="M32" s="2" t="s">
        <v>36</v>
      </c>
      <c r="N32" t="s">
        <v>29</v>
      </c>
      <c r="O32" s="2" t="s">
        <v>16</v>
      </c>
      <c r="P32" t="s">
        <v>34</v>
      </c>
      <c r="Q32" t="str">
        <f t="shared" si="1"/>
        <v/>
      </c>
      <c r="R32" s="5">
        <v>46144</v>
      </c>
      <c r="S32" s="8">
        <f t="shared" si="2"/>
        <v>115.33242876526458</v>
      </c>
      <c r="T32">
        <f t="shared" si="3"/>
        <v>1020000</v>
      </c>
      <c r="U32" t="str">
        <f t="shared" si="4"/>
        <v>Premium</v>
      </c>
      <c r="V32" t="str">
        <f t="shared" si="5"/>
        <v>Medium</v>
      </c>
      <c r="W32" t="str">
        <f>IF(S32 &lt; VLOOKUP(E32, Locality_Tier_Benchmarks!A:B, 2, FALSE) * 0.7, "Below Tier Range", "Normal")</f>
        <v>Normal</v>
      </c>
      <c r="X32" t="str">
        <f t="shared" si="6"/>
        <v>Normal</v>
      </c>
      <c r="Y32" t="str">
        <f t="shared" si="7"/>
        <v>Normal</v>
      </c>
      <c r="Z32" t="str">
        <f t="shared" si="0"/>
        <v>Pass</v>
      </c>
    </row>
    <row r="33" spans="1:26" x14ac:dyDescent="0.25">
      <c r="A33" s="2" t="s">
        <v>216</v>
      </c>
      <c r="B33" s="2" t="s">
        <v>17</v>
      </c>
      <c r="C33" s="2" t="s">
        <v>59</v>
      </c>
      <c r="D33" s="2" t="str">
        <f>VLOOKUP(C33,Locality_Reference!A:C,2,)</f>
        <v>Central Suburbs</v>
      </c>
      <c r="E33" s="2" t="str">
        <f>VLOOKUP(C33,Locality_Reference!A:C,3,)</f>
        <v>Premium Suburb</v>
      </c>
      <c r="F33" s="2" t="s">
        <v>61</v>
      </c>
      <c r="G33" s="8">
        <v>110000</v>
      </c>
      <c r="H33">
        <v>2</v>
      </c>
      <c r="I33">
        <v>2</v>
      </c>
      <c r="J33">
        <v>20</v>
      </c>
      <c r="K33">
        <v>27</v>
      </c>
      <c r="L33">
        <v>783</v>
      </c>
      <c r="M33" s="2" t="s">
        <v>36</v>
      </c>
      <c r="N33" t="s">
        <v>29</v>
      </c>
      <c r="O33" s="2" t="s">
        <v>16</v>
      </c>
      <c r="P33" t="s">
        <v>34</v>
      </c>
      <c r="Q33" t="str">
        <f t="shared" si="1"/>
        <v/>
      </c>
      <c r="R33" s="5">
        <v>46188</v>
      </c>
      <c r="S33" s="8">
        <f t="shared" si="2"/>
        <v>140.48531289910599</v>
      </c>
      <c r="T33">
        <f t="shared" si="3"/>
        <v>1320000</v>
      </c>
      <c r="U33" t="str">
        <f t="shared" si="4"/>
        <v>Luxury</v>
      </c>
      <c r="V33" t="str">
        <f t="shared" si="5"/>
        <v>Medium</v>
      </c>
      <c r="W33" t="str">
        <f>IF(S33 &lt; VLOOKUP(E33, Locality_Tier_Benchmarks!A:B, 2, FALSE) * 0.7, "Below Tier Range", "Normal")</f>
        <v>Normal</v>
      </c>
      <c r="X33" t="str">
        <f t="shared" si="6"/>
        <v>Normal</v>
      </c>
      <c r="Y33" t="str">
        <f t="shared" si="7"/>
        <v>Normal</v>
      </c>
      <c r="Z33" t="str">
        <f t="shared" si="0"/>
        <v>Pass</v>
      </c>
    </row>
    <row r="34" spans="1:26" x14ac:dyDescent="0.25">
      <c r="A34" s="2" t="s">
        <v>217</v>
      </c>
      <c r="B34" s="2" t="s">
        <v>17</v>
      </c>
      <c r="C34" s="2" t="s">
        <v>59</v>
      </c>
      <c r="D34" s="2" t="str">
        <f>VLOOKUP(C34,Locality_Reference!A:C,2,)</f>
        <v>Central Suburbs</v>
      </c>
      <c r="E34" s="2" t="str">
        <f>VLOOKUP(C34,Locality_Reference!A:C,3,)</f>
        <v>Premium Suburb</v>
      </c>
      <c r="F34" s="2" t="s">
        <v>62</v>
      </c>
      <c r="G34" s="8">
        <v>105000</v>
      </c>
      <c r="H34">
        <v>2</v>
      </c>
      <c r="I34">
        <v>2</v>
      </c>
      <c r="J34">
        <v>5</v>
      </c>
      <c r="K34">
        <v>29</v>
      </c>
      <c r="L34">
        <v>900</v>
      </c>
      <c r="M34" s="2" t="s">
        <v>36</v>
      </c>
      <c r="N34" t="s">
        <v>29</v>
      </c>
      <c r="O34" s="2" t="s">
        <v>16</v>
      </c>
      <c r="P34" t="s">
        <v>34</v>
      </c>
      <c r="Q34" t="str">
        <f t="shared" si="1"/>
        <v/>
      </c>
      <c r="R34" s="5">
        <v>46195</v>
      </c>
      <c r="S34" s="8">
        <f t="shared" si="2"/>
        <v>116.66666666666667</v>
      </c>
      <c r="T34">
        <f t="shared" si="3"/>
        <v>1260000</v>
      </c>
      <c r="U34" t="str">
        <f t="shared" si="4"/>
        <v>Luxury</v>
      </c>
      <c r="V34" t="str">
        <f t="shared" si="5"/>
        <v>Large</v>
      </c>
      <c r="W34" t="str">
        <f>IF(S34 &lt; VLOOKUP(E34, Locality_Tier_Benchmarks!A:B, 2, FALSE) * 0.7, "Below Tier Range", "Normal")</f>
        <v>Normal</v>
      </c>
      <c r="X34" t="str">
        <f t="shared" si="6"/>
        <v>Normal</v>
      </c>
      <c r="Y34" t="str">
        <f t="shared" si="7"/>
        <v>Normal</v>
      </c>
      <c r="Z34" t="str">
        <f t="shared" si="0"/>
        <v>Pass</v>
      </c>
    </row>
    <row r="35" spans="1:26" x14ac:dyDescent="0.25">
      <c r="A35" s="2" t="s">
        <v>218</v>
      </c>
      <c r="B35" s="2" t="s">
        <v>17</v>
      </c>
      <c r="C35" s="2" t="s">
        <v>59</v>
      </c>
      <c r="D35" s="2" t="str">
        <f>VLOOKUP(C35,Locality_Reference!A:C,2,)</f>
        <v>Central Suburbs</v>
      </c>
      <c r="E35" s="2" t="str">
        <f>VLOOKUP(C35,Locality_Reference!A:C,3,)</f>
        <v>Premium Suburb</v>
      </c>
      <c r="F35" s="2" t="s">
        <v>63</v>
      </c>
      <c r="G35" s="8">
        <v>135000</v>
      </c>
      <c r="H35">
        <v>2</v>
      </c>
      <c r="I35">
        <v>2</v>
      </c>
      <c r="J35">
        <v>10</v>
      </c>
      <c r="K35">
        <v>32</v>
      </c>
      <c r="L35">
        <v>762</v>
      </c>
      <c r="M35" s="2" t="s">
        <v>36</v>
      </c>
      <c r="N35" t="s">
        <v>29</v>
      </c>
      <c r="O35" s="2" t="s">
        <v>16</v>
      </c>
      <c r="P35" t="s">
        <v>52</v>
      </c>
      <c r="Q35" t="str">
        <f t="shared" si="1"/>
        <v>7.5</v>
      </c>
      <c r="R35" s="5">
        <v>46169</v>
      </c>
      <c r="S35" s="8">
        <f t="shared" si="2"/>
        <v>177.16535433070865</v>
      </c>
      <c r="T35">
        <f t="shared" si="3"/>
        <v>1620000</v>
      </c>
      <c r="U35" t="str">
        <f t="shared" si="4"/>
        <v>Luxury</v>
      </c>
      <c r="V35" t="str">
        <f t="shared" si="5"/>
        <v>Medium</v>
      </c>
      <c r="W35" t="str">
        <f>IF(S35 &lt; VLOOKUP(E35, Locality_Tier_Benchmarks!A:B, 2, FALSE) * 0.7, "Below Tier Range", "Normal")</f>
        <v>Normal</v>
      </c>
      <c r="X35" t="str">
        <f t="shared" si="6"/>
        <v>Normal</v>
      </c>
      <c r="Y35" t="str">
        <f t="shared" si="7"/>
        <v>Normal</v>
      </c>
      <c r="Z35" t="str">
        <f t="shared" si="0"/>
        <v>Pass</v>
      </c>
    </row>
    <row r="36" spans="1:26" x14ac:dyDescent="0.25">
      <c r="A36" s="2" t="s">
        <v>219</v>
      </c>
      <c r="B36" s="2" t="s">
        <v>17</v>
      </c>
      <c r="C36" s="2" t="s">
        <v>59</v>
      </c>
      <c r="D36" s="2" t="str">
        <f>VLOOKUP(C36,Locality_Reference!A:C,2,)</f>
        <v>Central Suburbs</v>
      </c>
      <c r="E36" s="2" t="str">
        <f>VLOOKUP(C36,Locality_Reference!A:C,3,)</f>
        <v>Premium Suburb</v>
      </c>
      <c r="F36" s="2" t="s">
        <v>64</v>
      </c>
      <c r="G36" s="8">
        <v>95000</v>
      </c>
      <c r="H36">
        <v>2</v>
      </c>
      <c r="I36">
        <v>2</v>
      </c>
      <c r="J36">
        <v>8</v>
      </c>
      <c r="K36">
        <v>22</v>
      </c>
      <c r="L36">
        <v>810</v>
      </c>
      <c r="M36" s="2" t="s">
        <v>36</v>
      </c>
      <c r="N36" t="s">
        <v>15</v>
      </c>
      <c r="O36" s="2" t="s">
        <v>16</v>
      </c>
      <c r="P36" t="s">
        <v>34</v>
      </c>
      <c r="Q36" t="str">
        <f t="shared" si="1"/>
        <v/>
      </c>
      <c r="R36" s="5">
        <v>46195</v>
      </c>
      <c r="S36" s="8">
        <f t="shared" si="2"/>
        <v>117.28395061728395</v>
      </c>
      <c r="T36">
        <f t="shared" si="3"/>
        <v>1140000</v>
      </c>
      <c r="U36" t="str">
        <f t="shared" si="4"/>
        <v>Premium</v>
      </c>
      <c r="V36" t="str">
        <f t="shared" si="5"/>
        <v>Large</v>
      </c>
      <c r="W36" t="str">
        <f>IF(S36 &lt; VLOOKUP(E36, Locality_Tier_Benchmarks!A:B, 2, FALSE) * 0.7, "Below Tier Range", "Normal")</f>
        <v>Normal</v>
      </c>
      <c r="X36" t="str">
        <f t="shared" si="6"/>
        <v>Normal</v>
      </c>
      <c r="Y36" t="str">
        <f t="shared" si="7"/>
        <v>Normal</v>
      </c>
      <c r="Z36" t="str">
        <f t="shared" si="0"/>
        <v>Pass</v>
      </c>
    </row>
    <row r="37" spans="1:26" x14ac:dyDescent="0.25">
      <c r="A37" s="2" t="s">
        <v>220</v>
      </c>
      <c r="B37" s="2" t="s">
        <v>17</v>
      </c>
      <c r="C37" s="2" t="s">
        <v>59</v>
      </c>
      <c r="D37" s="2" t="str">
        <f>VLOOKUP(C37,Locality_Reference!A:C,2,)</f>
        <v>Central Suburbs</v>
      </c>
      <c r="E37" s="2" t="str">
        <f>VLOOKUP(C37,Locality_Reference!A:C,3,)</f>
        <v>Premium Suburb</v>
      </c>
      <c r="F37" s="2" t="s">
        <v>65</v>
      </c>
      <c r="G37" s="8">
        <v>275000</v>
      </c>
      <c r="H37">
        <v>3</v>
      </c>
      <c r="I37">
        <v>4</v>
      </c>
      <c r="J37">
        <v>6</v>
      </c>
      <c r="K37">
        <v>18</v>
      </c>
      <c r="L37">
        <v>1600</v>
      </c>
      <c r="M37" s="2" t="s">
        <v>14</v>
      </c>
      <c r="N37" t="s">
        <v>29</v>
      </c>
      <c r="O37" s="2" t="s">
        <v>16</v>
      </c>
      <c r="P37" t="s">
        <v>52</v>
      </c>
      <c r="Q37" t="str">
        <f t="shared" si="1"/>
        <v>7.5</v>
      </c>
      <c r="R37" s="5">
        <v>46176</v>
      </c>
      <c r="S37" s="8">
        <f t="shared" si="2"/>
        <v>171.875</v>
      </c>
      <c r="T37">
        <f t="shared" si="3"/>
        <v>3300000</v>
      </c>
      <c r="U37" t="str">
        <f t="shared" si="4"/>
        <v>Luxury</v>
      </c>
      <c r="V37" t="str">
        <f t="shared" si="5"/>
        <v>Spacious</v>
      </c>
      <c r="W37" t="str">
        <f>IF(S37 &lt; VLOOKUP(E37, Locality_Tier_Benchmarks!A:B, 2, FALSE) * 0.7, "Below Tier Range", "Normal")</f>
        <v>Normal</v>
      </c>
      <c r="X37" t="str">
        <f t="shared" si="6"/>
        <v>Normal</v>
      </c>
      <c r="Y37" t="str">
        <f t="shared" si="7"/>
        <v>Normal</v>
      </c>
      <c r="Z37" t="str">
        <f t="shared" si="0"/>
        <v>Pass</v>
      </c>
    </row>
    <row r="38" spans="1:26" x14ac:dyDescent="0.25">
      <c r="A38" s="2" t="s">
        <v>221</v>
      </c>
      <c r="B38" s="2" t="s">
        <v>17</v>
      </c>
      <c r="C38" s="2" t="s">
        <v>59</v>
      </c>
      <c r="D38" s="2" t="str">
        <f>VLOOKUP(C38,Locality_Reference!A:C,2,)</f>
        <v>Central Suburbs</v>
      </c>
      <c r="E38" s="2" t="str">
        <f>VLOOKUP(C38,Locality_Reference!A:C,3,)</f>
        <v>Premium Suburb</v>
      </c>
      <c r="F38" s="2" t="s">
        <v>66</v>
      </c>
      <c r="G38" s="8">
        <v>250000</v>
      </c>
      <c r="H38">
        <v>3</v>
      </c>
      <c r="I38">
        <v>3</v>
      </c>
      <c r="J38">
        <v>10</v>
      </c>
      <c r="K38">
        <v>36</v>
      </c>
      <c r="L38">
        <v>785</v>
      </c>
      <c r="M38" s="2" t="s">
        <v>14</v>
      </c>
      <c r="N38" t="s">
        <v>29</v>
      </c>
      <c r="O38" s="2" t="s">
        <v>16</v>
      </c>
      <c r="P38" t="s">
        <v>34</v>
      </c>
      <c r="Q38" t="str">
        <f t="shared" si="1"/>
        <v/>
      </c>
      <c r="R38" s="5">
        <v>46161</v>
      </c>
      <c r="S38" s="8">
        <f t="shared" si="2"/>
        <v>318.47133757961785</v>
      </c>
      <c r="T38">
        <f t="shared" si="3"/>
        <v>3000000</v>
      </c>
      <c r="U38" t="str">
        <f t="shared" si="4"/>
        <v>Luxury</v>
      </c>
      <c r="V38" t="str">
        <f t="shared" si="5"/>
        <v>Medium</v>
      </c>
      <c r="W38" t="str">
        <f>IF(S38 &lt; VLOOKUP(E38, Locality_Tier_Benchmarks!A:B, 2, FALSE) * 0.7, "Below Tier Range", "Normal")</f>
        <v>Normal</v>
      </c>
      <c r="X38" t="str">
        <f t="shared" si="6"/>
        <v>Normal</v>
      </c>
      <c r="Y38" t="str">
        <f t="shared" si="7"/>
        <v>Normal</v>
      </c>
      <c r="Z38" t="str">
        <f t="shared" si="0"/>
        <v>Pass</v>
      </c>
    </row>
    <row r="39" spans="1:26" x14ac:dyDescent="0.25">
      <c r="A39" s="2" t="s">
        <v>222</v>
      </c>
      <c r="B39" s="2" t="s">
        <v>17</v>
      </c>
      <c r="C39" s="2" t="s">
        <v>59</v>
      </c>
      <c r="D39" s="2" t="str">
        <f>VLOOKUP(C39,Locality_Reference!A:C,2,)</f>
        <v>Central Suburbs</v>
      </c>
      <c r="E39" s="2" t="str">
        <f>VLOOKUP(C39,Locality_Reference!A:C,3,)</f>
        <v>Premium Suburb</v>
      </c>
      <c r="F39" s="2" t="s">
        <v>61</v>
      </c>
      <c r="G39" s="8">
        <v>175000</v>
      </c>
      <c r="H39">
        <v>3</v>
      </c>
      <c r="I39">
        <v>2</v>
      </c>
      <c r="J39">
        <v>10</v>
      </c>
      <c r="K39">
        <v>27</v>
      </c>
      <c r="L39">
        <v>1205</v>
      </c>
      <c r="M39" s="2" t="s">
        <v>36</v>
      </c>
      <c r="N39" t="s">
        <v>15</v>
      </c>
      <c r="O39" s="2" t="s">
        <v>16</v>
      </c>
      <c r="P39" t="s">
        <v>47</v>
      </c>
      <c r="Q39" t="str">
        <f t="shared" si="1"/>
        <v>1</v>
      </c>
      <c r="R39" s="5">
        <v>46186</v>
      </c>
      <c r="S39" s="8">
        <f t="shared" si="2"/>
        <v>145.22821576763485</v>
      </c>
      <c r="T39">
        <f t="shared" si="3"/>
        <v>2100000</v>
      </c>
      <c r="U39" t="str">
        <f t="shared" si="4"/>
        <v>Luxury</v>
      </c>
      <c r="V39" t="str">
        <f t="shared" si="5"/>
        <v>Spacious</v>
      </c>
      <c r="W39" t="str">
        <f>IF(S39 &lt; VLOOKUP(E39, Locality_Tier_Benchmarks!A:B, 2, FALSE) * 0.7, "Below Tier Range", "Normal")</f>
        <v>Normal</v>
      </c>
      <c r="X39" t="str">
        <f t="shared" si="6"/>
        <v>Normal</v>
      </c>
      <c r="Y39" t="str">
        <f t="shared" si="7"/>
        <v>Normal</v>
      </c>
      <c r="Z39" t="str">
        <f t="shared" si="0"/>
        <v>Pass</v>
      </c>
    </row>
    <row r="40" spans="1:26" x14ac:dyDescent="0.25">
      <c r="A40" s="2" t="s">
        <v>223</v>
      </c>
      <c r="B40" s="2" t="s">
        <v>17</v>
      </c>
      <c r="C40" s="2" t="s">
        <v>59</v>
      </c>
      <c r="D40" s="2" t="str">
        <f>VLOOKUP(C40,Locality_Reference!A:C,2,)</f>
        <v>Central Suburbs</v>
      </c>
      <c r="E40" s="2" t="str">
        <f>VLOOKUP(C40,Locality_Reference!A:C,3,)</f>
        <v>Premium Suburb</v>
      </c>
      <c r="F40" s="2" t="s">
        <v>67</v>
      </c>
      <c r="G40" s="8">
        <v>110000</v>
      </c>
      <c r="H40">
        <v>2</v>
      </c>
      <c r="I40">
        <v>2</v>
      </c>
      <c r="J40">
        <v>5</v>
      </c>
      <c r="K40">
        <v>23</v>
      </c>
      <c r="L40">
        <v>620</v>
      </c>
      <c r="M40" s="2" t="s">
        <v>14</v>
      </c>
      <c r="N40" t="s">
        <v>29</v>
      </c>
      <c r="O40" s="2" t="s">
        <v>16</v>
      </c>
      <c r="P40" t="s">
        <v>31</v>
      </c>
      <c r="Q40" t="str">
        <f t="shared" si="1"/>
        <v>3</v>
      </c>
      <c r="R40" s="5">
        <v>46192</v>
      </c>
      <c r="S40" s="8">
        <f t="shared" si="2"/>
        <v>177.41935483870967</v>
      </c>
      <c r="T40">
        <f t="shared" si="3"/>
        <v>1320000</v>
      </c>
      <c r="U40" t="str">
        <f t="shared" si="4"/>
        <v>Luxury</v>
      </c>
      <c r="V40" t="str">
        <f t="shared" si="5"/>
        <v>Medium</v>
      </c>
      <c r="W40" t="str">
        <f>IF(S40 &lt; VLOOKUP(E40, Locality_Tier_Benchmarks!A:B, 2, FALSE) * 0.7, "Below Tier Range", "Normal")</f>
        <v>Normal</v>
      </c>
      <c r="X40" t="str">
        <f t="shared" si="6"/>
        <v>Normal</v>
      </c>
      <c r="Y40" t="str">
        <f t="shared" si="7"/>
        <v>Normal</v>
      </c>
      <c r="Z40" t="str">
        <f t="shared" si="0"/>
        <v>Pass</v>
      </c>
    </row>
    <row r="41" spans="1:26" x14ac:dyDescent="0.25">
      <c r="A41" s="2" t="s">
        <v>224</v>
      </c>
      <c r="B41" s="2" t="s">
        <v>17</v>
      </c>
      <c r="C41" s="2" t="s">
        <v>59</v>
      </c>
      <c r="D41" s="2" t="str">
        <f>VLOOKUP(C41,Locality_Reference!A:C,2,)</f>
        <v>Central Suburbs</v>
      </c>
      <c r="E41" s="2" t="str">
        <f>VLOOKUP(C41,Locality_Reference!A:C,3,)</f>
        <v>Premium Suburb</v>
      </c>
      <c r="F41" s="2" t="s">
        <v>68</v>
      </c>
      <c r="G41" s="8">
        <v>110000</v>
      </c>
      <c r="H41">
        <v>3</v>
      </c>
      <c r="I41">
        <v>3</v>
      </c>
      <c r="J41">
        <v>12</v>
      </c>
      <c r="K41">
        <v>21</v>
      </c>
      <c r="L41">
        <v>1001</v>
      </c>
      <c r="M41" s="2" t="s">
        <v>36</v>
      </c>
      <c r="N41" t="s">
        <v>29</v>
      </c>
      <c r="O41" s="2" t="s">
        <v>16</v>
      </c>
      <c r="P41" t="s">
        <v>52</v>
      </c>
      <c r="Q41" t="str">
        <f t="shared" si="1"/>
        <v>7.5</v>
      </c>
      <c r="R41" s="5">
        <v>46182</v>
      </c>
      <c r="S41" s="8">
        <f t="shared" si="2"/>
        <v>109.89010989010988</v>
      </c>
      <c r="T41">
        <f t="shared" si="3"/>
        <v>1320000</v>
      </c>
      <c r="U41" t="str">
        <f t="shared" si="4"/>
        <v>Luxury</v>
      </c>
      <c r="V41" t="str">
        <f t="shared" si="5"/>
        <v>Large</v>
      </c>
      <c r="W41" t="str">
        <f>IF(S41 &lt; VLOOKUP(E41, Locality_Tier_Benchmarks!A:B, 2, FALSE) * 0.7, "Below Tier Range", "Normal")</f>
        <v>Normal</v>
      </c>
      <c r="X41" t="str">
        <f t="shared" si="6"/>
        <v>Normal</v>
      </c>
      <c r="Y41" t="str">
        <f t="shared" si="7"/>
        <v>Normal</v>
      </c>
      <c r="Z41" t="str">
        <f t="shared" si="0"/>
        <v>Pass</v>
      </c>
    </row>
    <row r="42" spans="1:26" x14ac:dyDescent="0.25">
      <c r="A42" s="2" t="s">
        <v>225</v>
      </c>
      <c r="B42" s="2" t="s">
        <v>17</v>
      </c>
      <c r="C42" s="2" t="s">
        <v>59</v>
      </c>
      <c r="D42" s="2" t="str">
        <f>VLOOKUP(C42,Locality_Reference!A:C,2,)</f>
        <v>Central Suburbs</v>
      </c>
      <c r="E42" s="2" t="str">
        <f>VLOOKUP(C42,Locality_Reference!A:C,3,)</f>
        <v>Premium Suburb</v>
      </c>
      <c r="F42" s="2" t="s">
        <v>69</v>
      </c>
      <c r="G42" s="8">
        <v>70000</v>
      </c>
      <c r="H42">
        <v>2</v>
      </c>
      <c r="I42">
        <v>2</v>
      </c>
      <c r="J42">
        <v>12</v>
      </c>
      <c r="K42">
        <v>14</v>
      </c>
      <c r="L42">
        <v>700</v>
      </c>
      <c r="M42" s="2" t="s">
        <v>14</v>
      </c>
      <c r="N42" t="s">
        <v>29</v>
      </c>
      <c r="O42" s="2" t="s">
        <v>16</v>
      </c>
      <c r="P42" t="s">
        <v>23</v>
      </c>
      <c r="Q42" t="str">
        <f t="shared" si="1"/>
        <v>10</v>
      </c>
      <c r="R42" s="5">
        <v>46190</v>
      </c>
      <c r="S42" s="8">
        <f t="shared" si="2"/>
        <v>100</v>
      </c>
      <c r="T42">
        <f t="shared" si="3"/>
        <v>840000</v>
      </c>
      <c r="U42" t="str">
        <f t="shared" si="4"/>
        <v>Premium</v>
      </c>
      <c r="V42" t="str">
        <f t="shared" si="5"/>
        <v>Medium</v>
      </c>
      <c r="W42" t="str">
        <f>IF(S42 &lt; VLOOKUP(E42, Locality_Tier_Benchmarks!A:B, 2, FALSE) * 0.7, "Below Tier Range", "Normal")</f>
        <v>Normal</v>
      </c>
      <c r="X42" t="str">
        <f t="shared" si="6"/>
        <v>Normal</v>
      </c>
      <c r="Y42" t="str">
        <f t="shared" si="7"/>
        <v>Normal</v>
      </c>
      <c r="Z42" t="str">
        <f t="shared" si="0"/>
        <v>Pass</v>
      </c>
    </row>
    <row r="43" spans="1:26" x14ac:dyDescent="0.25">
      <c r="A43" s="2" t="s">
        <v>226</v>
      </c>
      <c r="B43" s="2" t="s">
        <v>17</v>
      </c>
      <c r="C43" s="2" t="s">
        <v>59</v>
      </c>
      <c r="D43" s="2" t="str">
        <f>VLOOKUP(C43,Locality_Reference!A:C,2,)</f>
        <v>Central Suburbs</v>
      </c>
      <c r="E43" s="2" t="str">
        <f>VLOOKUP(C43,Locality_Reference!A:C,3,)</f>
        <v>Premium Suburb</v>
      </c>
      <c r="F43" s="2" t="s">
        <v>70</v>
      </c>
      <c r="G43" s="8">
        <v>190000</v>
      </c>
      <c r="H43">
        <v>3</v>
      </c>
      <c r="I43">
        <v>3</v>
      </c>
      <c r="J43">
        <v>12</v>
      </c>
      <c r="K43">
        <v>27</v>
      </c>
      <c r="L43">
        <v>1439</v>
      </c>
      <c r="M43" s="2" t="s">
        <v>36</v>
      </c>
      <c r="N43" t="s">
        <v>29</v>
      </c>
      <c r="O43" s="2" t="s">
        <v>16</v>
      </c>
      <c r="P43" t="s">
        <v>23</v>
      </c>
      <c r="Q43" t="str">
        <f t="shared" si="1"/>
        <v>10</v>
      </c>
      <c r="R43" s="5">
        <v>46191</v>
      </c>
      <c r="S43" s="8">
        <f t="shared" si="2"/>
        <v>132.0361362056984</v>
      </c>
      <c r="T43">
        <f t="shared" si="3"/>
        <v>2280000</v>
      </c>
      <c r="U43" t="str">
        <f t="shared" si="4"/>
        <v>Luxury</v>
      </c>
      <c r="V43" t="str">
        <f t="shared" si="5"/>
        <v>Spacious</v>
      </c>
      <c r="W43" t="str">
        <f>IF(S43 &lt; VLOOKUP(E43, Locality_Tier_Benchmarks!A:B, 2, FALSE) * 0.7, "Below Tier Range", "Normal")</f>
        <v>Normal</v>
      </c>
      <c r="X43" t="str">
        <f t="shared" si="6"/>
        <v>Normal</v>
      </c>
      <c r="Y43" t="str">
        <f t="shared" si="7"/>
        <v>Normal</v>
      </c>
      <c r="Z43" t="str">
        <f t="shared" si="0"/>
        <v>Pass</v>
      </c>
    </row>
    <row r="44" spans="1:26" x14ac:dyDescent="0.25">
      <c r="A44" s="2" t="s">
        <v>227</v>
      </c>
      <c r="B44" s="2" t="s">
        <v>17</v>
      </c>
      <c r="C44" s="2" t="s">
        <v>59</v>
      </c>
      <c r="D44" s="2" t="str">
        <f>VLOOKUP(C44,Locality_Reference!A:C,2,)</f>
        <v>Central Suburbs</v>
      </c>
      <c r="E44" s="2" t="str">
        <f>VLOOKUP(C44,Locality_Reference!A:C,3,)</f>
        <v>Premium Suburb</v>
      </c>
      <c r="F44" s="2" t="s">
        <v>71</v>
      </c>
      <c r="G44" s="8">
        <v>359000</v>
      </c>
      <c r="H44">
        <v>3</v>
      </c>
      <c r="I44">
        <v>4</v>
      </c>
      <c r="J44">
        <v>27</v>
      </c>
      <c r="K44">
        <v>30</v>
      </c>
      <c r="L44">
        <v>1680</v>
      </c>
      <c r="M44" s="2" t="s">
        <v>36</v>
      </c>
      <c r="N44" t="s">
        <v>29</v>
      </c>
      <c r="O44" s="2" t="s">
        <v>16</v>
      </c>
      <c r="P44" t="s">
        <v>23</v>
      </c>
      <c r="Q44" t="str">
        <f t="shared" si="1"/>
        <v>10</v>
      </c>
      <c r="R44" s="5">
        <v>46189</v>
      </c>
      <c r="S44" s="8">
        <f t="shared" si="2"/>
        <v>213.6904761904762</v>
      </c>
      <c r="T44">
        <f t="shared" si="3"/>
        <v>4308000</v>
      </c>
      <c r="U44" t="str">
        <f t="shared" si="4"/>
        <v>Luxury</v>
      </c>
      <c r="V44" t="str">
        <f t="shared" si="5"/>
        <v>Spacious</v>
      </c>
      <c r="W44" t="str">
        <f>IF(S44 &lt; VLOOKUP(E44, Locality_Tier_Benchmarks!A:B, 2, FALSE) * 0.7, "Below Tier Range", "Normal")</f>
        <v>Normal</v>
      </c>
      <c r="X44" t="str">
        <f t="shared" si="6"/>
        <v>Normal</v>
      </c>
      <c r="Y44" t="str">
        <f t="shared" si="7"/>
        <v>Normal</v>
      </c>
      <c r="Z44" t="str">
        <f t="shared" si="0"/>
        <v>Pass</v>
      </c>
    </row>
    <row r="45" spans="1:26" x14ac:dyDescent="0.25">
      <c r="A45" s="2" t="s">
        <v>228</v>
      </c>
      <c r="B45" s="2" t="s">
        <v>17</v>
      </c>
      <c r="C45" s="2" t="s">
        <v>59</v>
      </c>
      <c r="D45" s="2" t="str">
        <f>VLOOKUP(C45,Locality_Reference!A:C,2,)</f>
        <v>Central Suburbs</v>
      </c>
      <c r="E45" s="2" t="str">
        <f>VLOOKUP(C45,Locality_Reference!A:C,3,)</f>
        <v>Premium Suburb</v>
      </c>
      <c r="F45" s="2" t="s">
        <v>72</v>
      </c>
      <c r="G45" s="8">
        <v>125000</v>
      </c>
      <c r="H45">
        <v>3</v>
      </c>
      <c r="I45">
        <v>3</v>
      </c>
      <c r="J45">
        <v>16</v>
      </c>
      <c r="K45">
        <v>26</v>
      </c>
      <c r="L45">
        <v>987</v>
      </c>
      <c r="M45" s="2" t="s">
        <v>36</v>
      </c>
      <c r="N45" t="s">
        <v>29</v>
      </c>
      <c r="O45" s="2" t="s">
        <v>16</v>
      </c>
      <c r="P45" t="s">
        <v>47</v>
      </c>
      <c r="Q45" t="str">
        <f t="shared" si="1"/>
        <v>1</v>
      </c>
      <c r="R45" s="5">
        <v>46147</v>
      </c>
      <c r="S45" s="8">
        <f t="shared" si="2"/>
        <v>126.64640324214793</v>
      </c>
      <c r="T45">
        <f t="shared" si="3"/>
        <v>1500000</v>
      </c>
      <c r="U45" t="str">
        <f t="shared" si="4"/>
        <v>Luxury</v>
      </c>
      <c r="V45" t="str">
        <f t="shared" si="5"/>
        <v>Large</v>
      </c>
      <c r="W45" t="str">
        <f>IF(S45 &lt; VLOOKUP(E45, Locality_Tier_Benchmarks!A:B, 2, FALSE) * 0.7, "Below Tier Range", "Normal")</f>
        <v>Normal</v>
      </c>
      <c r="X45" t="str">
        <f t="shared" si="6"/>
        <v>Normal</v>
      </c>
      <c r="Y45" t="str">
        <f t="shared" si="7"/>
        <v>Normal</v>
      </c>
      <c r="Z45" t="str">
        <f t="shared" si="0"/>
        <v>Pass</v>
      </c>
    </row>
    <row r="46" spans="1:26" x14ac:dyDescent="0.25">
      <c r="A46" s="2" t="s">
        <v>229</v>
      </c>
      <c r="B46" s="2" t="s">
        <v>17</v>
      </c>
      <c r="C46" s="2" t="s">
        <v>59</v>
      </c>
      <c r="D46" s="2" t="str">
        <f>VLOOKUP(C46,Locality_Reference!A:C,2,)</f>
        <v>Central Suburbs</v>
      </c>
      <c r="E46" s="2" t="str">
        <f>VLOOKUP(C46,Locality_Reference!A:C,3,)</f>
        <v>Premium Suburb</v>
      </c>
      <c r="F46" s="2" t="s">
        <v>73</v>
      </c>
      <c r="G46" s="8">
        <v>115000</v>
      </c>
      <c r="H46">
        <v>3</v>
      </c>
      <c r="I46">
        <v>3</v>
      </c>
      <c r="J46">
        <v>1</v>
      </c>
      <c r="K46">
        <v>23</v>
      </c>
      <c r="L46">
        <v>1160</v>
      </c>
      <c r="M46" s="2" t="s">
        <v>33</v>
      </c>
      <c r="N46" t="s">
        <v>15</v>
      </c>
      <c r="O46" s="2" t="s">
        <v>16</v>
      </c>
      <c r="P46" t="s">
        <v>34</v>
      </c>
      <c r="Q46" t="str">
        <f t="shared" si="1"/>
        <v/>
      </c>
      <c r="R46" s="5">
        <v>46183</v>
      </c>
      <c r="S46" s="8">
        <f t="shared" si="2"/>
        <v>99.137931034482762</v>
      </c>
      <c r="T46">
        <f t="shared" si="3"/>
        <v>1380000</v>
      </c>
      <c r="U46" t="str">
        <f t="shared" si="4"/>
        <v>Luxury</v>
      </c>
      <c r="V46" t="str">
        <f t="shared" si="5"/>
        <v>Large</v>
      </c>
      <c r="W46" t="str">
        <f>IF(S46 &lt; VLOOKUP(E46, Locality_Tier_Benchmarks!A:B, 2, FALSE) * 0.7, "Below Tier Range", "Normal")</f>
        <v>Normal</v>
      </c>
      <c r="X46" t="str">
        <f t="shared" si="6"/>
        <v>Normal</v>
      </c>
      <c r="Y46" t="str">
        <f t="shared" si="7"/>
        <v>Normal</v>
      </c>
      <c r="Z46" t="str">
        <f t="shared" si="0"/>
        <v>Pass</v>
      </c>
    </row>
    <row r="47" spans="1:26" x14ac:dyDescent="0.25">
      <c r="A47" s="2" t="s">
        <v>230</v>
      </c>
      <c r="B47" s="2" t="s">
        <v>17</v>
      </c>
      <c r="C47" s="2" t="s">
        <v>74</v>
      </c>
      <c r="D47" s="2" t="str">
        <f>VLOOKUP(C47,Locality_Reference!A:C,2,)</f>
        <v>Western Line</v>
      </c>
      <c r="E47" s="2" t="str">
        <f>VLOOKUP(C47,Locality_Reference!A:C,3,)</f>
        <v>Mid Suburb</v>
      </c>
      <c r="F47" s="2" t="s">
        <v>75</v>
      </c>
      <c r="G47" s="8">
        <v>40000</v>
      </c>
      <c r="H47">
        <v>1</v>
      </c>
      <c r="I47">
        <v>2</v>
      </c>
      <c r="J47">
        <v>19</v>
      </c>
      <c r="K47">
        <v>30</v>
      </c>
      <c r="L47">
        <v>495</v>
      </c>
      <c r="M47" s="2" t="s">
        <v>14</v>
      </c>
      <c r="N47" t="s">
        <v>29</v>
      </c>
      <c r="O47" s="2" t="s">
        <v>16</v>
      </c>
      <c r="P47" t="s">
        <v>34</v>
      </c>
      <c r="Q47" t="str">
        <f t="shared" si="1"/>
        <v/>
      </c>
      <c r="R47" s="5">
        <v>46197</v>
      </c>
      <c r="S47" s="8">
        <f t="shared" si="2"/>
        <v>80.808080808080803</v>
      </c>
      <c r="T47">
        <f t="shared" si="3"/>
        <v>480000</v>
      </c>
      <c r="U47" t="str">
        <f t="shared" si="4"/>
        <v>Mid</v>
      </c>
      <c r="V47" t="str">
        <f t="shared" si="5"/>
        <v>Compact</v>
      </c>
      <c r="W47" t="str">
        <f>IF(S47 &lt; VLOOKUP(E47, Locality_Tier_Benchmarks!A:B, 2, FALSE) * 0.7, "Below Tier Range", "Normal")</f>
        <v>Normal</v>
      </c>
      <c r="X47" t="str">
        <f t="shared" si="6"/>
        <v>Normal</v>
      </c>
      <c r="Y47" t="str">
        <f t="shared" si="7"/>
        <v>Normal</v>
      </c>
      <c r="Z47" t="str">
        <f t="shared" si="0"/>
        <v>Pass</v>
      </c>
    </row>
    <row r="48" spans="1:26" x14ac:dyDescent="0.25">
      <c r="A48" s="2" t="s">
        <v>231</v>
      </c>
      <c r="B48" s="2" t="s">
        <v>17</v>
      </c>
      <c r="C48" s="2" t="s">
        <v>74</v>
      </c>
      <c r="D48" s="2" t="str">
        <f>VLOOKUP(C48,Locality_Reference!A:C,2,)</f>
        <v>Western Line</v>
      </c>
      <c r="E48" s="2" t="str">
        <f>VLOOKUP(C48,Locality_Reference!A:C,3,)</f>
        <v>Mid Suburb</v>
      </c>
      <c r="F48" s="2" t="s">
        <v>76</v>
      </c>
      <c r="G48" s="8">
        <v>22000</v>
      </c>
      <c r="H48">
        <v>1</v>
      </c>
      <c r="I48">
        <v>2</v>
      </c>
      <c r="J48">
        <v>5</v>
      </c>
      <c r="K48">
        <v>12</v>
      </c>
      <c r="L48">
        <v>400</v>
      </c>
      <c r="M48" s="2" t="s">
        <v>33</v>
      </c>
      <c r="N48" t="s">
        <v>15</v>
      </c>
      <c r="O48" s="2" t="s">
        <v>16</v>
      </c>
      <c r="P48" t="s">
        <v>34</v>
      </c>
      <c r="Q48" t="str">
        <f t="shared" si="1"/>
        <v/>
      </c>
      <c r="R48" s="5">
        <v>46196</v>
      </c>
      <c r="S48" s="8">
        <f t="shared" si="2"/>
        <v>55</v>
      </c>
      <c r="T48">
        <f t="shared" si="3"/>
        <v>264000</v>
      </c>
      <c r="U48" t="str">
        <f t="shared" si="4"/>
        <v>Budget</v>
      </c>
      <c r="V48" t="str">
        <f t="shared" si="5"/>
        <v>Compact</v>
      </c>
      <c r="W48" t="str">
        <f>IF(S48 &lt; VLOOKUP(E48, Locality_Tier_Benchmarks!A:B, 2, FALSE) * 0.7, "Below Tier Range", "Normal")</f>
        <v>Normal</v>
      </c>
      <c r="X48" t="str">
        <f t="shared" si="6"/>
        <v>Normal</v>
      </c>
      <c r="Y48" t="str">
        <f t="shared" si="7"/>
        <v>Normal</v>
      </c>
      <c r="Z48" t="str">
        <f t="shared" si="0"/>
        <v>Pass</v>
      </c>
    </row>
    <row r="49" spans="1:26" x14ac:dyDescent="0.25">
      <c r="A49" s="2" t="s">
        <v>232</v>
      </c>
      <c r="B49" s="2" t="s">
        <v>17</v>
      </c>
      <c r="C49" s="2" t="s">
        <v>74</v>
      </c>
      <c r="D49" s="2" t="str">
        <f>VLOOKUP(C49,Locality_Reference!A:C,2,)</f>
        <v>Western Line</v>
      </c>
      <c r="E49" s="2" t="str">
        <f>VLOOKUP(C49,Locality_Reference!A:C,3,)</f>
        <v>Mid Suburb</v>
      </c>
      <c r="F49" s="2" t="s">
        <v>77</v>
      </c>
      <c r="G49" s="8">
        <v>22000</v>
      </c>
      <c r="H49">
        <v>1</v>
      </c>
      <c r="I49">
        <v>1</v>
      </c>
      <c r="J49">
        <v>3</v>
      </c>
      <c r="K49">
        <v>7</v>
      </c>
      <c r="L49">
        <v>430</v>
      </c>
      <c r="M49" s="2" t="s">
        <v>36</v>
      </c>
      <c r="N49" t="s">
        <v>15</v>
      </c>
      <c r="O49" s="2" t="s">
        <v>16</v>
      </c>
      <c r="P49" t="s">
        <v>34</v>
      </c>
      <c r="Q49" t="str">
        <f t="shared" si="1"/>
        <v/>
      </c>
      <c r="R49" s="5">
        <v>46197</v>
      </c>
      <c r="S49" s="8">
        <f t="shared" si="2"/>
        <v>51.162790697674417</v>
      </c>
      <c r="T49">
        <f t="shared" si="3"/>
        <v>264000</v>
      </c>
      <c r="U49" t="str">
        <f t="shared" si="4"/>
        <v>Budget</v>
      </c>
      <c r="V49" t="str">
        <f t="shared" si="5"/>
        <v>Compact</v>
      </c>
      <c r="W49" t="str">
        <f>IF(S49 &lt; VLOOKUP(E49, Locality_Tier_Benchmarks!A:B, 2, FALSE) * 0.7, "Below Tier Range", "Normal")</f>
        <v>Normal</v>
      </c>
      <c r="X49" t="str">
        <f t="shared" si="6"/>
        <v>Normal</v>
      </c>
      <c r="Y49" t="str">
        <f t="shared" si="7"/>
        <v>Normal</v>
      </c>
      <c r="Z49" t="str">
        <f t="shared" si="0"/>
        <v>Pass</v>
      </c>
    </row>
    <row r="50" spans="1:26" x14ac:dyDescent="0.25">
      <c r="A50" s="2" t="s">
        <v>233</v>
      </c>
      <c r="B50" s="2" t="s">
        <v>17</v>
      </c>
      <c r="C50" s="2" t="s">
        <v>74</v>
      </c>
      <c r="D50" s="2" t="str">
        <f>VLOOKUP(C50,Locality_Reference!A:C,2,)</f>
        <v>Western Line</v>
      </c>
      <c r="E50" s="2" t="str">
        <f>VLOOKUP(C50,Locality_Reference!A:C,3,)</f>
        <v>Mid Suburb</v>
      </c>
      <c r="F50" s="2" t="s">
        <v>78</v>
      </c>
      <c r="G50" s="8">
        <v>23500</v>
      </c>
      <c r="H50">
        <v>1</v>
      </c>
      <c r="I50">
        <v>2</v>
      </c>
      <c r="J50">
        <v>12</v>
      </c>
      <c r="K50">
        <v>35</v>
      </c>
      <c r="L50">
        <v>507</v>
      </c>
      <c r="M50" s="2" t="s">
        <v>33</v>
      </c>
      <c r="N50" t="s">
        <v>15</v>
      </c>
      <c r="O50" s="2" t="s">
        <v>16</v>
      </c>
      <c r="P50" t="s">
        <v>34</v>
      </c>
      <c r="Q50" t="str">
        <f t="shared" si="1"/>
        <v/>
      </c>
      <c r="R50" s="5">
        <v>46197</v>
      </c>
      <c r="S50" s="8">
        <f t="shared" si="2"/>
        <v>46.351084812623277</v>
      </c>
      <c r="T50">
        <f t="shared" si="3"/>
        <v>282000</v>
      </c>
      <c r="U50" t="str">
        <f t="shared" si="4"/>
        <v>Budget</v>
      </c>
      <c r="V50" t="str">
        <f t="shared" si="5"/>
        <v>Medium</v>
      </c>
      <c r="W50" t="str">
        <f>IF(S50 &lt; VLOOKUP(E50, Locality_Tier_Benchmarks!A:B, 2, FALSE) * 0.7, "Below Tier Range", "Normal")</f>
        <v>Normal</v>
      </c>
      <c r="X50" t="str">
        <f t="shared" si="6"/>
        <v>Normal</v>
      </c>
      <c r="Y50" t="str">
        <f t="shared" si="7"/>
        <v>Normal</v>
      </c>
      <c r="Z50" t="str">
        <f t="shared" si="0"/>
        <v>Pass</v>
      </c>
    </row>
    <row r="51" spans="1:26" x14ac:dyDescent="0.25">
      <c r="A51" s="2" t="s">
        <v>234</v>
      </c>
      <c r="B51" s="2" t="s">
        <v>17</v>
      </c>
      <c r="C51" s="2" t="s">
        <v>74</v>
      </c>
      <c r="D51" s="2" t="str">
        <f>VLOOKUP(C51,Locality_Reference!A:C,2,)</f>
        <v>Western Line</v>
      </c>
      <c r="E51" s="2" t="str">
        <f>VLOOKUP(C51,Locality_Reference!A:C,3,)</f>
        <v>Mid Suburb</v>
      </c>
      <c r="F51" s="2" t="s">
        <v>79</v>
      </c>
      <c r="G51" s="8">
        <v>25000</v>
      </c>
      <c r="H51">
        <v>1</v>
      </c>
      <c r="I51">
        <v>2</v>
      </c>
      <c r="J51">
        <v>3</v>
      </c>
      <c r="K51">
        <v>7</v>
      </c>
      <c r="L51">
        <v>450</v>
      </c>
      <c r="M51" s="2" t="s">
        <v>36</v>
      </c>
      <c r="N51" t="s">
        <v>15</v>
      </c>
      <c r="O51" s="2" t="s">
        <v>16</v>
      </c>
      <c r="P51" t="s">
        <v>23</v>
      </c>
      <c r="Q51" t="str">
        <f t="shared" si="1"/>
        <v>10</v>
      </c>
      <c r="R51" s="5">
        <v>46197</v>
      </c>
      <c r="S51" s="8">
        <f t="shared" si="2"/>
        <v>55.555555555555557</v>
      </c>
      <c r="T51">
        <f t="shared" si="3"/>
        <v>300000</v>
      </c>
      <c r="U51" t="str">
        <f t="shared" si="4"/>
        <v>Budget</v>
      </c>
      <c r="V51" t="str">
        <f t="shared" si="5"/>
        <v>Compact</v>
      </c>
      <c r="W51" t="str">
        <f>IF(S51 &lt; VLOOKUP(E51, Locality_Tier_Benchmarks!A:B, 2, FALSE) * 0.7, "Below Tier Range", "Normal")</f>
        <v>Normal</v>
      </c>
      <c r="X51" t="str">
        <f t="shared" si="6"/>
        <v>Normal</v>
      </c>
      <c r="Y51" t="str">
        <f t="shared" si="7"/>
        <v>Normal</v>
      </c>
      <c r="Z51" t="str">
        <f t="shared" si="0"/>
        <v>Pass</v>
      </c>
    </row>
    <row r="52" spans="1:26" x14ac:dyDescent="0.25">
      <c r="A52" s="2" t="s">
        <v>235</v>
      </c>
      <c r="B52" s="2" t="s">
        <v>17</v>
      </c>
      <c r="C52" s="2" t="s">
        <v>74</v>
      </c>
      <c r="D52" s="2" t="str">
        <f>VLOOKUP(C52,Locality_Reference!A:C,2,)</f>
        <v>Western Line</v>
      </c>
      <c r="E52" s="2" t="str">
        <f>VLOOKUP(C52,Locality_Reference!A:C,3,)</f>
        <v>Mid Suburb</v>
      </c>
      <c r="F52" s="2" t="s">
        <v>80</v>
      </c>
      <c r="G52" s="8">
        <v>30000</v>
      </c>
      <c r="H52">
        <v>1</v>
      </c>
      <c r="I52">
        <v>1</v>
      </c>
      <c r="J52">
        <v>4</v>
      </c>
      <c r="K52">
        <v>12</v>
      </c>
      <c r="L52">
        <v>350</v>
      </c>
      <c r="M52" s="2" t="s">
        <v>14</v>
      </c>
      <c r="N52" t="s">
        <v>15</v>
      </c>
      <c r="O52" s="2" t="s">
        <v>16</v>
      </c>
      <c r="P52" t="s">
        <v>34</v>
      </c>
      <c r="Q52" t="str">
        <f t="shared" si="1"/>
        <v/>
      </c>
      <c r="R52" s="5">
        <v>46197</v>
      </c>
      <c r="S52" s="8">
        <f t="shared" si="2"/>
        <v>85.714285714285708</v>
      </c>
      <c r="T52">
        <f t="shared" si="3"/>
        <v>360000</v>
      </c>
      <c r="U52" t="str">
        <f t="shared" si="4"/>
        <v>Budget</v>
      </c>
      <c r="V52" t="str">
        <f t="shared" si="5"/>
        <v>Compact</v>
      </c>
      <c r="W52" t="str">
        <f>IF(S52 &lt; VLOOKUP(E52, Locality_Tier_Benchmarks!A:B, 2, FALSE) * 0.7, "Below Tier Range", "Normal")</f>
        <v>Normal</v>
      </c>
      <c r="X52" t="str">
        <f t="shared" si="6"/>
        <v>Normal</v>
      </c>
      <c r="Y52" t="str">
        <f t="shared" si="7"/>
        <v>Normal</v>
      </c>
      <c r="Z52" t="str">
        <f t="shared" si="0"/>
        <v>Pass</v>
      </c>
    </row>
    <row r="53" spans="1:26" x14ac:dyDescent="0.25">
      <c r="A53" s="2" t="s">
        <v>236</v>
      </c>
      <c r="B53" s="2" t="s">
        <v>17</v>
      </c>
      <c r="C53" s="2" t="s">
        <v>74</v>
      </c>
      <c r="D53" s="2" t="str">
        <f>VLOOKUP(C53,Locality_Reference!A:C,2,)</f>
        <v>Western Line</v>
      </c>
      <c r="E53" s="2" t="str">
        <f>VLOOKUP(C53,Locality_Reference!A:C,3,)</f>
        <v>Mid Suburb</v>
      </c>
      <c r="F53" s="2" t="s">
        <v>81</v>
      </c>
      <c r="G53" s="8">
        <v>70000</v>
      </c>
      <c r="H53">
        <v>1</v>
      </c>
      <c r="I53">
        <v>2</v>
      </c>
      <c r="J53">
        <v>11</v>
      </c>
      <c r="K53">
        <v>18</v>
      </c>
      <c r="L53">
        <v>425</v>
      </c>
      <c r="M53" s="2" t="s">
        <v>36</v>
      </c>
      <c r="N53" t="s">
        <v>29</v>
      </c>
      <c r="O53" s="2" t="s">
        <v>16</v>
      </c>
      <c r="P53" t="s">
        <v>52</v>
      </c>
      <c r="Q53" t="str">
        <f t="shared" si="1"/>
        <v>7.5</v>
      </c>
      <c r="R53" s="5">
        <v>46193</v>
      </c>
      <c r="S53" s="8">
        <f t="shared" si="2"/>
        <v>164.70588235294119</v>
      </c>
      <c r="T53">
        <f t="shared" si="3"/>
        <v>840000</v>
      </c>
      <c r="U53" t="str">
        <f t="shared" si="4"/>
        <v>Premium</v>
      </c>
      <c r="V53" t="str">
        <f t="shared" si="5"/>
        <v>Compact</v>
      </c>
      <c r="W53" t="str">
        <f>IF(S53 &lt; VLOOKUP(E53, Locality_Tier_Benchmarks!A:B, 2, FALSE) * 0.7, "Below Tier Range", "Normal")</f>
        <v>Normal</v>
      </c>
      <c r="X53" t="str">
        <f t="shared" si="6"/>
        <v>Normal</v>
      </c>
      <c r="Y53" t="str">
        <f t="shared" si="7"/>
        <v>Normal</v>
      </c>
      <c r="Z53" t="str">
        <f t="shared" si="0"/>
        <v>Pass</v>
      </c>
    </row>
    <row r="54" spans="1:26" x14ac:dyDescent="0.25">
      <c r="A54" s="2" t="s">
        <v>237</v>
      </c>
      <c r="B54" s="2" t="s">
        <v>17</v>
      </c>
      <c r="C54" s="2" t="s">
        <v>74</v>
      </c>
      <c r="D54" s="2" t="str">
        <f>VLOOKUP(C54,Locality_Reference!A:C,2,)</f>
        <v>Western Line</v>
      </c>
      <c r="E54" s="2" t="str">
        <f>VLOOKUP(C54,Locality_Reference!A:C,3,)</f>
        <v>Mid Suburb</v>
      </c>
      <c r="F54" s="2" t="s">
        <v>82</v>
      </c>
      <c r="G54" s="8">
        <v>31000</v>
      </c>
      <c r="H54">
        <v>1</v>
      </c>
      <c r="I54">
        <v>2</v>
      </c>
      <c r="J54">
        <v>7</v>
      </c>
      <c r="K54">
        <v>16</v>
      </c>
      <c r="L54">
        <v>513</v>
      </c>
      <c r="M54" s="2" t="s">
        <v>14</v>
      </c>
      <c r="N54" t="s">
        <v>15</v>
      </c>
      <c r="O54" s="2" t="s">
        <v>16</v>
      </c>
      <c r="P54" t="s">
        <v>31</v>
      </c>
      <c r="Q54" t="str">
        <f t="shared" si="1"/>
        <v>3</v>
      </c>
      <c r="R54" s="5">
        <v>46176</v>
      </c>
      <c r="S54" s="8">
        <f t="shared" si="2"/>
        <v>60.428849902534111</v>
      </c>
      <c r="T54">
        <f t="shared" si="3"/>
        <v>372000</v>
      </c>
      <c r="U54" t="str">
        <f t="shared" si="4"/>
        <v>Mid</v>
      </c>
      <c r="V54" t="str">
        <f t="shared" si="5"/>
        <v>Medium</v>
      </c>
      <c r="W54" t="str">
        <f>IF(S54 &lt; VLOOKUP(E54, Locality_Tier_Benchmarks!A:B, 2, FALSE) * 0.7, "Below Tier Range", "Normal")</f>
        <v>Normal</v>
      </c>
      <c r="X54" t="str">
        <f t="shared" si="6"/>
        <v>Normal</v>
      </c>
      <c r="Y54" t="str">
        <f t="shared" si="7"/>
        <v>Normal</v>
      </c>
      <c r="Z54" t="str">
        <f t="shared" si="0"/>
        <v>Pass</v>
      </c>
    </row>
    <row r="55" spans="1:26" x14ac:dyDescent="0.25">
      <c r="A55" s="2" t="s">
        <v>238</v>
      </c>
      <c r="B55" s="2" t="s">
        <v>17</v>
      </c>
      <c r="C55" s="2" t="s">
        <v>74</v>
      </c>
      <c r="D55" s="2" t="str">
        <f>VLOOKUP(C55,Locality_Reference!A:C,2,)</f>
        <v>Western Line</v>
      </c>
      <c r="E55" s="2" t="str">
        <f>VLOOKUP(C55,Locality_Reference!A:C,3,)</f>
        <v>Mid Suburb</v>
      </c>
      <c r="F55" s="2" t="s">
        <v>83</v>
      </c>
      <c r="G55" s="8">
        <v>27000</v>
      </c>
      <c r="H55">
        <v>1</v>
      </c>
      <c r="I55">
        <v>2</v>
      </c>
      <c r="J55">
        <v>20</v>
      </c>
      <c r="K55">
        <v>23</v>
      </c>
      <c r="L55">
        <v>486</v>
      </c>
      <c r="M55" s="2" t="s">
        <v>36</v>
      </c>
      <c r="N55" t="s">
        <v>15</v>
      </c>
      <c r="O55" s="2" t="s">
        <v>16</v>
      </c>
      <c r="P55" t="s">
        <v>31</v>
      </c>
      <c r="Q55" t="str">
        <f t="shared" si="1"/>
        <v>3</v>
      </c>
      <c r="R55" s="5">
        <v>46182</v>
      </c>
      <c r="S55" s="8">
        <f t="shared" si="2"/>
        <v>55.555555555555557</v>
      </c>
      <c r="T55">
        <f t="shared" si="3"/>
        <v>324000</v>
      </c>
      <c r="U55" t="str">
        <f t="shared" si="4"/>
        <v>Budget</v>
      </c>
      <c r="V55" t="str">
        <f t="shared" si="5"/>
        <v>Compact</v>
      </c>
      <c r="W55" t="str">
        <f>IF(S55 &lt; VLOOKUP(E55, Locality_Tier_Benchmarks!A:B, 2, FALSE) * 0.7, "Below Tier Range", "Normal")</f>
        <v>Normal</v>
      </c>
      <c r="X55" t="str">
        <f t="shared" si="6"/>
        <v>Normal</v>
      </c>
      <c r="Y55" t="str">
        <f t="shared" si="7"/>
        <v>Normal</v>
      </c>
      <c r="Z55" t="str">
        <f t="shared" si="0"/>
        <v>Pass</v>
      </c>
    </row>
    <row r="56" spans="1:26" x14ac:dyDescent="0.25">
      <c r="A56" s="2" t="s">
        <v>239</v>
      </c>
      <c r="B56" s="2" t="s">
        <v>17</v>
      </c>
      <c r="C56" s="2" t="s">
        <v>74</v>
      </c>
      <c r="D56" s="2" t="str">
        <f>VLOOKUP(C56,Locality_Reference!A:C,2,)</f>
        <v>Western Line</v>
      </c>
      <c r="E56" s="2" t="str">
        <f>VLOOKUP(C56,Locality_Reference!A:C,3,)</f>
        <v>Mid Suburb</v>
      </c>
      <c r="F56" s="2" t="s">
        <v>84</v>
      </c>
      <c r="G56" s="8">
        <v>21500</v>
      </c>
      <c r="H56">
        <v>1</v>
      </c>
      <c r="I56">
        <v>1</v>
      </c>
      <c r="J56">
        <v>0</v>
      </c>
      <c r="K56">
        <v>7</v>
      </c>
      <c r="L56">
        <v>396</v>
      </c>
      <c r="M56" s="2" t="s">
        <v>36</v>
      </c>
      <c r="N56" t="s">
        <v>15</v>
      </c>
      <c r="O56" s="2" t="s">
        <v>16</v>
      </c>
      <c r="P56" t="s">
        <v>52</v>
      </c>
      <c r="Q56" t="str">
        <f t="shared" si="1"/>
        <v>7.5</v>
      </c>
      <c r="R56" s="5">
        <v>46185</v>
      </c>
      <c r="S56" s="8">
        <f t="shared" si="2"/>
        <v>54.292929292929294</v>
      </c>
      <c r="T56">
        <f t="shared" si="3"/>
        <v>258000</v>
      </c>
      <c r="U56" t="str">
        <f t="shared" si="4"/>
        <v>Budget</v>
      </c>
      <c r="V56" t="str">
        <f t="shared" si="5"/>
        <v>Compact</v>
      </c>
      <c r="W56" t="str">
        <f>IF(S56 &lt; VLOOKUP(E56, Locality_Tier_Benchmarks!A:B, 2, FALSE) * 0.7, "Below Tier Range", "Normal")</f>
        <v>Normal</v>
      </c>
      <c r="X56" t="str">
        <f t="shared" si="6"/>
        <v>Normal</v>
      </c>
      <c r="Y56" t="str">
        <f t="shared" si="7"/>
        <v>Normal</v>
      </c>
      <c r="Z56" t="str">
        <f t="shared" si="0"/>
        <v>Pass</v>
      </c>
    </row>
    <row r="57" spans="1:26" x14ac:dyDescent="0.25">
      <c r="A57" s="2" t="s">
        <v>240</v>
      </c>
      <c r="B57" s="2" t="s">
        <v>17</v>
      </c>
      <c r="C57" s="2" t="s">
        <v>74</v>
      </c>
      <c r="D57" s="2" t="str">
        <f>VLOOKUP(C57,Locality_Reference!A:C,2,)</f>
        <v>Western Line</v>
      </c>
      <c r="E57" s="2" t="str">
        <f>VLOOKUP(C57,Locality_Reference!A:C,3,)</f>
        <v>Mid Suburb</v>
      </c>
      <c r="F57" s="2" t="s">
        <v>85</v>
      </c>
      <c r="G57" s="8">
        <v>40500</v>
      </c>
      <c r="H57">
        <v>2</v>
      </c>
      <c r="I57">
        <v>2</v>
      </c>
      <c r="J57">
        <v>36</v>
      </c>
      <c r="K57">
        <v>31</v>
      </c>
      <c r="L57">
        <v>668</v>
      </c>
      <c r="M57" s="2" t="s">
        <v>36</v>
      </c>
      <c r="N57" t="s">
        <v>15</v>
      </c>
      <c r="O57" s="2" t="s">
        <v>16</v>
      </c>
      <c r="P57" t="s">
        <v>47</v>
      </c>
      <c r="Q57" t="str">
        <f t="shared" si="1"/>
        <v>1</v>
      </c>
      <c r="R57" s="5">
        <v>46188</v>
      </c>
      <c r="S57" s="8">
        <f t="shared" si="2"/>
        <v>60.628742514970057</v>
      </c>
      <c r="T57">
        <f t="shared" si="3"/>
        <v>486000</v>
      </c>
      <c r="U57" t="str">
        <f t="shared" si="4"/>
        <v>Mid</v>
      </c>
      <c r="V57" t="str">
        <f t="shared" si="5"/>
        <v>Medium</v>
      </c>
      <c r="W57" t="str">
        <f>IF(S57 &lt; VLOOKUP(E57, Locality_Tier_Benchmarks!A:B, 2, FALSE) * 0.7, "Below Tier Range", "Normal")</f>
        <v>Normal</v>
      </c>
      <c r="X57" t="str">
        <f t="shared" si="6"/>
        <v>Normal</v>
      </c>
      <c r="Y57" t="str">
        <f t="shared" si="7"/>
        <v>Normal</v>
      </c>
      <c r="Z57" t="str">
        <f t="shared" si="0"/>
        <v>Pass</v>
      </c>
    </row>
    <row r="58" spans="1:26" x14ac:dyDescent="0.25">
      <c r="A58" s="2" t="s">
        <v>241</v>
      </c>
      <c r="B58" s="2" t="s">
        <v>17</v>
      </c>
      <c r="C58" s="2" t="s">
        <v>74</v>
      </c>
      <c r="D58" s="2" t="str">
        <f>VLOOKUP(C58,Locality_Reference!A:C,2,)</f>
        <v>Western Line</v>
      </c>
      <c r="E58" s="2" t="str">
        <f>VLOOKUP(C58,Locality_Reference!A:C,3,)</f>
        <v>Mid Suburb</v>
      </c>
      <c r="F58" s="2" t="s">
        <v>86</v>
      </c>
      <c r="G58" s="8">
        <v>36100</v>
      </c>
      <c r="H58">
        <v>2</v>
      </c>
      <c r="I58">
        <v>2</v>
      </c>
      <c r="J58">
        <v>13</v>
      </c>
      <c r="K58">
        <v>36</v>
      </c>
      <c r="L58">
        <v>652</v>
      </c>
      <c r="M58" s="2" t="s">
        <v>36</v>
      </c>
      <c r="N58" t="s">
        <v>15</v>
      </c>
      <c r="O58" s="2" t="s">
        <v>16</v>
      </c>
      <c r="P58" t="s">
        <v>34</v>
      </c>
      <c r="Q58" t="str">
        <f t="shared" si="1"/>
        <v/>
      </c>
      <c r="R58" s="5">
        <v>46195</v>
      </c>
      <c r="S58" s="8">
        <f t="shared" si="2"/>
        <v>55.368098159509202</v>
      </c>
      <c r="T58">
        <f t="shared" si="3"/>
        <v>433200</v>
      </c>
      <c r="U58" t="str">
        <f t="shared" si="4"/>
        <v>Mid</v>
      </c>
      <c r="V58" t="str">
        <f t="shared" si="5"/>
        <v>Medium</v>
      </c>
      <c r="W58" t="str">
        <f>IF(S58 &lt; VLOOKUP(E58, Locality_Tier_Benchmarks!A:B, 2, FALSE) * 0.7, "Below Tier Range", "Normal")</f>
        <v>Normal</v>
      </c>
      <c r="X58" t="str">
        <f t="shared" si="6"/>
        <v>Normal</v>
      </c>
      <c r="Y58" t="str">
        <f t="shared" si="7"/>
        <v>Normal</v>
      </c>
      <c r="Z58" t="str">
        <f t="shared" si="0"/>
        <v>Pass</v>
      </c>
    </row>
    <row r="59" spans="1:26" x14ac:dyDescent="0.25">
      <c r="A59" s="2" t="s">
        <v>242</v>
      </c>
      <c r="B59" s="2" t="s">
        <v>17</v>
      </c>
      <c r="C59" s="2" t="s">
        <v>74</v>
      </c>
      <c r="D59" s="2" t="str">
        <f>VLOOKUP(C59,Locality_Reference!A:C,2,)</f>
        <v>Western Line</v>
      </c>
      <c r="E59" s="2" t="str">
        <f>VLOOKUP(C59,Locality_Reference!A:C,3,)</f>
        <v>Mid Suburb</v>
      </c>
      <c r="F59" s="2" t="s">
        <v>87</v>
      </c>
      <c r="G59" s="8">
        <v>45000</v>
      </c>
      <c r="H59">
        <v>2</v>
      </c>
      <c r="I59">
        <v>2</v>
      </c>
      <c r="J59">
        <v>3</v>
      </c>
      <c r="K59">
        <v>13</v>
      </c>
      <c r="L59">
        <v>714</v>
      </c>
      <c r="M59" s="2" t="s">
        <v>36</v>
      </c>
      <c r="N59" t="s">
        <v>15</v>
      </c>
      <c r="O59" s="2" t="s">
        <v>16</v>
      </c>
      <c r="P59" t="s">
        <v>34</v>
      </c>
      <c r="Q59" t="str">
        <f t="shared" si="1"/>
        <v/>
      </c>
      <c r="R59" s="5">
        <v>46189</v>
      </c>
      <c r="S59" s="8">
        <f t="shared" si="2"/>
        <v>63.025210084033617</v>
      </c>
      <c r="T59">
        <f t="shared" si="3"/>
        <v>540000</v>
      </c>
      <c r="U59" t="str">
        <f t="shared" si="4"/>
        <v>Mid</v>
      </c>
      <c r="V59" t="str">
        <f t="shared" si="5"/>
        <v>Medium</v>
      </c>
      <c r="W59" t="str">
        <f>IF(S59 &lt; VLOOKUP(E59, Locality_Tier_Benchmarks!A:B, 2, FALSE) * 0.7, "Below Tier Range", "Normal")</f>
        <v>Normal</v>
      </c>
      <c r="X59" t="str">
        <f t="shared" si="6"/>
        <v>Normal</v>
      </c>
      <c r="Y59" t="str">
        <f t="shared" si="7"/>
        <v>Normal</v>
      </c>
      <c r="Z59" t="str">
        <f t="shared" si="0"/>
        <v>Pass</v>
      </c>
    </row>
    <row r="60" spans="1:26" x14ac:dyDescent="0.25">
      <c r="A60" s="2" t="s">
        <v>243</v>
      </c>
      <c r="B60" s="2" t="s">
        <v>17</v>
      </c>
      <c r="C60" s="2" t="s">
        <v>74</v>
      </c>
      <c r="D60" s="2" t="str">
        <f>VLOOKUP(C60,Locality_Reference!A:C,2,)</f>
        <v>Western Line</v>
      </c>
      <c r="E60" s="2" t="str">
        <f>VLOOKUP(C60,Locality_Reference!A:C,3,)</f>
        <v>Mid Suburb</v>
      </c>
      <c r="F60" s="2" t="s">
        <v>88</v>
      </c>
      <c r="G60" s="8">
        <v>25000</v>
      </c>
      <c r="H60">
        <v>2</v>
      </c>
      <c r="I60">
        <v>2</v>
      </c>
      <c r="J60">
        <v>7</v>
      </c>
      <c r="K60">
        <v>7</v>
      </c>
      <c r="L60">
        <v>650</v>
      </c>
      <c r="M60" s="2" t="s">
        <v>33</v>
      </c>
      <c r="N60" t="s">
        <v>15</v>
      </c>
      <c r="O60" s="2" t="s">
        <v>16</v>
      </c>
      <c r="P60" t="s">
        <v>34</v>
      </c>
      <c r="Q60" t="str">
        <f t="shared" si="1"/>
        <v/>
      </c>
      <c r="R60" s="5">
        <v>46185</v>
      </c>
      <c r="S60" s="8">
        <f t="shared" si="2"/>
        <v>38.46153846153846</v>
      </c>
      <c r="T60">
        <f t="shared" si="3"/>
        <v>300000</v>
      </c>
      <c r="U60" t="str">
        <f t="shared" si="4"/>
        <v>Budget</v>
      </c>
      <c r="V60" t="str">
        <f t="shared" si="5"/>
        <v>Medium</v>
      </c>
      <c r="W60" t="str">
        <f>IF(S60 &lt; VLOOKUP(E60, Locality_Tier_Benchmarks!A:B, 2, FALSE) * 0.7, "Below Tier Range", "Normal")</f>
        <v>Normal</v>
      </c>
      <c r="X60" t="str">
        <f t="shared" si="6"/>
        <v>Normal</v>
      </c>
      <c r="Y60" t="str">
        <f t="shared" si="7"/>
        <v>Normal</v>
      </c>
      <c r="Z60" t="str">
        <f t="shared" si="0"/>
        <v>Pass</v>
      </c>
    </row>
    <row r="61" spans="1:26" x14ac:dyDescent="0.25">
      <c r="A61" s="2" t="s">
        <v>244</v>
      </c>
      <c r="B61" s="2" t="s">
        <v>17</v>
      </c>
      <c r="C61" s="2" t="s">
        <v>74</v>
      </c>
      <c r="D61" s="2" t="str">
        <f>VLOOKUP(C61,Locality_Reference!A:C,2,)</f>
        <v>Western Line</v>
      </c>
      <c r="E61" s="2" t="str">
        <f>VLOOKUP(C61,Locality_Reference!A:C,3,)</f>
        <v>Mid Suburb</v>
      </c>
      <c r="F61" s="2" t="s">
        <v>89</v>
      </c>
      <c r="G61" s="8">
        <v>40000</v>
      </c>
      <c r="H61">
        <v>2</v>
      </c>
      <c r="I61">
        <v>2</v>
      </c>
      <c r="J61">
        <v>3</v>
      </c>
      <c r="K61">
        <v>14</v>
      </c>
      <c r="L61">
        <v>742</v>
      </c>
      <c r="M61" s="2" t="s">
        <v>36</v>
      </c>
      <c r="N61" t="s">
        <v>15</v>
      </c>
      <c r="O61" s="2" t="s">
        <v>16</v>
      </c>
      <c r="P61" t="s">
        <v>34</v>
      </c>
      <c r="Q61" t="str">
        <f t="shared" si="1"/>
        <v/>
      </c>
      <c r="R61" s="5">
        <v>46197</v>
      </c>
      <c r="S61" s="8">
        <f t="shared" si="2"/>
        <v>53.908355795148246</v>
      </c>
      <c r="T61">
        <f t="shared" si="3"/>
        <v>480000</v>
      </c>
      <c r="U61" t="str">
        <f t="shared" si="4"/>
        <v>Mid</v>
      </c>
      <c r="V61" t="str">
        <f t="shared" si="5"/>
        <v>Medium</v>
      </c>
      <c r="W61" t="str">
        <f>IF(S61 &lt; VLOOKUP(E61, Locality_Tier_Benchmarks!A:B, 2, FALSE) * 0.7, "Below Tier Range", "Normal")</f>
        <v>Normal</v>
      </c>
      <c r="X61" t="str">
        <f t="shared" si="6"/>
        <v>Normal</v>
      </c>
      <c r="Y61" t="str">
        <f t="shared" si="7"/>
        <v>Normal</v>
      </c>
      <c r="Z61" t="str">
        <f t="shared" si="0"/>
        <v>Pass</v>
      </c>
    </row>
    <row r="62" spans="1:26" x14ac:dyDescent="0.25">
      <c r="A62" s="2" t="s">
        <v>245</v>
      </c>
      <c r="B62" s="2" t="s">
        <v>17</v>
      </c>
      <c r="C62" s="2" t="s">
        <v>74</v>
      </c>
      <c r="D62" s="2" t="str">
        <f>VLOOKUP(C62,Locality_Reference!A:C,2,)</f>
        <v>Western Line</v>
      </c>
      <c r="E62" s="2" t="str">
        <f>VLOOKUP(C62,Locality_Reference!A:C,3,)</f>
        <v>Mid Suburb</v>
      </c>
      <c r="F62" s="2" t="s">
        <v>90</v>
      </c>
      <c r="G62" s="8">
        <v>31000</v>
      </c>
      <c r="H62">
        <v>2</v>
      </c>
      <c r="I62">
        <v>2</v>
      </c>
      <c r="J62">
        <v>5</v>
      </c>
      <c r="K62">
        <v>13</v>
      </c>
      <c r="L62">
        <v>650</v>
      </c>
      <c r="M62" s="2" t="s">
        <v>33</v>
      </c>
      <c r="N62" t="s">
        <v>15</v>
      </c>
      <c r="O62" s="2" t="s">
        <v>16</v>
      </c>
      <c r="P62" t="s">
        <v>34</v>
      </c>
      <c r="Q62" t="str">
        <f t="shared" si="1"/>
        <v/>
      </c>
      <c r="R62" s="5">
        <v>46189</v>
      </c>
      <c r="S62" s="8">
        <f t="shared" si="2"/>
        <v>47.692307692307693</v>
      </c>
      <c r="T62">
        <f t="shared" si="3"/>
        <v>372000</v>
      </c>
      <c r="U62" t="str">
        <f t="shared" si="4"/>
        <v>Mid</v>
      </c>
      <c r="V62" t="str">
        <f t="shared" si="5"/>
        <v>Medium</v>
      </c>
      <c r="W62" t="str">
        <f>IF(S62 &lt; VLOOKUP(E62, Locality_Tier_Benchmarks!A:B, 2, FALSE) * 0.7, "Below Tier Range", "Normal")</f>
        <v>Normal</v>
      </c>
      <c r="X62" t="str">
        <f t="shared" si="6"/>
        <v>Normal</v>
      </c>
      <c r="Y62" t="str">
        <f t="shared" si="7"/>
        <v>Normal</v>
      </c>
      <c r="Z62" t="str">
        <f t="shared" si="0"/>
        <v>Pass</v>
      </c>
    </row>
    <row r="63" spans="1:26" x14ac:dyDescent="0.25">
      <c r="A63" s="2" t="s">
        <v>246</v>
      </c>
      <c r="B63" s="2" t="s">
        <v>17</v>
      </c>
      <c r="C63" s="2" t="s">
        <v>74</v>
      </c>
      <c r="D63" s="2" t="str">
        <f>VLOOKUP(C63,Locality_Reference!A:C,2,)</f>
        <v>Western Line</v>
      </c>
      <c r="E63" s="2" t="str">
        <f>VLOOKUP(C63,Locality_Reference!A:C,3,)</f>
        <v>Mid Suburb</v>
      </c>
      <c r="F63" s="2" t="s">
        <v>91</v>
      </c>
      <c r="G63" s="8">
        <v>27000</v>
      </c>
      <c r="H63">
        <v>2</v>
      </c>
      <c r="I63">
        <v>2</v>
      </c>
      <c r="J63">
        <v>2</v>
      </c>
      <c r="K63">
        <v>22</v>
      </c>
      <c r="L63">
        <v>737</v>
      </c>
      <c r="M63" s="2" t="s">
        <v>36</v>
      </c>
      <c r="N63" t="s">
        <v>15</v>
      </c>
      <c r="O63" s="2" t="s">
        <v>16</v>
      </c>
      <c r="P63" t="s">
        <v>31</v>
      </c>
      <c r="Q63" t="str">
        <f t="shared" si="1"/>
        <v>3</v>
      </c>
      <c r="R63" s="5">
        <v>46186</v>
      </c>
      <c r="S63" s="8">
        <f t="shared" si="2"/>
        <v>36.635006784260518</v>
      </c>
      <c r="T63">
        <f t="shared" si="3"/>
        <v>324000</v>
      </c>
      <c r="U63" t="str">
        <f t="shared" si="4"/>
        <v>Budget</v>
      </c>
      <c r="V63" t="str">
        <f t="shared" si="5"/>
        <v>Medium</v>
      </c>
      <c r="W63" t="str">
        <f>IF(S63 &lt; VLOOKUP(E63, Locality_Tier_Benchmarks!A:B, 2, FALSE) * 0.7, "Below Tier Range", "Normal")</f>
        <v>Normal</v>
      </c>
      <c r="X63" t="str">
        <f t="shared" si="6"/>
        <v>Normal</v>
      </c>
      <c r="Y63" t="str">
        <f t="shared" si="7"/>
        <v>Normal</v>
      </c>
      <c r="Z63" t="str">
        <f t="shared" si="0"/>
        <v>Pass</v>
      </c>
    </row>
    <row r="64" spans="1:26" x14ac:dyDescent="0.25">
      <c r="A64" s="2" t="s">
        <v>247</v>
      </c>
      <c r="B64" s="2" t="s">
        <v>17</v>
      </c>
      <c r="C64" s="2" t="s">
        <v>74</v>
      </c>
      <c r="D64" s="2" t="str">
        <f>VLOOKUP(C64,Locality_Reference!A:C,2,)</f>
        <v>Western Line</v>
      </c>
      <c r="E64" s="2" t="str">
        <f>VLOOKUP(C64,Locality_Reference!A:C,3,)</f>
        <v>Mid Suburb</v>
      </c>
      <c r="F64" s="2" t="s">
        <v>92</v>
      </c>
      <c r="G64" s="8">
        <v>35000</v>
      </c>
      <c r="H64">
        <v>2</v>
      </c>
      <c r="I64">
        <v>2</v>
      </c>
      <c r="J64">
        <v>12</v>
      </c>
      <c r="K64">
        <v>14</v>
      </c>
      <c r="L64">
        <v>720</v>
      </c>
      <c r="M64" s="2" t="s">
        <v>36</v>
      </c>
      <c r="N64" t="s">
        <v>15</v>
      </c>
      <c r="O64" s="2" t="s">
        <v>16</v>
      </c>
      <c r="P64" t="s">
        <v>52</v>
      </c>
      <c r="Q64" t="str">
        <f t="shared" si="1"/>
        <v>7.5</v>
      </c>
      <c r="R64" s="5">
        <v>46195</v>
      </c>
      <c r="S64" s="8">
        <f t="shared" si="2"/>
        <v>48.611111111111114</v>
      </c>
      <c r="T64">
        <f t="shared" si="3"/>
        <v>420000</v>
      </c>
      <c r="U64" t="str">
        <f t="shared" si="4"/>
        <v>Mid</v>
      </c>
      <c r="V64" t="str">
        <f t="shared" si="5"/>
        <v>Medium</v>
      </c>
      <c r="W64" t="str">
        <f>IF(S64 &lt; VLOOKUP(E64, Locality_Tier_Benchmarks!A:B, 2, FALSE) * 0.7, "Below Tier Range", "Normal")</f>
        <v>Normal</v>
      </c>
      <c r="X64" t="str">
        <f t="shared" si="6"/>
        <v>Normal</v>
      </c>
      <c r="Y64" t="str">
        <f t="shared" si="7"/>
        <v>Normal</v>
      </c>
      <c r="Z64" t="str">
        <f t="shared" si="0"/>
        <v>Pass</v>
      </c>
    </row>
    <row r="65" spans="1:26" x14ac:dyDescent="0.25">
      <c r="A65" s="2" t="s">
        <v>248</v>
      </c>
      <c r="B65" s="2" t="s">
        <v>17</v>
      </c>
      <c r="C65" s="2" t="s">
        <v>74</v>
      </c>
      <c r="D65" s="2" t="str">
        <f>VLOOKUP(C65,Locality_Reference!A:C,2,)</f>
        <v>Western Line</v>
      </c>
      <c r="E65" s="2" t="str">
        <f>VLOOKUP(C65,Locality_Reference!A:C,3,)</f>
        <v>Mid Suburb</v>
      </c>
      <c r="F65" s="2" t="s">
        <v>93</v>
      </c>
      <c r="G65" s="8">
        <v>38000</v>
      </c>
      <c r="H65">
        <v>2</v>
      </c>
      <c r="I65">
        <v>2</v>
      </c>
      <c r="J65">
        <v>14</v>
      </c>
      <c r="K65">
        <v>21</v>
      </c>
      <c r="L65">
        <v>646</v>
      </c>
      <c r="M65" s="2" t="s">
        <v>36</v>
      </c>
      <c r="N65" t="s">
        <v>15</v>
      </c>
      <c r="O65" s="2" t="s">
        <v>16</v>
      </c>
      <c r="P65" t="s">
        <v>47</v>
      </c>
      <c r="Q65" t="str">
        <f t="shared" si="1"/>
        <v>1</v>
      </c>
      <c r="R65" s="5">
        <v>46186</v>
      </c>
      <c r="S65" s="8">
        <f t="shared" si="2"/>
        <v>58.823529411764703</v>
      </c>
      <c r="T65">
        <f t="shared" si="3"/>
        <v>456000</v>
      </c>
      <c r="U65" t="str">
        <f t="shared" si="4"/>
        <v>Mid</v>
      </c>
      <c r="V65" t="str">
        <f t="shared" si="5"/>
        <v>Medium</v>
      </c>
      <c r="W65" t="str">
        <f>IF(S65 &lt; VLOOKUP(E65, Locality_Tier_Benchmarks!A:B, 2, FALSE) * 0.7, "Below Tier Range", "Normal")</f>
        <v>Normal</v>
      </c>
      <c r="X65" t="str">
        <f t="shared" si="6"/>
        <v>Normal</v>
      </c>
      <c r="Y65" t="str">
        <f t="shared" si="7"/>
        <v>Normal</v>
      </c>
      <c r="Z65" t="str">
        <f t="shared" si="0"/>
        <v>Pass</v>
      </c>
    </row>
    <row r="66" spans="1:26" x14ac:dyDescent="0.25">
      <c r="A66" s="2" t="s">
        <v>249</v>
      </c>
      <c r="B66" s="2" t="s">
        <v>17</v>
      </c>
      <c r="C66" s="2" t="s">
        <v>74</v>
      </c>
      <c r="D66" s="2" t="str">
        <f>VLOOKUP(C66,Locality_Reference!A:C,2,)</f>
        <v>Western Line</v>
      </c>
      <c r="E66" s="2" t="str">
        <f>VLOOKUP(C66,Locality_Reference!A:C,3,)</f>
        <v>Mid Suburb</v>
      </c>
      <c r="F66" s="2" t="s">
        <v>94</v>
      </c>
      <c r="G66" s="8">
        <v>38000</v>
      </c>
      <c r="H66">
        <v>2</v>
      </c>
      <c r="I66">
        <v>2</v>
      </c>
      <c r="J66">
        <v>20</v>
      </c>
      <c r="K66">
        <v>22</v>
      </c>
      <c r="L66">
        <v>759</v>
      </c>
      <c r="M66" s="2" t="s">
        <v>33</v>
      </c>
      <c r="N66" t="s">
        <v>15</v>
      </c>
      <c r="O66" s="2" t="s">
        <v>16</v>
      </c>
      <c r="P66" t="s">
        <v>47</v>
      </c>
      <c r="Q66" t="str">
        <f t="shared" si="1"/>
        <v>1</v>
      </c>
      <c r="R66" s="5">
        <v>46175</v>
      </c>
      <c r="S66" s="8">
        <f t="shared" si="2"/>
        <v>50.065876152832672</v>
      </c>
      <c r="T66">
        <f t="shared" si="3"/>
        <v>456000</v>
      </c>
      <c r="U66" t="str">
        <f t="shared" si="4"/>
        <v>Mid</v>
      </c>
      <c r="V66" t="str">
        <f t="shared" si="5"/>
        <v>Medium</v>
      </c>
      <c r="W66" t="str">
        <f>IF(S66 &lt; VLOOKUP(E66, Locality_Tier_Benchmarks!A:B, 2, FALSE) * 0.7, "Below Tier Range", "Normal")</f>
        <v>Normal</v>
      </c>
      <c r="X66" t="str">
        <f t="shared" si="6"/>
        <v>Normal</v>
      </c>
      <c r="Y66" t="str">
        <f t="shared" si="7"/>
        <v>Normal</v>
      </c>
      <c r="Z66" t="str">
        <f t="shared" ref="Z66:Z129" si="8">IF(OR(W66&lt;&gt;"Normal",X66&lt;&gt;"Normal",Y66&lt;&gt;"Normal"),"Review","Pass")</f>
        <v>Pass</v>
      </c>
    </row>
    <row r="67" spans="1:26" x14ac:dyDescent="0.25">
      <c r="A67" s="2" t="s">
        <v>250</v>
      </c>
      <c r="B67" s="2" t="s">
        <v>17</v>
      </c>
      <c r="C67" s="2" t="s">
        <v>74</v>
      </c>
      <c r="D67" s="2" t="str">
        <f>VLOOKUP(C67,Locality_Reference!A:C,2,)</f>
        <v>Western Line</v>
      </c>
      <c r="E67" s="2" t="str">
        <f>VLOOKUP(C67,Locality_Reference!A:C,3,)</f>
        <v>Mid Suburb</v>
      </c>
      <c r="F67" s="2" t="s">
        <v>85</v>
      </c>
      <c r="G67" s="8">
        <v>45000</v>
      </c>
      <c r="H67">
        <v>3</v>
      </c>
      <c r="I67">
        <v>2</v>
      </c>
      <c r="J67">
        <v>7</v>
      </c>
      <c r="K67">
        <v>31</v>
      </c>
      <c r="L67">
        <v>885</v>
      </c>
      <c r="M67" s="2" t="s">
        <v>36</v>
      </c>
      <c r="N67" t="s">
        <v>15</v>
      </c>
      <c r="O67" s="2" t="s">
        <v>16</v>
      </c>
      <c r="P67" t="s">
        <v>47</v>
      </c>
      <c r="Q67" t="str">
        <f t="shared" ref="Q67:Q130" si="9">IF(P67="20+ Years","20",IF(P67="15-20 Years","17.5",IF(P67="10+ Years","10",IF(P67="5-10 Years","7.5",IF(P67="1-5 Years","3",IF(P67="0-1 Year","1",""))))))</f>
        <v>1</v>
      </c>
      <c r="R67" s="5">
        <v>46178</v>
      </c>
      <c r="S67" s="8">
        <f t="shared" ref="S67:S130" si="10">G67/L67</f>
        <v>50.847457627118644</v>
      </c>
      <c r="T67">
        <f t="shared" ref="T67:T130" si="11">G67*12</f>
        <v>540000</v>
      </c>
      <c r="U67" t="str">
        <f t="shared" ref="U67:U130" si="12">IF(G67&lt;=30000,"Budget",IF(G67&lt;=60000,"Mid",IF(G67&lt;=100000,"Premium","Luxury")))</f>
        <v>Mid</v>
      </c>
      <c r="V67" t="str">
        <f t="shared" ref="V67:V130" si="13">IF(L67&lt;=500,"Compact",IF(L67&lt;=800,"Medium",IF(L67&lt;=1200,"Large","Spacious")))</f>
        <v>Large</v>
      </c>
      <c r="W67" t="str">
        <f>IF(S67 &lt; VLOOKUP(E67, Locality_Tier_Benchmarks!A:B, 2, FALSE) * 0.7, "Below Tier Range", "Normal")</f>
        <v>Normal</v>
      </c>
      <c r="X67" t="str">
        <f t="shared" ref="X67:X130" si="14">IF(G67&lt;7000,"Below Absolute Floor","Normal")</f>
        <v>Normal</v>
      </c>
      <c r="Y67" t="str">
        <f t="shared" ref="Y67:Y130" si="15">IF(S67&gt;500,"Possible Typo - Check Zero","Normal")</f>
        <v>Normal</v>
      </c>
      <c r="Z67" t="str">
        <f t="shared" si="8"/>
        <v>Pass</v>
      </c>
    </row>
    <row r="68" spans="1:26" x14ac:dyDescent="0.25">
      <c r="A68" s="2" t="s">
        <v>251</v>
      </c>
      <c r="B68" s="2" t="s">
        <v>17</v>
      </c>
      <c r="C68" s="2" t="s">
        <v>74</v>
      </c>
      <c r="D68" s="2" t="str">
        <f>VLOOKUP(C68,Locality_Reference!A:C,2,)</f>
        <v>Western Line</v>
      </c>
      <c r="E68" s="2" t="str">
        <f>VLOOKUP(C68,Locality_Reference!A:C,3,)</f>
        <v>Mid Suburb</v>
      </c>
      <c r="F68" s="2" t="s">
        <v>95</v>
      </c>
      <c r="G68" s="8">
        <v>43000</v>
      </c>
      <c r="H68">
        <v>3</v>
      </c>
      <c r="I68">
        <v>3</v>
      </c>
      <c r="J68">
        <v>6</v>
      </c>
      <c r="K68">
        <v>17</v>
      </c>
      <c r="L68">
        <v>950</v>
      </c>
      <c r="M68" s="2" t="s">
        <v>36</v>
      </c>
      <c r="N68" t="s">
        <v>15</v>
      </c>
      <c r="O68" s="2" t="s">
        <v>16</v>
      </c>
      <c r="P68" t="s">
        <v>23</v>
      </c>
      <c r="Q68" t="str">
        <f t="shared" si="9"/>
        <v>10</v>
      </c>
      <c r="R68" s="5">
        <v>46183</v>
      </c>
      <c r="S68" s="8">
        <f t="shared" si="10"/>
        <v>45.263157894736842</v>
      </c>
      <c r="T68">
        <f t="shared" si="11"/>
        <v>516000</v>
      </c>
      <c r="U68" t="str">
        <f t="shared" si="12"/>
        <v>Mid</v>
      </c>
      <c r="V68" t="str">
        <f t="shared" si="13"/>
        <v>Large</v>
      </c>
      <c r="W68" t="str">
        <f>IF(S68 &lt; VLOOKUP(E68, Locality_Tier_Benchmarks!A:B, 2, FALSE) * 0.7, "Below Tier Range", "Normal")</f>
        <v>Normal</v>
      </c>
      <c r="X68" t="str">
        <f t="shared" si="14"/>
        <v>Normal</v>
      </c>
      <c r="Y68" t="str">
        <f t="shared" si="15"/>
        <v>Normal</v>
      </c>
      <c r="Z68" t="str">
        <f t="shared" si="8"/>
        <v>Pass</v>
      </c>
    </row>
    <row r="69" spans="1:26" x14ac:dyDescent="0.25">
      <c r="A69" s="2" t="s">
        <v>252</v>
      </c>
      <c r="B69" s="2" t="s">
        <v>17</v>
      </c>
      <c r="C69" s="2" t="s">
        <v>74</v>
      </c>
      <c r="D69" s="2" t="str">
        <f>VLOOKUP(C69,Locality_Reference!A:C,2,)</f>
        <v>Western Line</v>
      </c>
      <c r="E69" s="2" t="str">
        <f>VLOOKUP(C69,Locality_Reference!A:C,3,)</f>
        <v>Mid Suburb</v>
      </c>
      <c r="F69" s="2" t="s">
        <v>86</v>
      </c>
      <c r="G69" s="8">
        <v>55000</v>
      </c>
      <c r="H69">
        <v>3</v>
      </c>
      <c r="I69">
        <v>3</v>
      </c>
      <c r="J69">
        <v>21</v>
      </c>
      <c r="K69">
        <v>33</v>
      </c>
      <c r="L69">
        <v>878</v>
      </c>
      <c r="M69" s="2" t="s">
        <v>33</v>
      </c>
      <c r="N69" t="s">
        <v>15</v>
      </c>
      <c r="O69" s="2" t="s">
        <v>16</v>
      </c>
      <c r="P69" t="s">
        <v>34</v>
      </c>
      <c r="Q69" t="str">
        <f t="shared" si="9"/>
        <v/>
      </c>
      <c r="R69" s="5">
        <v>46180</v>
      </c>
      <c r="S69" s="8">
        <f t="shared" si="10"/>
        <v>62.642369020501135</v>
      </c>
      <c r="T69">
        <f t="shared" si="11"/>
        <v>660000</v>
      </c>
      <c r="U69" t="str">
        <f t="shared" si="12"/>
        <v>Mid</v>
      </c>
      <c r="V69" t="str">
        <f t="shared" si="13"/>
        <v>Large</v>
      </c>
      <c r="W69" t="str">
        <f>IF(S69 &lt; VLOOKUP(E69, Locality_Tier_Benchmarks!A:B, 2, FALSE) * 0.7, "Below Tier Range", "Normal")</f>
        <v>Normal</v>
      </c>
      <c r="X69" t="str">
        <f t="shared" si="14"/>
        <v>Normal</v>
      </c>
      <c r="Y69" t="str">
        <f t="shared" si="15"/>
        <v>Normal</v>
      </c>
      <c r="Z69" t="str">
        <f t="shared" si="8"/>
        <v>Pass</v>
      </c>
    </row>
    <row r="70" spans="1:26" x14ac:dyDescent="0.25">
      <c r="A70" s="2" t="s">
        <v>253</v>
      </c>
      <c r="B70" s="2" t="s">
        <v>17</v>
      </c>
      <c r="C70" s="2" t="s">
        <v>74</v>
      </c>
      <c r="D70" s="2" t="str">
        <f>VLOOKUP(C70,Locality_Reference!A:C,2,)</f>
        <v>Western Line</v>
      </c>
      <c r="E70" s="2" t="str">
        <f>VLOOKUP(C70,Locality_Reference!A:C,3,)</f>
        <v>Mid Suburb</v>
      </c>
      <c r="F70" s="2" t="s">
        <v>96</v>
      </c>
      <c r="G70" s="8">
        <v>40000</v>
      </c>
      <c r="H70">
        <v>3</v>
      </c>
      <c r="I70">
        <v>3</v>
      </c>
      <c r="J70">
        <v>6</v>
      </c>
      <c r="K70">
        <v>1</v>
      </c>
      <c r="L70">
        <v>950</v>
      </c>
      <c r="M70" s="2" t="s">
        <v>36</v>
      </c>
      <c r="N70" t="s">
        <v>15</v>
      </c>
      <c r="O70" s="2" t="s">
        <v>16</v>
      </c>
      <c r="P70" t="s">
        <v>34</v>
      </c>
      <c r="Q70" t="str">
        <f t="shared" si="9"/>
        <v/>
      </c>
      <c r="R70" s="5">
        <v>46185</v>
      </c>
      <c r="S70" s="8">
        <f t="shared" si="10"/>
        <v>42.10526315789474</v>
      </c>
      <c r="T70">
        <f t="shared" si="11"/>
        <v>480000</v>
      </c>
      <c r="U70" t="str">
        <f t="shared" si="12"/>
        <v>Mid</v>
      </c>
      <c r="V70" t="str">
        <f t="shared" si="13"/>
        <v>Large</v>
      </c>
      <c r="W70" t="str">
        <f>IF(S70 &lt; VLOOKUP(E70, Locality_Tier_Benchmarks!A:B, 2, FALSE) * 0.7, "Below Tier Range", "Normal")</f>
        <v>Normal</v>
      </c>
      <c r="X70" t="str">
        <f t="shared" si="14"/>
        <v>Normal</v>
      </c>
      <c r="Y70" t="str">
        <f t="shared" si="15"/>
        <v>Normal</v>
      </c>
      <c r="Z70" t="str">
        <f t="shared" si="8"/>
        <v>Pass</v>
      </c>
    </row>
    <row r="71" spans="1:26" x14ac:dyDescent="0.25">
      <c r="A71" s="2" t="s">
        <v>254</v>
      </c>
      <c r="B71" s="2" t="s">
        <v>17</v>
      </c>
      <c r="C71" s="2" t="s">
        <v>74</v>
      </c>
      <c r="D71" s="2" t="str">
        <f>VLOOKUP(C71,Locality_Reference!A:C,2,)</f>
        <v>Western Line</v>
      </c>
      <c r="E71" s="2" t="str">
        <f>VLOOKUP(C71,Locality_Reference!A:C,3,)</f>
        <v>Mid Suburb</v>
      </c>
      <c r="F71" s="2" t="s">
        <v>93</v>
      </c>
      <c r="G71" s="8">
        <v>60000</v>
      </c>
      <c r="H71">
        <v>3</v>
      </c>
      <c r="I71">
        <v>3</v>
      </c>
      <c r="J71">
        <v>3</v>
      </c>
      <c r="K71">
        <v>27</v>
      </c>
      <c r="L71">
        <v>1092</v>
      </c>
      <c r="M71" s="2" t="s">
        <v>33</v>
      </c>
      <c r="N71" t="s">
        <v>15</v>
      </c>
      <c r="O71" s="2" t="s">
        <v>16</v>
      </c>
      <c r="P71" t="s">
        <v>47</v>
      </c>
      <c r="Q71" t="str">
        <f t="shared" si="9"/>
        <v>1</v>
      </c>
      <c r="R71" s="5">
        <v>46193</v>
      </c>
      <c r="S71" s="8">
        <f t="shared" si="10"/>
        <v>54.945054945054942</v>
      </c>
      <c r="T71">
        <f t="shared" si="11"/>
        <v>720000</v>
      </c>
      <c r="U71" t="str">
        <f t="shared" si="12"/>
        <v>Mid</v>
      </c>
      <c r="V71" t="str">
        <f t="shared" si="13"/>
        <v>Large</v>
      </c>
      <c r="W71" t="str">
        <f>IF(S71 &lt; VLOOKUP(E71, Locality_Tier_Benchmarks!A:B, 2, FALSE) * 0.7, "Below Tier Range", "Normal")</f>
        <v>Normal</v>
      </c>
      <c r="X71" t="str">
        <f t="shared" si="14"/>
        <v>Normal</v>
      </c>
      <c r="Y71" t="str">
        <f t="shared" si="15"/>
        <v>Normal</v>
      </c>
      <c r="Z71" t="str">
        <f t="shared" si="8"/>
        <v>Pass</v>
      </c>
    </row>
    <row r="72" spans="1:26" x14ac:dyDescent="0.25">
      <c r="A72" s="2" t="s">
        <v>255</v>
      </c>
      <c r="B72" s="2" t="s">
        <v>17</v>
      </c>
      <c r="C72" s="2" t="s">
        <v>74</v>
      </c>
      <c r="D72" s="2" t="str">
        <f>VLOOKUP(C72,Locality_Reference!A:C,2,)</f>
        <v>Western Line</v>
      </c>
      <c r="E72" s="2" t="str">
        <f>VLOOKUP(C72,Locality_Reference!A:C,3,)</f>
        <v>Mid Suburb</v>
      </c>
      <c r="F72" s="2" t="s">
        <v>97</v>
      </c>
      <c r="G72" s="8">
        <v>52000</v>
      </c>
      <c r="H72">
        <v>3</v>
      </c>
      <c r="I72">
        <v>3</v>
      </c>
      <c r="J72">
        <v>6</v>
      </c>
      <c r="K72">
        <v>14</v>
      </c>
      <c r="L72">
        <v>855</v>
      </c>
      <c r="M72" s="2" t="s">
        <v>14</v>
      </c>
      <c r="N72" t="s">
        <v>15</v>
      </c>
      <c r="O72" s="2" t="s">
        <v>16</v>
      </c>
      <c r="P72" t="s">
        <v>52</v>
      </c>
      <c r="Q72" t="str">
        <f t="shared" si="9"/>
        <v>7.5</v>
      </c>
      <c r="R72" s="5">
        <v>46195</v>
      </c>
      <c r="S72" s="8">
        <f t="shared" si="10"/>
        <v>60.8187134502924</v>
      </c>
      <c r="T72">
        <f t="shared" si="11"/>
        <v>624000</v>
      </c>
      <c r="U72" t="str">
        <f t="shared" si="12"/>
        <v>Mid</v>
      </c>
      <c r="V72" t="str">
        <f t="shared" si="13"/>
        <v>Large</v>
      </c>
      <c r="W72" t="str">
        <f>IF(S72 &lt; VLOOKUP(E72, Locality_Tier_Benchmarks!A:B, 2, FALSE) * 0.7, "Below Tier Range", "Normal")</f>
        <v>Normal</v>
      </c>
      <c r="X72" t="str">
        <f t="shared" si="14"/>
        <v>Normal</v>
      </c>
      <c r="Y72" t="str">
        <f t="shared" si="15"/>
        <v>Normal</v>
      </c>
      <c r="Z72" t="str">
        <f t="shared" si="8"/>
        <v>Pass</v>
      </c>
    </row>
    <row r="73" spans="1:26" x14ac:dyDescent="0.25">
      <c r="A73" s="2" t="s">
        <v>256</v>
      </c>
      <c r="B73" s="2" t="s">
        <v>17</v>
      </c>
      <c r="C73" s="2" t="s">
        <v>74</v>
      </c>
      <c r="D73" s="2" t="str">
        <f>VLOOKUP(C73,Locality_Reference!A:C,2,)</f>
        <v>Western Line</v>
      </c>
      <c r="E73" s="2" t="str">
        <f>VLOOKUP(C73,Locality_Reference!A:C,3,)</f>
        <v>Mid Suburb</v>
      </c>
      <c r="F73" s="2" t="s">
        <v>98</v>
      </c>
      <c r="G73" s="8">
        <v>23000</v>
      </c>
      <c r="H73">
        <v>3</v>
      </c>
      <c r="I73">
        <v>2</v>
      </c>
      <c r="J73">
        <v>4</v>
      </c>
      <c r="K73">
        <v>4</v>
      </c>
      <c r="L73">
        <v>685</v>
      </c>
      <c r="M73" s="2" t="s">
        <v>33</v>
      </c>
      <c r="N73" t="s">
        <v>15</v>
      </c>
      <c r="O73" s="2" t="s">
        <v>16</v>
      </c>
      <c r="P73" t="s">
        <v>23</v>
      </c>
      <c r="Q73" t="str">
        <f t="shared" si="9"/>
        <v>10</v>
      </c>
      <c r="R73" s="5">
        <v>46191</v>
      </c>
      <c r="S73" s="8">
        <f t="shared" si="10"/>
        <v>33.576642335766422</v>
      </c>
      <c r="T73">
        <f t="shared" si="11"/>
        <v>276000</v>
      </c>
      <c r="U73" t="str">
        <f t="shared" si="12"/>
        <v>Budget</v>
      </c>
      <c r="V73" t="str">
        <f t="shared" si="13"/>
        <v>Medium</v>
      </c>
      <c r="W73" t="str">
        <f>IF(S73 &lt; VLOOKUP(E73, Locality_Tier_Benchmarks!A:B, 2, FALSE) * 0.7, "Below Tier Range", "Normal")</f>
        <v>Below Tier Range</v>
      </c>
      <c r="X73" t="str">
        <f t="shared" si="14"/>
        <v>Normal</v>
      </c>
      <c r="Y73" t="str">
        <f t="shared" si="15"/>
        <v>Normal</v>
      </c>
      <c r="Z73" t="str">
        <f t="shared" si="8"/>
        <v>Review</v>
      </c>
    </row>
    <row r="74" spans="1:26" x14ac:dyDescent="0.25">
      <c r="A74" s="2" t="s">
        <v>257</v>
      </c>
      <c r="B74" s="2" t="s">
        <v>17</v>
      </c>
      <c r="C74" s="2" t="s">
        <v>74</v>
      </c>
      <c r="D74" s="2" t="str">
        <f>VLOOKUP(C74,Locality_Reference!A:C,2,)</f>
        <v>Western Line</v>
      </c>
      <c r="E74" s="2" t="str">
        <f>VLOOKUP(C74,Locality_Reference!A:C,3,)</f>
        <v>Mid Suburb</v>
      </c>
      <c r="F74" s="2" t="s">
        <v>99</v>
      </c>
      <c r="G74" s="8">
        <v>45000</v>
      </c>
      <c r="H74">
        <v>3</v>
      </c>
      <c r="I74">
        <v>2</v>
      </c>
      <c r="J74">
        <v>1</v>
      </c>
      <c r="K74">
        <v>7</v>
      </c>
      <c r="L74">
        <v>1150</v>
      </c>
      <c r="M74" s="2" t="s">
        <v>36</v>
      </c>
      <c r="N74" t="s">
        <v>15</v>
      </c>
      <c r="O74" s="2" t="s">
        <v>16</v>
      </c>
      <c r="P74" t="s">
        <v>34</v>
      </c>
      <c r="Q74" t="str">
        <f t="shared" si="9"/>
        <v/>
      </c>
      <c r="R74" s="5">
        <v>46184</v>
      </c>
      <c r="S74" s="8">
        <f t="shared" si="10"/>
        <v>39.130434782608695</v>
      </c>
      <c r="T74">
        <f t="shared" si="11"/>
        <v>540000</v>
      </c>
      <c r="U74" t="str">
        <f t="shared" si="12"/>
        <v>Mid</v>
      </c>
      <c r="V74" t="str">
        <f t="shared" si="13"/>
        <v>Large</v>
      </c>
      <c r="W74" t="str">
        <f>IF(S74 &lt; VLOOKUP(E74, Locality_Tier_Benchmarks!A:B, 2, FALSE) * 0.7, "Below Tier Range", "Normal")</f>
        <v>Normal</v>
      </c>
      <c r="X74" t="str">
        <f t="shared" si="14"/>
        <v>Normal</v>
      </c>
      <c r="Y74" t="str">
        <f t="shared" si="15"/>
        <v>Normal</v>
      </c>
      <c r="Z74" t="str">
        <f t="shared" si="8"/>
        <v>Pass</v>
      </c>
    </row>
    <row r="75" spans="1:26" x14ac:dyDescent="0.25">
      <c r="A75" s="2" t="s">
        <v>258</v>
      </c>
      <c r="B75" s="2" t="s">
        <v>17</v>
      </c>
      <c r="C75" s="2" t="s">
        <v>74</v>
      </c>
      <c r="D75" s="2" t="str">
        <f>VLOOKUP(C75,Locality_Reference!A:C,2,)</f>
        <v>Western Line</v>
      </c>
      <c r="E75" s="2" t="str">
        <f>VLOOKUP(C75,Locality_Reference!A:C,3,)</f>
        <v>Mid Suburb</v>
      </c>
      <c r="F75" s="2" t="s">
        <v>100</v>
      </c>
      <c r="G75" s="8">
        <v>45000</v>
      </c>
      <c r="H75">
        <v>3</v>
      </c>
      <c r="I75">
        <v>2</v>
      </c>
      <c r="J75">
        <v>18</v>
      </c>
      <c r="K75">
        <v>22</v>
      </c>
      <c r="L75">
        <v>800</v>
      </c>
      <c r="M75" s="2" t="s">
        <v>14</v>
      </c>
      <c r="N75" t="s">
        <v>15</v>
      </c>
      <c r="O75" s="2" t="s">
        <v>16</v>
      </c>
      <c r="P75" t="s">
        <v>31</v>
      </c>
      <c r="Q75" t="str">
        <f t="shared" si="9"/>
        <v>3</v>
      </c>
      <c r="R75" s="5">
        <v>46185</v>
      </c>
      <c r="S75" s="8">
        <f t="shared" si="10"/>
        <v>56.25</v>
      </c>
      <c r="T75">
        <f t="shared" si="11"/>
        <v>540000</v>
      </c>
      <c r="U75" t="str">
        <f t="shared" si="12"/>
        <v>Mid</v>
      </c>
      <c r="V75" t="str">
        <f t="shared" si="13"/>
        <v>Medium</v>
      </c>
      <c r="W75" t="str">
        <f>IF(S75 &lt; VLOOKUP(E75, Locality_Tier_Benchmarks!A:B, 2, FALSE) * 0.7, "Below Tier Range", "Normal")</f>
        <v>Normal</v>
      </c>
      <c r="X75" t="str">
        <f t="shared" si="14"/>
        <v>Normal</v>
      </c>
      <c r="Y75" t="str">
        <f t="shared" si="15"/>
        <v>Normal</v>
      </c>
      <c r="Z75" t="str">
        <f t="shared" si="8"/>
        <v>Pass</v>
      </c>
    </row>
    <row r="76" spans="1:26" x14ac:dyDescent="0.25">
      <c r="A76" s="2" t="s">
        <v>259</v>
      </c>
      <c r="B76" s="2" t="s">
        <v>17</v>
      </c>
      <c r="C76" s="2" t="s">
        <v>74</v>
      </c>
      <c r="D76" s="2" t="str">
        <f>VLOOKUP(C76,Locality_Reference!A:C,2,)</f>
        <v>Western Line</v>
      </c>
      <c r="E76" s="2" t="str">
        <f>VLOOKUP(C76,Locality_Reference!A:C,3,)</f>
        <v>Mid Suburb</v>
      </c>
      <c r="F76" s="2" t="s">
        <v>101</v>
      </c>
      <c r="G76" s="8">
        <v>45000</v>
      </c>
      <c r="H76">
        <v>3</v>
      </c>
      <c r="I76">
        <v>3</v>
      </c>
      <c r="J76">
        <v>7</v>
      </c>
      <c r="K76">
        <v>15</v>
      </c>
      <c r="L76">
        <v>975</v>
      </c>
      <c r="M76" s="2" t="s">
        <v>33</v>
      </c>
      <c r="N76" t="s">
        <v>15</v>
      </c>
      <c r="O76" s="2" t="s">
        <v>16</v>
      </c>
      <c r="P76" t="s">
        <v>47</v>
      </c>
      <c r="Q76" t="str">
        <f t="shared" si="9"/>
        <v>1</v>
      </c>
      <c r="R76" s="5">
        <v>46180</v>
      </c>
      <c r="S76" s="8">
        <f t="shared" si="10"/>
        <v>46.153846153846153</v>
      </c>
      <c r="T76">
        <f t="shared" si="11"/>
        <v>540000</v>
      </c>
      <c r="U76" t="str">
        <f t="shared" si="12"/>
        <v>Mid</v>
      </c>
      <c r="V76" t="str">
        <f t="shared" si="13"/>
        <v>Large</v>
      </c>
      <c r="W76" t="str">
        <f>IF(S76 &lt; VLOOKUP(E76, Locality_Tier_Benchmarks!A:B, 2, FALSE) * 0.7, "Below Tier Range", "Normal")</f>
        <v>Normal</v>
      </c>
      <c r="X76" t="str">
        <f t="shared" si="14"/>
        <v>Normal</v>
      </c>
      <c r="Y76" t="str">
        <f t="shared" si="15"/>
        <v>Normal</v>
      </c>
      <c r="Z76" t="str">
        <f t="shared" si="8"/>
        <v>Pass</v>
      </c>
    </row>
    <row r="77" spans="1:26" x14ac:dyDescent="0.25">
      <c r="A77" s="2" t="s">
        <v>260</v>
      </c>
      <c r="B77" s="2" t="s">
        <v>17</v>
      </c>
      <c r="C77" s="2" t="s">
        <v>102</v>
      </c>
      <c r="D77" s="2" t="str">
        <f>VLOOKUP(C77,Locality_Reference!A:C,2,)</f>
        <v>Western Line</v>
      </c>
      <c r="E77" s="2" t="str">
        <f>VLOOKUP(C77,Locality_Reference!A:C,3,)</f>
        <v>Far Suburb</v>
      </c>
      <c r="F77" s="2" t="s">
        <v>104</v>
      </c>
      <c r="G77" s="8">
        <v>24000</v>
      </c>
      <c r="H77">
        <v>1</v>
      </c>
      <c r="I77">
        <v>2</v>
      </c>
      <c r="J77">
        <v>5</v>
      </c>
      <c r="K77">
        <v>14</v>
      </c>
      <c r="L77">
        <v>680</v>
      </c>
      <c r="M77" s="2" t="s">
        <v>36</v>
      </c>
      <c r="N77" t="s">
        <v>15</v>
      </c>
      <c r="O77" s="2" t="s">
        <v>16</v>
      </c>
      <c r="P77" t="s">
        <v>34</v>
      </c>
      <c r="Q77" t="str">
        <f t="shared" si="9"/>
        <v/>
      </c>
      <c r="R77" s="5">
        <v>46197</v>
      </c>
      <c r="S77" s="8">
        <f t="shared" si="10"/>
        <v>35.294117647058826</v>
      </c>
      <c r="T77">
        <f t="shared" si="11"/>
        <v>288000</v>
      </c>
      <c r="U77" t="str">
        <f t="shared" si="12"/>
        <v>Budget</v>
      </c>
      <c r="V77" t="str">
        <f t="shared" si="13"/>
        <v>Medium</v>
      </c>
      <c r="W77" t="str">
        <f>IF(S77 &lt; VLOOKUP(E77, Locality_Tier_Benchmarks!A:B, 2, FALSE) * 0.7, "Below Tier Range", "Normal")</f>
        <v>Normal</v>
      </c>
      <c r="X77" t="str">
        <f t="shared" si="14"/>
        <v>Normal</v>
      </c>
      <c r="Y77" t="str">
        <f t="shared" si="15"/>
        <v>Normal</v>
      </c>
      <c r="Z77" t="str">
        <f t="shared" si="8"/>
        <v>Pass</v>
      </c>
    </row>
    <row r="78" spans="1:26" x14ac:dyDescent="0.25">
      <c r="A78" s="2" t="s">
        <v>261</v>
      </c>
      <c r="B78" s="2" t="s">
        <v>17</v>
      </c>
      <c r="C78" s="2" t="s">
        <v>102</v>
      </c>
      <c r="D78" s="2" t="str">
        <f>VLOOKUP(C78,Locality_Reference!A:C,2,)</f>
        <v>Western Line</v>
      </c>
      <c r="E78" s="2" t="str">
        <f>VLOOKUP(C78,Locality_Reference!A:C,3,)</f>
        <v>Far Suburb</v>
      </c>
      <c r="F78" s="2" t="s">
        <v>105</v>
      </c>
      <c r="G78" s="8">
        <v>20000</v>
      </c>
      <c r="H78">
        <v>1</v>
      </c>
      <c r="I78">
        <v>1</v>
      </c>
      <c r="J78">
        <v>4</v>
      </c>
      <c r="K78">
        <v>20</v>
      </c>
      <c r="L78">
        <v>300</v>
      </c>
      <c r="M78" s="2" t="s">
        <v>36</v>
      </c>
      <c r="N78" t="s">
        <v>15</v>
      </c>
      <c r="O78" s="2" t="s">
        <v>16</v>
      </c>
      <c r="P78" t="s">
        <v>34</v>
      </c>
      <c r="Q78" t="str">
        <f t="shared" si="9"/>
        <v/>
      </c>
      <c r="R78" s="5">
        <v>46183</v>
      </c>
      <c r="S78" s="8">
        <f t="shared" si="10"/>
        <v>66.666666666666671</v>
      </c>
      <c r="T78">
        <f t="shared" si="11"/>
        <v>240000</v>
      </c>
      <c r="U78" t="str">
        <f t="shared" si="12"/>
        <v>Budget</v>
      </c>
      <c r="V78" t="str">
        <f t="shared" si="13"/>
        <v>Compact</v>
      </c>
      <c r="W78" t="str">
        <f>IF(S78 &lt; VLOOKUP(E78, Locality_Tier_Benchmarks!A:B, 2, FALSE) * 0.7, "Below Tier Range", "Normal")</f>
        <v>Normal</v>
      </c>
      <c r="X78" t="str">
        <f t="shared" si="14"/>
        <v>Normal</v>
      </c>
      <c r="Y78" t="str">
        <f t="shared" si="15"/>
        <v>Normal</v>
      </c>
      <c r="Z78" t="str">
        <f t="shared" si="8"/>
        <v>Pass</v>
      </c>
    </row>
    <row r="79" spans="1:26" x14ac:dyDescent="0.25">
      <c r="A79" s="2" t="s">
        <v>262</v>
      </c>
      <c r="B79" s="2" t="s">
        <v>17</v>
      </c>
      <c r="C79" s="2" t="s">
        <v>102</v>
      </c>
      <c r="D79" s="2" t="str">
        <f>VLOOKUP(C79,Locality_Reference!A:C,2,)</f>
        <v>Western Line</v>
      </c>
      <c r="E79" s="2" t="str">
        <f>VLOOKUP(C79,Locality_Reference!A:C,3,)</f>
        <v>Far Suburb</v>
      </c>
      <c r="F79" s="2" t="s">
        <v>106</v>
      </c>
      <c r="G79" s="8">
        <v>18500</v>
      </c>
      <c r="H79">
        <v>1</v>
      </c>
      <c r="I79">
        <v>2</v>
      </c>
      <c r="J79">
        <v>2</v>
      </c>
      <c r="K79">
        <v>7</v>
      </c>
      <c r="L79">
        <v>365</v>
      </c>
      <c r="M79" s="2" t="s">
        <v>33</v>
      </c>
      <c r="N79" t="s">
        <v>15</v>
      </c>
      <c r="O79" s="2" t="s">
        <v>16</v>
      </c>
      <c r="P79" t="s">
        <v>52</v>
      </c>
      <c r="Q79" t="str">
        <f t="shared" si="9"/>
        <v>7.5</v>
      </c>
      <c r="R79" s="5">
        <v>46189</v>
      </c>
      <c r="S79" s="8">
        <f t="shared" si="10"/>
        <v>50.684931506849317</v>
      </c>
      <c r="T79">
        <f t="shared" si="11"/>
        <v>222000</v>
      </c>
      <c r="U79" t="str">
        <f t="shared" si="12"/>
        <v>Budget</v>
      </c>
      <c r="V79" t="str">
        <f t="shared" si="13"/>
        <v>Compact</v>
      </c>
      <c r="W79" t="str">
        <f>IF(S79 &lt; VLOOKUP(E79, Locality_Tier_Benchmarks!A:B, 2, FALSE) * 0.7, "Below Tier Range", "Normal")</f>
        <v>Normal</v>
      </c>
      <c r="X79" t="str">
        <f t="shared" si="14"/>
        <v>Normal</v>
      </c>
      <c r="Y79" t="str">
        <f t="shared" si="15"/>
        <v>Normal</v>
      </c>
      <c r="Z79" t="str">
        <f t="shared" si="8"/>
        <v>Pass</v>
      </c>
    </row>
    <row r="80" spans="1:26" x14ac:dyDescent="0.25">
      <c r="A80" s="2" t="s">
        <v>263</v>
      </c>
      <c r="B80" s="2" t="s">
        <v>17</v>
      </c>
      <c r="C80" s="2" t="s">
        <v>102</v>
      </c>
      <c r="D80" s="2" t="str">
        <f>VLOOKUP(C80,Locality_Reference!A:C,2,)</f>
        <v>Western Line</v>
      </c>
      <c r="E80" s="2" t="str">
        <f>VLOOKUP(C80,Locality_Reference!A:C,3,)</f>
        <v>Far Suburb</v>
      </c>
      <c r="F80" s="2" t="s">
        <v>107</v>
      </c>
      <c r="G80" s="8">
        <v>24000</v>
      </c>
      <c r="H80">
        <v>1</v>
      </c>
      <c r="I80">
        <v>2</v>
      </c>
      <c r="J80">
        <v>5</v>
      </c>
      <c r="K80">
        <v>16</v>
      </c>
      <c r="L80">
        <v>401.39</v>
      </c>
      <c r="M80" s="2" t="s">
        <v>36</v>
      </c>
      <c r="N80" t="s">
        <v>15</v>
      </c>
      <c r="O80" s="2" t="s">
        <v>16</v>
      </c>
      <c r="P80" t="s">
        <v>34</v>
      </c>
      <c r="Q80" t="str">
        <f t="shared" si="9"/>
        <v/>
      </c>
      <c r="R80" s="5">
        <v>46197</v>
      </c>
      <c r="S80" s="8">
        <f t="shared" si="10"/>
        <v>59.792222028451135</v>
      </c>
      <c r="T80">
        <f t="shared" si="11"/>
        <v>288000</v>
      </c>
      <c r="U80" t="str">
        <f t="shared" si="12"/>
        <v>Budget</v>
      </c>
      <c r="V80" t="str">
        <f t="shared" si="13"/>
        <v>Compact</v>
      </c>
      <c r="W80" t="str">
        <f>IF(S80 &lt; VLOOKUP(E80, Locality_Tier_Benchmarks!A:B, 2, FALSE) * 0.7, "Below Tier Range", "Normal")</f>
        <v>Normal</v>
      </c>
      <c r="X80" t="str">
        <f t="shared" si="14"/>
        <v>Normal</v>
      </c>
      <c r="Y80" t="str">
        <f t="shared" si="15"/>
        <v>Normal</v>
      </c>
      <c r="Z80" t="str">
        <f t="shared" si="8"/>
        <v>Pass</v>
      </c>
    </row>
    <row r="81" spans="1:26" x14ac:dyDescent="0.25">
      <c r="A81" s="2" t="s">
        <v>264</v>
      </c>
      <c r="B81" s="2" t="s">
        <v>17</v>
      </c>
      <c r="C81" s="2" t="s">
        <v>102</v>
      </c>
      <c r="D81" s="2" t="str">
        <f>VLOOKUP(C81,Locality_Reference!A:C,2,)</f>
        <v>Western Line</v>
      </c>
      <c r="E81" s="2" t="str">
        <f>VLOOKUP(C81,Locality_Reference!A:C,3,)</f>
        <v>Far Suburb</v>
      </c>
      <c r="F81" s="2" t="s">
        <v>108</v>
      </c>
      <c r="G81" s="8">
        <v>21000</v>
      </c>
      <c r="H81">
        <v>1</v>
      </c>
      <c r="I81">
        <v>2</v>
      </c>
      <c r="J81">
        <v>4</v>
      </c>
      <c r="K81">
        <v>6</v>
      </c>
      <c r="L81">
        <v>410</v>
      </c>
      <c r="M81" s="2" t="s">
        <v>36</v>
      </c>
      <c r="N81" t="s">
        <v>15</v>
      </c>
      <c r="O81" s="2" t="s">
        <v>16</v>
      </c>
      <c r="P81" t="s">
        <v>34</v>
      </c>
      <c r="Q81" t="str">
        <f t="shared" si="9"/>
        <v/>
      </c>
      <c r="R81" s="5">
        <v>46182</v>
      </c>
      <c r="S81" s="8">
        <f t="shared" si="10"/>
        <v>51.219512195121951</v>
      </c>
      <c r="T81">
        <f t="shared" si="11"/>
        <v>252000</v>
      </c>
      <c r="U81" t="str">
        <f t="shared" si="12"/>
        <v>Budget</v>
      </c>
      <c r="V81" t="str">
        <f t="shared" si="13"/>
        <v>Compact</v>
      </c>
      <c r="W81" t="str">
        <f>IF(S81 &lt; VLOOKUP(E81, Locality_Tier_Benchmarks!A:B, 2, FALSE) * 0.7, "Below Tier Range", "Normal")</f>
        <v>Normal</v>
      </c>
      <c r="X81" t="str">
        <f t="shared" si="14"/>
        <v>Normal</v>
      </c>
      <c r="Y81" t="str">
        <f t="shared" si="15"/>
        <v>Normal</v>
      </c>
      <c r="Z81" t="str">
        <f t="shared" si="8"/>
        <v>Pass</v>
      </c>
    </row>
    <row r="82" spans="1:26" x14ac:dyDescent="0.25">
      <c r="A82" s="2" t="s">
        <v>265</v>
      </c>
      <c r="B82" s="2" t="s">
        <v>17</v>
      </c>
      <c r="C82" s="2" t="s">
        <v>102</v>
      </c>
      <c r="D82" s="2" t="str">
        <f>VLOOKUP(C82,Locality_Reference!A:C,2,)</f>
        <v>Western Line</v>
      </c>
      <c r="E82" s="2" t="str">
        <f>VLOOKUP(C82,Locality_Reference!A:C,3,)</f>
        <v>Far Suburb</v>
      </c>
      <c r="F82" s="2" t="s">
        <v>113</v>
      </c>
      <c r="G82" s="8">
        <v>15000</v>
      </c>
      <c r="H82">
        <v>1</v>
      </c>
      <c r="I82">
        <v>2</v>
      </c>
      <c r="J82">
        <v>0</v>
      </c>
      <c r="K82">
        <v>3</v>
      </c>
      <c r="L82">
        <v>460</v>
      </c>
      <c r="M82" s="2" t="s">
        <v>33</v>
      </c>
      <c r="N82" t="s">
        <v>15</v>
      </c>
      <c r="O82" s="2" t="s">
        <v>16</v>
      </c>
      <c r="P82" t="s">
        <v>23</v>
      </c>
      <c r="Q82" t="str">
        <f t="shared" si="9"/>
        <v>10</v>
      </c>
      <c r="R82" s="5">
        <v>46185</v>
      </c>
      <c r="S82" s="8">
        <f t="shared" si="10"/>
        <v>32.608695652173914</v>
      </c>
      <c r="T82">
        <f t="shared" si="11"/>
        <v>180000</v>
      </c>
      <c r="U82" t="str">
        <f t="shared" si="12"/>
        <v>Budget</v>
      </c>
      <c r="V82" t="str">
        <f t="shared" si="13"/>
        <v>Compact</v>
      </c>
      <c r="W82" t="str">
        <f>IF(S82 &lt; VLOOKUP(E82, Locality_Tier_Benchmarks!A:B, 2, FALSE) * 0.7, "Below Tier Range", "Normal")</f>
        <v>Normal</v>
      </c>
      <c r="X82" t="str">
        <f t="shared" si="14"/>
        <v>Normal</v>
      </c>
      <c r="Y82" t="str">
        <f t="shared" si="15"/>
        <v>Normal</v>
      </c>
      <c r="Z82" t="str">
        <f t="shared" si="8"/>
        <v>Pass</v>
      </c>
    </row>
    <row r="83" spans="1:26" x14ac:dyDescent="0.25">
      <c r="A83" s="2" t="s">
        <v>266</v>
      </c>
      <c r="B83" s="2" t="s">
        <v>17</v>
      </c>
      <c r="C83" s="2" t="s">
        <v>102</v>
      </c>
      <c r="D83" s="2" t="str">
        <f>VLOOKUP(C83,Locality_Reference!A:C,2,)</f>
        <v>Western Line</v>
      </c>
      <c r="E83" s="2" t="str">
        <f>VLOOKUP(C83,Locality_Reference!A:C,3,)</f>
        <v>Far Suburb</v>
      </c>
      <c r="F83" s="2" t="s">
        <v>114</v>
      </c>
      <c r="G83" s="8">
        <v>19000</v>
      </c>
      <c r="H83">
        <v>1</v>
      </c>
      <c r="I83">
        <v>2</v>
      </c>
      <c r="J83">
        <v>2</v>
      </c>
      <c r="K83">
        <v>7</v>
      </c>
      <c r="L83">
        <v>450</v>
      </c>
      <c r="M83" s="2" t="s">
        <v>36</v>
      </c>
      <c r="N83" t="s">
        <v>15</v>
      </c>
      <c r="O83" s="2" t="s">
        <v>16</v>
      </c>
      <c r="P83" t="s">
        <v>23</v>
      </c>
      <c r="Q83" t="str">
        <f t="shared" si="9"/>
        <v>10</v>
      </c>
      <c r="R83" s="5">
        <v>46185</v>
      </c>
      <c r="S83" s="8">
        <f t="shared" si="10"/>
        <v>42.222222222222221</v>
      </c>
      <c r="T83">
        <f t="shared" si="11"/>
        <v>228000</v>
      </c>
      <c r="U83" t="str">
        <f t="shared" si="12"/>
        <v>Budget</v>
      </c>
      <c r="V83" t="str">
        <f t="shared" si="13"/>
        <v>Compact</v>
      </c>
      <c r="W83" t="str">
        <f>IF(S83 &lt; VLOOKUP(E83, Locality_Tier_Benchmarks!A:B, 2, FALSE) * 0.7, "Below Tier Range", "Normal")</f>
        <v>Normal</v>
      </c>
      <c r="X83" t="str">
        <f t="shared" si="14"/>
        <v>Normal</v>
      </c>
      <c r="Y83" t="str">
        <f t="shared" si="15"/>
        <v>Normal</v>
      </c>
      <c r="Z83" t="str">
        <f t="shared" si="8"/>
        <v>Pass</v>
      </c>
    </row>
    <row r="84" spans="1:26" x14ac:dyDescent="0.25">
      <c r="A84" s="2" t="s">
        <v>267</v>
      </c>
      <c r="B84" s="2" t="s">
        <v>17</v>
      </c>
      <c r="C84" s="2" t="s">
        <v>102</v>
      </c>
      <c r="D84" s="2" t="str">
        <f>VLOOKUP(C84,Locality_Reference!A:C,2,)</f>
        <v>Western Line</v>
      </c>
      <c r="E84" s="2" t="str">
        <f>VLOOKUP(C84,Locality_Reference!A:C,3,)</f>
        <v>Far Suburb</v>
      </c>
      <c r="F84" s="2" t="s">
        <v>115</v>
      </c>
      <c r="G84" s="8">
        <v>25000</v>
      </c>
      <c r="H84">
        <v>2</v>
      </c>
      <c r="I84">
        <v>2</v>
      </c>
      <c r="J84">
        <v>5</v>
      </c>
      <c r="K84">
        <v>7</v>
      </c>
      <c r="L84">
        <v>625</v>
      </c>
      <c r="M84" s="2" t="s">
        <v>36</v>
      </c>
      <c r="N84" t="s">
        <v>15</v>
      </c>
      <c r="O84" s="2" t="s">
        <v>16</v>
      </c>
      <c r="P84" t="s">
        <v>34</v>
      </c>
      <c r="Q84" t="str">
        <f t="shared" si="9"/>
        <v/>
      </c>
      <c r="R84" s="5">
        <v>46188</v>
      </c>
      <c r="S84" s="8">
        <f t="shared" si="10"/>
        <v>40</v>
      </c>
      <c r="T84">
        <f t="shared" si="11"/>
        <v>300000</v>
      </c>
      <c r="U84" t="str">
        <f t="shared" si="12"/>
        <v>Budget</v>
      </c>
      <c r="V84" t="str">
        <f t="shared" si="13"/>
        <v>Medium</v>
      </c>
      <c r="W84" t="str">
        <f>IF(S84 &lt; VLOOKUP(E84, Locality_Tier_Benchmarks!A:B, 2, FALSE) * 0.7, "Below Tier Range", "Normal")</f>
        <v>Normal</v>
      </c>
      <c r="X84" t="str">
        <f t="shared" si="14"/>
        <v>Normal</v>
      </c>
      <c r="Y84" t="str">
        <f t="shared" si="15"/>
        <v>Normal</v>
      </c>
      <c r="Z84" t="str">
        <f t="shared" si="8"/>
        <v>Pass</v>
      </c>
    </row>
    <row r="85" spans="1:26" x14ac:dyDescent="0.25">
      <c r="A85" s="2" t="s">
        <v>268</v>
      </c>
      <c r="B85" s="2" t="s">
        <v>17</v>
      </c>
      <c r="C85" s="2" t="s">
        <v>102</v>
      </c>
      <c r="D85" s="2" t="str">
        <f>VLOOKUP(C85,Locality_Reference!A:C,2,)</f>
        <v>Western Line</v>
      </c>
      <c r="E85" s="2" t="str">
        <f>VLOOKUP(C85,Locality_Reference!A:C,3,)</f>
        <v>Far Suburb</v>
      </c>
      <c r="F85" s="2" t="s">
        <v>116</v>
      </c>
      <c r="G85" s="8">
        <v>32000</v>
      </c>
      <c r="H85">
        <v>2</v>
      </c>
      <c r="I85">
        <v>2</v>
      </c>
      <c r="J85">
        <v>5</v>
      </c>
      <c r="K85">
        <v>14</v>
      </c>
      <c r="L85">
        <v>680</v>
      </c>
      <c r="M85" s="2" t="s">
        <v>36</v>
      </c>
      <c r="N85" t="s">
        <v>15</v>
      </c>
      <c r="O85" s="2" t="s">
        <v>16</v>
      </c>
      <c r="P85" t="s">
        <v>34</v>
      </c>
      <c r="Q85" t="str">
        <f t="shared" si="9"/>
        <v/>
      </c>
      <c r="R85" s="5">
        <v>46183</v>
      </c>
      <c r="S85" s="8">
        <f t="shared" si="10"/>
        <v>47.058823529411768</v>
      </c>
      <c r="T85">
        <f t="shared" si="11"/>
        <v>384000</v>
      </c>
      <c r="U85" t="str">
        <f t="shared" si="12"/>
        <v>Mid</v>
      </c>
      <c r="V85" t="str">
        <f t="shared" si="13"/>
        <v>Medium</v>
      </c>
      <c r="W85" t="str">
        <f>IF(S85 &lt; VLOOKUP(E85, Locality_Tier_Benchmarks!A:B, 2, FALSE) * 0.7, "Below Tier Range", "Normal")</f>
        <v>Normal</v>
      </c>
      <c r="X85" t="str">
        <f t="shared" si="14"/>
        <v>Normal</v>
      </c>
      <c r="Y85" t="str">
        <f t="shared" si="15"/>
        <v>Normal</v>
      </c>
      <c r="Z85" t="str">
        <f t="shared" si="8"/>
        <v>Pass</v>
      </c>
    </row>
    <row r="86" spans="1:26" x14ac:dyDescent="0.25">
      <c r="A86" s="2" t="s">
        <v>269</v>
      </c>
      <c r="B86" s="2" t="s">
        <v>17</v>
      </c>
      <c r="C86" s="2" t="s">
        <v>102</v>
      </c>
      <c r="D86" s="2" t="str">
        <f>VLOOKUP(C86,Locality_Reference!A:C,2,)</f>
        <v>Western Line</v>
      </c>
      <c r="E86" s="2" t="str">
        <f>VLOOKUP(C86,Locality_Reference!A:C,3,)</f>
        <v>Far Suburb</v>
      </c>
      <c r="F86" s="2" t="s">
        <v>117</v>
      </c>
      <c r="G86" s="8">
        <v>48000</v>
      </c>
      <c r="H86">
        <v>2</v>
      </c>
      <c r="I86">
        <v>2</v>
      </c>
      <c r="J86">
        <v>20</v>
      </c>
      <c r="K86">
        <v>21</v>
      </c>
      <c r="L86">
        <v>775</v>
      </c>
      <c r="M86" s="2" t="s">
        <v>36</v>
      </c>
      <c r="N86" t="s">
        <v>15</v>
      </c>
      <c r="O86" s="2" t="s">
        <v>16</v>
      </c>
      <c r="P86" t="s">
        <v>34</v>
      </c>
      <c r="Q86" t="str">
        <f t="shared" si="9"/>
        <v/>
      </c>
      <c r="R86" s="5">
        <v>46176</v>
      </c>
      <c r="S86" s="8">
        <f t="shared" si="10"/>
        <v>61.935483870967744</v>
      </c>
      <c r="T86">
        <f t="shared" si="11"/>
        <v>576000</v>
      </c>
      <c r="U86" t="str">
        <f t="shared" si="12"/>
        <v>Mid</v>
      </c>
      <c r="V86" t="str">
        <f t="shared" si="13"/>
        <v>Medium</v>
      </c>
      <c r="W86" t="str">
        <f>IF(S86 &lt; VLOOKUP(E86, Locality_Tier_Benchmarks!A:B, 2, FALSE) * 0.7, "Below Tier Range", "Normal")</f>
        <v>Normal</v>
      </c>
      <c r="X86" t="str">
        <f t="shared" si="14"/>
        <v>Normal</v>
      </c>
      <c r="Y86" t="str">
        <f t="shared" si="15"/>
        <v>Normal</v>
      </c>
      <c r="Z86" t="str">
        <f t="shared" si="8"/>
        <v>Pass</v>
      </c>
    </row>
    <row r="87" spans="1:26" x14ac:dyDescent="0.25">
      <c r="A87" s="2" t="s">
        <v>270</v>
      </c>
      <c r="B87" s="2" t="s">
        <v>17</v>
      </c>
      <c r="C87" s="2" t="s">
        <v>102</v>
      </c>
      <c r="D87" s="2" t="str">
        <f>VLOOKUP(C87,Locality_Reference!A:C,2,)</f>
        <v>Western Line</v>
      </c>
      <c r="E87" s="2" t="str">
        <f>VLOOKUP(C87,Locality_Reference!A:C,3,)</f>
        <v>Far Suburb</v>
      </c>
      <c r="F87" s="2" t="s">
        <v>118</v>
      </c>
      <c r="G87" s="8">
        <v>26000</v>
      </c>
      <c r="H87">
        <v>2</v>
      </c>
      <c r="I87">
        <v>2</v>
      </c>
      <c r="J87">
        <v>7</v>
      </c>
      <c r="K87">
        <v>22</v>
      </c>
      <c r="L87">
        <v>650</v>
      </c>
      <c r="M87" s="2" t="s">
        <v>36</v>
      </c>
      <c r="N87" t="s">
        <v>15</v>
      </c>
      <c r="O87" s="2" t="s">
        <v>16</v>
      </c>
      <c r="P87" t="s">
        <v>34</v>
      </c>
      <c r="Q87" t="str">
        <f t="shared" si="9"/>
        <v/>
      </c>
      <c r="R87" s="5">
        <v>46189</v>
      </c>
      <c r="S87" s="8">
        <f t="shared" si="10"/>
        <v>40</v>
      </c>
      <c r="T87">
        <f t="shared" si="11"/>
        <v>312000</v>
      </c>
      <c r="U87" t="str">
        <f t="shared" si="12"/>
        <v>Budget</v>
      </c>
      <c r="V87" t="str">
        <f t="shared" si="13"/>
        <v>Medium</v>
      </c>
      <c r="W87" t="str">
        <f>IF(S87 &lt; VLOOKUP(E87, Locality_Tier_Benchmarks!A:B, 2, FALSE) * 0.7, "Below Tier Range", "Normal")</f>
        <v>Normal</v>
      </c>
      <c r="X87" t="str">
        <f t="shared" si="14"/>
        <v>Normal</v>
      </c>
      <c r="Y87" t="str">
        <f t="shared" si="15"/>
        <v>Normal</v>
      </c>
      <c r="Z87" t="str">
        <f t="shared" si="8"/>
        <v>Pass</v>
      </c>
    </row>
    <row r="88" spans="1:26" x14ac:dyDescent="0.25">
      <c r="A88" s="2" t="s">
        <v>271</v>
      </c>
      <c r="B88" s="2" t="s">
        <v>17</v>
      </c>
      <c r="C88" s="2" t="s">
        <v>102</v>
      </c>
      <c r="D88" s="2" t="str">
        <f>VLOOKUP(C88,Locality_Reference!A:C,2,)</f>
        <v>Western Line</v>
      </c>
      <c r="E88" s="2" t="str">
        <f>VLOOKUP(C88,Locality_Reference!A:C,3,)</f>
        <v>Far Suburb</v>
      </c>
      <c r="F88" s="2" t="s">
        <v>117</v>
      </c>
      <c r="G88" s="8">
        <v>45000</v>
      </c>
      <c r="H88">
        <v>2</v>
      </c>
      <c r="I88">
        <v>2</v>
      </c>
      <c r="J88">
        <v>20</v>
      </c>
      <c r="K88">
        <v>21</v>
      </c>
      <c r="L88">
        <v>775</v>
      </c>
      <c r="M88" s="2" t="s">
        <v>36</v>
      </c>
      <c r="N88" t="s">
        <v>15</v>
      </c>
      <c r="O88" s="2" t="s">
        <v>16</v>
      </c>
      <c r="P88" t="s">
        <v>31</v>
      </c>
      <c r="Q88" t="str">
        <f t="shared" si="9"/>
        <v>3</v>
      </c>
      <c r="R88" s="5">
        <v>46176</v>
      </c>
      <c r="S88" s="8">
        <f t="shared" si="10"/>
        <v>58.064516129032256</v>
      </c>
      <c r="T88">
        <f t="shared" si="11"/>
        <v>540000</v>
      </c>
      <c r="U88" t="str">
        <f t="shared" si="12"/>
        <v>Mid</v>
      </c>
      <c r="V88" t="str">
        <f t="shared" si="13"/>
        <v>Medium</v>
      </c>
      <c r="W88" t="str">
        <f>IF(S88 &lt; VLOOKUP(E88, Locality_Tier_Benchmarks!A:B, 2, FALSE) * 0.7, "Below Tier Range", "Normal")</f>
        <v>Normal</v>
      </c>
      <c r="X88" t="str">
        <f t="shared" si="14"/>
        <v>Normal</v>
      </c>
      <c r="Y88" t="str">
        <f t="shared" si="15"/>
        <v>Normal</v>
      </c>
      <c r="Z88" t="str">
        <f t="shared" si="8"/>
        <v>Pass</v>
      </c>
    </row>
    <row r="89" spans="1:26" x14ac:dyDescent="0.25">
      <c r="A89" s="2" t="s">
        <v>272</v>
      </c>
      <c r="B89" s="2" t="s">
        <v>17</v>
      </c>
      <c r="C89" s="2" t="s">
        <v>102</v>
      </c>
      <c r="D89" s="2" t="str">
        <f>VLOOKUP(C89,Locality_Reference!A:C,2,)</f>
        <v>Western Line</v>
      </c>
      <c r="E89" s="2" t="str">
        <f>VLOOKUP(C89,Locality_Reference!A:C,3,)</f>
        <v>Far Suburb</v>
      </c>
      <c r="F89" s="2" t="s">
        <v>120</v>
      </c>
      <c r="G89" s="8">
        <v>30000</v>
      </c>
      <c r="H89">
        <v>2</v>
      </c>
      <c r="I89">
        <v>2</v>
      </c>
      <c r="J89">
        <v>3</v>
      </c>
      <c r="K89">
        <v>7</v>
      </c>
      <c r="L89">
        <v>705</v>
      </c>
      <c r="M89" s="2" t="s">
        <v>36</v>
      </c>
      <c r="N89" t="s">
        <v>15</v>
      </c>
      <c r="O89" s="2" t="s">
        <v>16</v>
      </c>
      <c r="P89" t="s">
        <v>23</v>
      </c>
      <c r="Q89" t="str">
        <f t="shared" si="9"/>
        <v>10</v>
      </c>
      <c r="R89" s="5">
        <v>46160</v>
      </c>
      <c r="S89" s="8">
        <f t="shared" si="10"/>
        <v>42.553191489361701</v>
      </c>
      <c r="T89">
        <f t="shared" si="11"/>
        <v>360000</v>
      </c>
      <c r="U89" t="str">
        <f t="shared" si="12"/>
        <v>Budget</v>
      </c>
      <c r="V89" t="str">
        <f t="shared" si="13"/>
        <v>Medium</v>
      </c>
      <c r="W89" t="str">
        <f>IF(S89 &lt; VLOOKUP(E89, Locality_Tier_Benchmarks!A:B, 2, FALSE) * 0.7, "Below Tier Range", "Normal")</f>
        <v>Normal</v>
      </c>
      <c r="X89" t="str">
        <f t="shared" si="14"/>
        <v>Normal</v>
      </c>
      <c r="Y89" t="str">
        <f t="shared" si="15"/>
        <v>Normal</v>
      </c>
      <c r="Z89" t="str">
        <f t="shared" si="8"/>
        <v>Pass</v>
      </c>
    </row>
    <row r="90" spans="1:26" x14ac:dyDescent="0.25">
      <c r="A90" s="2" t="s">
        <v>273</v>
      </c>
      <c r="B90" s="2" t="s">
        <v>17</v>
      </c>
      <c r="C90" s="2" t="s">
        <v>102</v>
      </c>
      <c r="D90" s="2" t="str">
        <f>VLOOKUP(C90,Locality_Reference!A:C,2,)</f>
        <v>Western Line</v>
      </c>
      <c r="E90" s="2" t="str">
        <f>VLOOKUP(C90,Locality_Reference!A:C,3,)</f>
        <v>Far Suburb</v>
      </c>
      <c r="F90" s="2" t="s">
        <v>121</v>
      </c>
      <c r="G90" s="8">
        <v>25000</v>
      </c>
      <c r="H90">
        <v>2</v>
      </c>
      <c r="I90">
        <v>2</v>
      </c>
      <c r="J90">
        <v>0</v>
      </c>
      <c r="K90">
        <v>4</v>
      </c>
      <c r="L90">
        <v>685</v>
      </c>
      <c r="M90" s="2" t="s">
        <v>14</v>
      </c>
      <c r="N90" t="s">
        <v>15</v>
      </c>
      <c r="O90" s="2" t="s">
        <v>16</v>
      </c>
      <c r="P90" t="s">
        <v>52</v>
      </c>
      <c r="Q90" t="str">
        <f t="shared" si="9"/>
        <v>7.5</v>
      </c>
      <c r="R90" s="5">
        <v>46192</v>
      </c>
      <c r="S90" s="8">
        <f t="shared" si="10"/>
        <v>36.496350364963504</v>
      </c>
      <c r="T90">
        <f t="shared" si="11"/>
        <v>300000</v>
      </c>
      <c r="U90" t="str">
        <f t="shared" si="12"/>
        <v>Budget</v>
      </c>
      <c r="V90" t="str">
        <f t="shared" si="13"/>
        <v>Medium</v>
      </c>
      <c r="W90" t="str">
        <f>IF(S90 &lt; VLOOKUP(E90, Locality_Tier_Benchmarks!A:B, 2, FALSE) * 0.7, "Below Tier Range", "Normal")</f>
        <v>Normal</v>
      </c>
      <c r="X90" t="str">
        <f t="shared" si="14"/>
        <v>Normal</v>
      </c>
      <c r="Y90" t="str">
        <f t="shared" si="15"/>
        <v>Normal</v>
      </c>
      <c r="Z90" t="str">
        <f t="shared" si="8"/>
        <v>Pass</v>
      </c>
    </row>
    <row r="91" spans="1:26" x14ac:dyDescent="0.25">
      <c r="A91" s="2" t="s">
        <v>274</v>
      </c>
      <c r="B91" s="2" t="s">
        <v>17</v>
      </c>
      <c r="C91" s="2" t="s">
        <v>102</v>
      </c>
      <c r="D91" s="2" t="str">
        <f>VLOOKUP(C91,Locality_Reference!A:C,2,)</f>
        <v>Western Line</v>
      </c>
      <c r="E91" s="2" t="str">
        <f>VLOOKUP(C91,Locality_Reference!A:C,3,)</f>
        <v>Far Suburb</v>
      </c>
      <c r="F91" s="2" t="s">
        <v>122</v>
      </c>
      <c r="G91" s="8">
        <v>25000</v>
      </c>
      <c r="H91">
        <v>2</v>
      </c>
      <c r="I91">
        <v>2</v>
      </c>
      <c r="J91">
        <v>2</v>
      </c>
      <c r="K91">
        <v>7</v>
      </c>
      <c r="L91">
        <v>820</v>
      </c>
      <c r="M91" s="2" t="s">
        <v>33</v>
      </c>
      <c r="N91" t="s">
        <v>15</v>
      </c>
      <c r="O91" s="2" t="s">
        <v>16</v>
      </c>
      <c r="P91" t="s">
        <v>23</v>
      </c>
      <c r="Q91" t="str">
        <f t="shared" si="9"/>
        <v>10</v>
      </c>
      <c r="R91" s="5">
        <v>46188</v>
      </c>
      <c r="S91" s="8">
        <f t="shared" si="10"/>
        <v>30.487804878048781</v>
      </c>
      <c r="T91">
        <f t="shared" si="11"/>
        <v>300000</v>
      </c>
      <c r="U91" t="str">
        <f t="shared" si="12"/>
        <v>Budget</v>
      </c>
      <c r="V91" t="str">
        <f t="shared" si="13"/>
        <v>Large</v>
      </c>
      <c r="W91" t="str">
        <f>IF(S91 &lt; VLOOKUP(E91, Locality_Tier_Benchmarks!A:B, 2, FALSE) * 0.7, "Below Tier Range", "Normal")</f>
        <v>Normal</v>
      </c>
      <c r="X91" t="str">
        <f t="shared" si="14"/>
        <v>Normal</v>
      </c>
      <c r="Y91" t="str">
        <f t="shared" si="15"/>
        <v>Normal</v>
      </c>
      <c r="Z91" t="str">
        <f t="shared" si="8"/>
        <v>Pass</v>
      </c>
    </row>
    <row r="92" spans="1:26" x14ac:dyDescent="0.25">
      <c r="A92" s="2" t="s">
        <v>275</v>
      </c>
      <c r="B92" s="2" t="s">
        <v>17</v>
      </c>
      <c r="C92" s="2" t="s">
        <v>103</v>
      </c>
      <c r="D92" s="2" t="str">
        <f>VLOOKUP(C92,Locality_Reference!A:C,2,)</f>
        <v>Western Line</v>
      </c>
      <c r="E92" s="2" t="str">
        <f>VLOOKUP(C92,Locality_Reference!A:C,3,)</f>
        <v>Far Suburb</v>
      </c>
      <c r="F92" s="2" t="s">
        <v>109</v>
      </c>
      <c r="G92" s="8">
        <v>20000</v>
      </c>
      <c r="H92">
        <v>1</v>
      </c>
      <c r="I92">
        <v>1</v>
      </c>
      <c r="J92">
        <v>2</v>
      </c>
      <c r="K92">
        <v>4</v>
      </c>
      <c r="L92">
        <v>545</v>
      </c>
      <c r="M92" t="s">
        <v>14</v>
      </c>
      <c r="N92" t="s">
        <v>29</v>
      </c>
      <c r="O92" t="s">
        <v>16</v>
      </c>
      <c r="P92" t="s">
        <v>34</v>
      </c>
      <c r="Q92" t="str">
        <f t="shared" si="9"/>
        <v/>
      </c>
      <c r="R92" s="5">
        <v>46179</v>
      </c>
      <c r="S92" s="8">
        <f t="shared" si="10"/>
        <v>36.697247706422019</v>
      </c>
      <c r="T92">
        <f t="shared" si="11"/>
        <v>240000</v>
      </c>
      <c r="U92" t="str">
        <f t="shared" si="12"/>
        <v>Budget</v>
      </c>
      <c r="V92" t="str">
        <f t="shared" si="13"/>
        <v>Medium</v>
      </c>
      <c r="W92" t="str">
        <f>IF(S92 &lt; VLOOKUP(E92, Locality_Tier_Benchmarks!A:B, 2, FALSE) * 0.7, "Below Tier Range", "Normal")</f>
        <v>Normal</v>
      </c>
      <c r="X92" t="str">
        <f t="shared" si="14"/>
        <v>Normal</v>
      </c>
      <c r="Y92" t="str">
        <f t="shared" si="15"/>
        <v>Normal</v>
      </c>
      <c r="Z92" t="str">
        <f t="shared" si="8"/>
        <v>Pass</v>
      </c>
    </row>
    <row r="93" spans="1:26" x14ac:dyDescent="0.25">
      <c r="A93" s="2" t="s">
        <v>276</v>
      </c>
      <c r="B93" s="2" t="s">
        <v>17</v>
      </c>
      <c r="C93" s="2" t="s">
        <v>103</v>
      </c>
      <c r="D93" s="2" t="str">
        <f>VLOOKUP(C93,Locality_Reference!A:C,2,)</f>
        <v>Western Line</v>
      </c>
      <c r="E93" s="2" t="str">
        <f>VLOOKUP(C93,Locality_Reference!A:C,3,)</f>
        <v>Far Suburb</v>
      </c>
      <c r="F93" s="2" t="s">
        <v>110</v>
      </c>
      <c r="G93" s="8">
        <v>15000</v>
      </c>
      <c r="H93">
        <v>1</v>
      </c>
      <c r="I93">
        <v>1</v>
      </c>
      <c r="J93">
        <v>0</v>
      </c>
      <c r="K93">
        <v>2</v>
      </c>
      <c r="L93">
        <v>510</v>
      </c>
      <c r="M93" t="s">
        <v>33</v>
      </c>
      <c r="N93" t="s">
        <v>29</v>
      </c>
      <c r="O93" t="s">
        <v>16</v>
      </c>
      <c r="P93" t="s">
        <v>23</v>
      </c>
      <c r="Q93" t="str">
        <f t="shared" si="9"/>
        <v>10</v>
      </c>
      <c r="R93" s="5">
        <v>46115</v>
      </c>
      <c r="S93" s="8">
        <f t="shared" si="10"/>
        <v>29.411764705882351</v>
      </c>
      <c r="T93">
        <f t="shared" si="11"/>
        <v>180000</v>
      </c>
      <c r="U93" t="str">
        <f t="shared" si="12"/>
        <v>Budget</v>
      </c>
      <c r="V93" t="str">
        <f t="shared" si="13"/>
        <v>Medium</v>
      </c>
      <c r="W93" t="str">
        <f>IF(S93 &lt; VLOOKUP(E93, Locality_Tier_Benchmarks!A:B, 2, FALSE) * 0.7, "Below Tier Range", "Normal")</f>
        <v>Normal</v>
      </c>
      <c r="X93" t="str">
        <f t="shared" si="14"/>
        <v>Normal</v>
      </c>
      <c r="Y93" t="str">
        <f t="shared" si="15"/>
        <v>Normal</v>
      </c>
      <c r="Z93" t="str">
        <f t="shared" si="8"/>
        <v>Pass</v>
      </c>
    </row>
    <row r="94" spans="1:26" x14ac:dyDescent="0.25">
      <c r="A94" s="2" t="s">
        <v>277</v>
      </c>
      <c r="B94" s="2" t="s">
        <v>17</v>
      </c>
      <c r="C94" s="2" t="s">
        <v>103</v>
      </c>
      <c r="D94" s="2" t="str">
        <f>VLOOKUP(C94,Locality_Reference!A:C,2,)</f>
        <v>Western Line</v>
      </c>
      <c r="E94" s="2" t="str">
        <f>VLOOKUP(C94,Locality_Reference!A:C,3,)</f>
        <v>Far Suburb</v>
      </c>
      <c r="F94" s="2" t="s">
        <v>111</v>
      </c>
      <c r="G94" s="8">
        <v>17000</v>
      </c>
      <c r="H94">
        <v>1</v>
      </c>
      <c r="I94">
        <v>1</v>
      </c>
      <c r="J94">
        <v>3</v>
      </c>
      <c r="K94">
        <v>3</v>
      </c>
      <c r="L94">
        <v>375</v>
      </c>
      <c r="M94" t="s">
        <v>14</v>
      </c>
      <c r="N94" t="s">
        <v>29</v>
      </c>
      <c r="O94" t="s">
        <v>16</v>
      </c>
      <c r="P94" t="s">
        <v>23</v>
      </c>
      <c r="Q94" t="str">
        <f t="shared" si="9"/>
        <v>10</v>
      </c>
      <c r="R94" s="5">
        <v>46115</v>
      </c>
      <c r="S94" s="8">
        <f t="shared" si="10"/>
        <v>45.333333333333336</v>
      </c>
      <c r="T94">
        <f t="shared" si="11"/>
        <v>204000</v>
      </c>
      <c r="U94" t="str">
        <f t="shared" si="12"/>
        <v>Budget</v>
      </c>
      <c r="V94" t="str">
        <f t="shared" si="13"/>
        <v>Compact</v>
      </c>
      <c r="W94" t="str">
        <f>IF(S94 &lt; VLOOKUP(E94, Locality_Tier_Benchmarks!A:B, 2, FALSE) * 0.7, "Below Tier Range", "Normal")</f>
        <v>Normal</v>
      </c>
      <c r="X94" t="str">
        <f t="shared" si="14"/>
        <v>Normal</v>
      </c>
      <c r="Y94" t="str">
        <f t="shared" si="15"/>
        <v>Normal</v>
      </c>
      <c r="Z94" t="str">
        <f t="shared" si="8"/>
        <v>Pass</v>
      </c>
    </row>
    <row r="95" spans="1:26" x14ac:dyDescent="0.25">
      <c r="A95" s="2" t="s">
        <v>278</v>
      </c>
      <c r="B95" s="2" t="s">
        <v>17</v>
      </c>
      <c r="C95" s="2" t="s">
        <v>103</v>
      </c>
      <c r="D95" s="2" t="str">
        <f>VLOOKUP(C95,Locality_Reference!A:C,2,)</f>
        <v>Western Line</v>
      </c>
      <c r="E95" s="2" t="str">
        <f>VLOOKUP(C95,Locality_Reference!A:C,3,)</f>
        <v>Far Suburb</v>
      </c>
      <c r="F95" s="2" t="s">
        <v>119</v>
      </c>
      <c r="G95" s="8">
        <v>22000</v>
      </c>
      <c r="H95">
        <v>2</v>
      </c>
      <c r="I95">
        <v>2</v>
      </c>
      <c r="J95">
        <v>2</v>
      </c>
      <c r="K95">
        <v>3</v>
      </c>
      <c r="L95">
        <v>760</v>
      </c>
      <c r="M95" t="s">
        <v>33</v>
      </c>
      <c r="N95" t="s">
        <v>29</v>
      </c>
      <c r="O95" t="s">
        <v>16</v>
      </c>
      <c r="P95" t="s">
        <v>23</v>
      </c>
      <c r="Q95" t="str">
        <f t="shared" si="9"/>
        <v>10</v>
      </c>
      <c r="R95" s="5">
        <v>46173</v>
      </c>
      <c r="S95" s="8">
        <f t="shared" si="10"/>
        <v>28.94736842105263</v>
      </c>
      <c r="T95">
        <f t="shared" si="11"/>
        <v>264000</v>
      </c>
      <c r="U95" t="str">
        <f t="shared" si="12"/>
        <v>Budget</v>
      </c>
      <c r="V95" t="str">
        <f t="shared" si="13"/>
        <v>Medium</v>
      </c>
      <c r="W95" t="str">
        <f>IF(S95 &lt; VLOOKUP(E95, Locality_Tier_Benchmarks!A:B, 2, FALSE) * 0.7, "Below Tier Range", "Normal")</f>
        <v>Normal</v>
      </c>
      <c r="X95" t="str">
        <f t="shared" si="14"/>
        <v>Normal</v>
      </c>
      <c r="Y95" t="str">
        <f t="shared" si="15"/>
        <v>Normal</v>
      </c>
      <c r="Z95" t="str">
        <f t="shared" si="8"/>
        <v>Pass</v>
      </c>
    </row>
    <row r="96" spans="1:26" x14ac:dyDescent="0.25">
      <c r="A96" s="2" t="s">
        <v>279</v>
      </c>
      <c r="B96" s="2" t="s">
        <v>17</v>
      </c>
      <c r="C96" s="2" t="s">
        <v>103</v>
      </c>
      <c r="D96" s="2" t="str">
        <f>VLOOKUP(C96,Locality_Reference!A:C,2,)</f>
        <v>Western Line</v>
      </c>
      <c r="E96" s="2" t="str">
        <f>VLOOKUP(C96,Locality_Reference!A:C,3,)</f>
        <v>Far Suburb</v>
      </c>
      <c r="F96" s="2" t="s">
        <v>112</v>
      </c>
      <c r="G96" s="8">
        <v>45000</v>
      </c>
      <c r="H96">
        <v>3</v>
      </c>
      <c r="I96">
        <v>2</v>
      </c>
      <c r="J96">
        <v>1</v>
      </c>
      <c r="K96">
        <v>3</v>
      </c>
      <c r="L96">
        <v>800</v>
      </c>
      <c r="M96" t="s">
        <v>36</v>
      </c>
      <c r="N96" t="s">
        <v>29</v>
      </c>
      <c r="O96" t="s">
        <v>16</v>
      </c>
      <c r="P96" t="s">
        <v>52</v>
      </c>
      <c r="Q96" t="str">
        <f t="shared" si="9"/>
        <v>7.5</v>
      </c>
      <c r="R96" s="5">
        <v>46182</v>
      </c>
      <c r="S96" s="8">
        <f t="shared" si="10"/>
        <v>56.25</v>
      </c>
      <c r="T96">
        <f t="shared" si="11"/>
        <v>540000</v>
      </c>
      <c r="U96" t="str">
        <f t="shared" si="12"/>
        <v>Mid</v>
      </c>
      <c r="V96" t="str">
        <f t="shared" si="13"/>
        <v>Medium</v>
      </c>
      <c r="W96" t="str">
        <f>IF(S96 &lt; VLOOKUP(E96, Locality_Tier_Benchmarks!A:B, 2, FALSE) * 0.7, "Below Tier Range", "Normal")</f>
        <v>Normal</v>
      </c>
      <c r="X96" t="str">
        <f t="shared" si="14"/>
        <v>Normal</v>
      </c>
      <c r="Y96" t="str">
        <f t="shared" si="15"/>
        <v>Normal</v>
      </c>
      <c r="Z96" t="str">
        <f t="shared" si="8"/>
        <v>Pass</v>
      </c>
    </row>
    <row r="97" spans="1:26" x14ac:dyDescent="0.25">
      <c r="A97" s="2" t="s">
        <v>280</v>
      </c>
      <c r="B97" s="2" t="s">
        <v>17</v>
      </c>
      <c r="C97" s="2" t="s">
        <v>103</v>
      </c>
      <c r="D97" s="2" t="str">
        <f>VLOOKUP(C97,Locality_Reference!A:C,2,)</f>
        <v>Western Line</v>
      </c>
      <c r="E97" s="2" t="str">
        <f>VLOOKUP(C97,Locality_Reference!A:C,3,)</f>
        <v>Far Suburb</v>
      </c>
      <c r="F97" s="2" t="s">
        <v>123</v>
      </c>
      <c r="G97" s="8">
        <v>40000</v>
      </c>
      <c r="H97">
        <v>3</v>
      </c>
      <c r="I97">
        <v>3</v>
      </c>
      <c r="J97">
        <v>10</v>
      </c>
      <c r="K97">
        <v>10</v>
      </c>
      <c r="L97">
        <v>1640</v>
      </c>
      <c r="M97" t="s">
        <v>33</v>
      </c>
      <c r="N97" t="s">
        <v>15</v>
      </c>
      <c r="O97" t="s">
        <v>16</v>
      </c>
      <c r="P97" t="s">
        <v>23</v>
      </c>
      <c r="Q97" t="str">
        <f t="shared" si="9"/>
        <v>10</v>
      </c>
      <c r="R97" s="5">
        <v>46177</v>
      </c>
      <c r="S97" s="8">
        <f t="shared" si="10"/>
        <v>24.390243902439025</v>
      </c>
      <c r="T97">
        <f t="shared" si="11"/>
        <v>480000</v>
      </c>
      <c r="U97" t="str">
        <f t="shared" si="12"/>
        <v>Mid</v>
      </c>
      <c r="V97" t="str">
        <f t="shared" si="13"/>
        <v>Spacious</v>
      </c>
      <c r="W97" t="str">
        <f>IF(S97 &lt; VLOOKUP(E97, Locality_Tier_Benchmarks!A:B, 2, FALSE) * 0.7, "Below Tier Range", "Normal")</f>
        <v>Normal</v>
      </c>
      <c r="X97" t="str">
        <f t="shared" si="14"/>
        <v>Normal</v>
      </c>
      <c r="Y97" t="str">
        <f t="shared" si="15"/>
        <v>Normal</v>
      </c>
      <c r="Z97" t="str">
        <f t="shared" si="8"/>
        <v>Pass</v>
      </c>
    </row>
    <row r="98" spans="1:26" x14ac:dyDescent="0.25">
      <c r="A98" s="2" t="s">
        <v>281</v>
      </c>
      <c r="B98" s="2" t="s">
        <v>17</v>
      </c>
      <c r="C98" s="2" t="s">
        <v>102</v>
      </c>
      <c r="D98" s="2" t="str">
        <f>VLOOKUP(C98,Locality_Reference!A:C,2,)</f>
        <v>Western Line</v>
      </c>
      <c r="E98" s="2" t="str">
        <f>VLOOKUP(C98,Locality_Reference!A:C,3,)</f>
        <v>Far Suburb</v>
      </c>
      <c r="F98" s="2" t="s">
        <v>124</v>
      </c>
      <c r="G98" s="8">
        <v>35000</v>
      </c>
      <c r="H98">
        <v>3</v>
      </c>
      <c r="I98">
        <v>3</v>
      </c>
      <c r="J98">
        <v>4</v>
      </c>
      <c r="K98">
        <v>15</v>
      </c>
      <c r="L98">
        <v>900</v>
      </c>
      <c r="M98" t="s">
        <v>36</v>
      </c>
      <c r="N98" t="s">
        <v>15</v>
      </c>
      <c r="O98" t="s">
        <v>16</v>
      </c>
      <c r="P98" t="s">
        <v>52</v>
      </c>
      <c r="Q98" t="str">
        <f t="shared" si="9"/>
        <v>7.5</v>
      </c>
      <c r="R98" s="5">
        <v>46154</v>
      </c>
      <c r="S98" s="8">
        <f t="shared" si="10"/>
        <v>38.888888888888886</v>
      </c>
      <c r="T98">
        <f t="shared" si="11"/>
        <v>420000</v>
      </c>
      <c r="U98" t="str">
        <f t="shared" si="12"/>
        <v>Mid</v>
      </c>
      <c r="V98" t="str">
        <f t="shared" si="13"/>
        <v>Large</v>
      </c>
      <c r="W98" t="str">
        <f>IF(S98 &lt; VLOOKUP(E98, Locality_Tier_Benchmarks!A:B, 2, FALSE) * 0.7, "Below Tier Range", "Normal")</f>
        <v>Normal</v>
      </c>
      <c r="X98" t="str">
        <f t="shared" si="14"/>
        <v>Normal</v>
      </c>
      <c r="Y98" t="str">
        <f t="shared" si="15"/>
        <v>Normal</v>
      </c>
      <c r="Z98" t="str">
        <f t="shared" si="8"/>
        <v>Pass</v>
      </c>
    </row>
    <row r="99" spans="1:26" x14ac:dyDescent="0.25">
      <c r="A99" s="2" t="s">
        <v>282</v>
      </c>
      <c r="B99" s="2" t="s">
        <v>17</v>
      </c>
      <c r="C99" s="2" t="s">
        <v>102</v>
      </c>
      <c r="D99" s="2" t="str">
        <f>VLOOKUP(C99,Locality_Reference!A:C,2,)</f>
        <v>Western Line</v>
      </c>
      <c r="E99" s="2" t="str">
        <f>VLOOKUP(C99,Locality_Reference!A:C,3,)</f>
        <v>Far Suburb</v>
      </c>
      <c r="F99" s="2" t="s">
        <v>125</v>
      </c>
      <c r="G99" s="8">
        <v>38000</v>
      </c>
      <c r="H99">
        <v>3</v>
      </c>
      <c r="I99">
        <v>2</v>
      </c>
      <c r="J99">
        <v>2</v>
      </c>
      <c r="K99">
        <v>7</v>
      </c>
      <c r="L99">
        <v>800</v>
      </c>
      <c r="M99" t="s">
        <v>36</v>
      </c>
      <c r="N99" t="s">
        <v>15</v>
      </c>
      <c r="O99" t="s">
        <v>16</v>
      </c>
      <c r="P99" t="s">
        <v>23</v>
      </c>
      <c r="Q99" t="str">
        <f t="shared" si="9"/>
        <v>10</v>
      </c>
      <c r="R99" s="5">
        <v>46153</v>
      </c>
      <c r="S99" s="8">
        <f t="shared" si="10"/>
        <v>47.5</v>
      </c>
      <c r="T99">
        <f t="shared" si="11"/>
        <v>456000</v>
      </c>
      <c r="U99" t="str">
        <f t="shared" si="12"/>
        <v>Mid</v>
      </c>
      <c r="V99" t="str">
        <f t="shared" si="13"/>
        <v>Medium</v>
      </c>
      <c r="W99" t="str">
        <f>IF(S99 &lt; VLOOKUP(E99, Locality_Tier_Benchmarks!A:B, 2, FALSE) * 0.7, "Below Tier Range", "Normal")</f>
        <v>Normal</v>
      </c>
      <c r="X99" t="str">
        <f t="shared" si="14"/>
        <v>Normal</v>
      </c>
      <c r="Y99" t="str">
        <f t="shared" si="15"/>
        <v>Normal</v>
      </c>
      <c r="Z99" t="str">
        <f t="shared" si="8"/>
        <v>Pass</v>
      </c>
    </row>
    <row r="100" spans="1:26" x14ac:dyDescent="0.25">
      <c r="A100" s="2" t="s">
        <v>283</v>
      </c>
      <c r="B100" s="2" t="s">
        <v>17</v>
      </c>
      <c r="C100" s="2" t="s">
        <v>126</v>
      </c>
      <c r="D100" s="2" t="str">
        <f>VLOOKUP(C100,Locality_Reference!A:C,2,)</f>
        <v>Western Line</v>
      </c>
      <c r="E100" s="2" t="str">
        <f>VLOOKUP(C100,Locality_Reference!A:C,3,)</f>
        <v>Far Suburb</v>
      </c>
      <c r="F100" s="2" t="s">
        <v>129</v>
      </c>
      <c r="G100" s="8">
        <v>11500</v>
      </c>
      <c r="H100">
        <v>1</v>
      </c>
      <c r="I100">
        <v>2</v>
      </c>
      <c r="J100">
        <v>19</v>
      </c>
      <c r="K100">
        <v>22</v>
      </c>
      <c r="L100">
        <v>392</v>
      </c>
      <c r="M100" t="s">
        <v>33</v>
      </c>
      <c r="N100" t="s">
        <v>15</v>
      </c>
      <c r="O100" t="s">
        <v>16</v>
      </c>
      <c r="P100" t="s">
        <v>31</v>
      </c>
      <c r="Q100" t="str">
        <f t="shared" si="9"/>
        <v>3</v>
      </c>
      <c r="R100" s="5">
        <v>46189</v>
      </c>
      <c r="S100" s="8">
        <f t="shared" si="10"/>
        <v>29.336734693877553</v>
      </c>
      <c r="T100">
        <f t="shared" si="11"/>
        <v>138000</v>
      </c>
      <c r="U100" t="str">
        <f t="shared" si="12"/>
        <v>Budget</v>
      </c>
      <c r="V100" t="str">
        <f t="shared" si="13"/>
        <v>Compact</v>
      </c>
      <c r="W100" t="str">
        <f>IF(S100 &lt; VLOOKUP(E100, Locality_Tier_Benchmarks!A:B, 2, FALSE) * 0.7, "Below Tier Range", "Normal")</f>
        <v>Normal</v>
      </c>
      <c r="X100" t="str">
        <f t="shared" si="14"/>
        <v>Normal</v>
      </c>
      <c r="Y100" t="str">
        <f t="shared" si="15"/>
        <v>Normal</v>
      </c>
      <c r="Z100" t="str">
        <f t="shared" si="8"/>
        <v>Pass</v>
      </c>
    </row>
    <row r="101" spans="1:26" x14ac:dyDescent="0.25">
      <c r="A101" s="2" t="s">
        <v>284</v>
      </c>
      <c r="B101" s="2" t="s">
        <v>17</v>
      </c>
      <c r="C101" s="2" t="s">
        <v>126</v>
      </c>
      <c r="D101" s="2" t="str">
        <f>VLOOKUP(C101,Locality_Reference!A:C,2,)</f>
        <v>Western Line</v>
      </c>
      <c r="E101" s="2" t="str">
        <f>VLOOKUP(C101,Locality_Reference!A:C,3,)</f>
        <v>Far Suburb</v>
      </c>
      <c r="F101" s="2" t="s">
        <v>130</v>
      </c>
      <c r="G101" s="8">
        <v>9000</v>
      </c>
      <c r="H101">
        <v>1</v>
      </c>
      <c r="I101">
        <v>2</v>
      </c>
      <c r="J101">
        <v>3</v>
      </c>
      <c r="K101">
        <v>9</v>
      </c>
      <c r="L101">
        <v>400</v>
      </c>
      <c r="M101" t="s">
        <v>33</v>
      </c>
      <c r="N101" t="s">
        <v>15</v>
      </c>
      <c r="O101" t="s">
        <v>16</v>
      </c>
      <c r="P101" t="s">
        <v>31</v>
      </c>
      <c r="Q101" t="str">
        <f t="shared" si="9"/>
        <v>3</v>
      </c>
      <c r="R101" s="5">
        <v>46189</v>
      </c>
      <c r="S101" s="8">
        <f t="shared" si="10"/>
        <v>22.5</v>
      </c>
      <c r="T101">
        <f t="shared" si="11"/>
        <v>108000</v>
      </c>
      <c r="U101" t="str">
        <f t="shared" si="12"/>
        <v>Budget</v>
      </c>
      <c r="V101" t="str">
        <f t="shared" si="13"/>
        <v>Compact</v>
      </c>
      <c r="W101" t="str">
        <f>IF(S101 &lt; VLOOKUP(E101, Locality_Tier_Benchmarks!A:B, 2, FALSE) * 0.7, "Below Tier Range", "Normal")</f>
        <v>Normal</v>
      </c>
      <c r="X101" t="str">
        <f t="shared" si="14"/>
        <v>Normal</v>
      </c>
      <c r="Y101" t="str">
        <f t="shared" si="15"/>
        <v>Normal</v>
      </c>
      <c r="Z101" t="str">
        <f t="shared" si="8"/>
        <v>Pass</v>
      </c>
    </row>
    <row r="102" spans="1:26" x14ac:dyDescent="0.25">
      <c r="A102" s="2" t="s">
        <v>285</v>
      </c>
      <c r="B102" s="2" t="s">
        <v>17</v>
      </c>
      <c r="C102" s="2" t="s">
        <v>126</v>
      </c>
      <c r="D102" s="2" t="str">
        <f>VLOOKUP(C102,Locality_Reference!A:C,2,)</f>
        <v>Western Line</v>
      </c>
      <c r="E102" s="2" t="str">
        <f>VLOOKUP(C102,Locality_Reference!A:C,3,)</f>
        <v>Far Suburb</v>
      </c>
      <c r="F102" s="2" t="s">
        <v>131</v>
      </c>
      <c r="G102" s="8">
        <v>9500</v>
      </c>
      <c r="H102">
        <v>1</v>
      </c>
      <c r="I102">
        <v>2</v>
      </c>
      <c r="J102">
        <v>10</v>
      </c>
      <c r="K102">
        <v>14</v>
      </c>
      <c r="L102">
        <v>400</v>
      </c>
      <c r="M102" t="s">
        <v>33</v>
      </c>
      <c r="N102" t="s">
        <v>15</v>
      </c>
      <c r="O102" t="s">
        <v>16</v>
      </c>
      <c r="P102" t="s">
        <v>31</v>
      </c>
      <c r="Q102" t="str">
        <f t="shared" si="9"/>
        <v>3</v>
      </c>
      <c r="R102" s="5">
        <v>46195</v>
      </c>
      <c r="S102" s="8">
        <f t="shared" si="10"/>
        <v>23.75</v>
      </c>
      <c r="T102">
        <f t="shared" si="11"/>
        <v>114000</v>
      </c>
      <c r="U102" t="str">
        <f t="shared" si="12"/>
        <v>Budget</v>
      </c>
      <c r="V102" t="str">
        <f t="shared" si="13"/>
        <v>Compact</v>
      </c>
      <c r="W102" t="str">
        <f>IF(S102 &lt; VLOOKUP(E102, Locality_Tier_Benchmarks!A:B, 2, FALSE) * 0.7, "Below Tier Range", "Normal")</f>
        <v>Normal</v>
      </c>
      <c r="X102" t="str">
        <f t="shared" si="14"/>
        <v>Normal</v>
      </c>
      <c r="Y102" t="str">
        <f t="shared" si="15"/>
        <v>Normal</v>
      </c>
      <c r="Z102" t="str">
        <f t="shared" si="8"/>
        <v>Pass</v>
      </c>
    </row>
    <row r="103" spans="1:26" x14ac:dyDescent="0.25">
      <c r="A103" s="2" t="s">
        <v>286</v>
      </c>
      <c r="B103" s="2" t="s">
        <v>17</v>
      </c>
      <c r="C103" s="2" t="s">
        <v>126</v>
      </c>
      <c r="D103" s="2" t="str">
        <f>VLOOKUP(C103,Locality_Reference!A:C,2,)</f>
        <v>Western Line</v>
      </c>
      <c r="E103" s="2" t="str">
        <f>VLOOKUP(C103,Locality_Reference!A:C,3,)</f>
        <v>Far Suburb</v>
      </c>
      <c r="F103" s="2" t="s">
        <v>132</v>
      </c>
      <c r="G103" s="8">
        <v>10500</v>
      </c>
      <c r="H103">
        <v>1</v>
      </c>
      <c r="I103">
        <v>2</v>
      </c>
      <c r="J103">
        <v>10</v>
      </c>
      <c r="K103">
        <v>15</v>
      </c>
      <c r="L103">
        <v>500</v>
      </c>
      <c r="M103" t="s">
        <v>33</v>
      </c>
      <c r="N103" t="s">
        <v>15</v>
      </c>
      <c r="O103" t="s">
        <v>16</v>
      </c>
      <c r="P103" t="s">
        <v>34</v>
      </c>
      <c r="Q103" t="str">
        <f t="shared" si="9"/>
        <v/>
      </c>
      <c r="R103" s="5">
        <v>46189</v>
      </c>
      <c r="S103" s="8">
        <f t="shared" si="10"/>
        <v>21</v>
      </c>
      <c r="T103">
        <f t="shared" si="11"/>
        <v>126000</v>
      </c>
      <c r="U103" t="str">
        <f t="shared" si="12"/>
        <v>Budget</v>
      </c>
      <c r="V103" t="str">
        <f t="shared" si="13"/>
        <v>Compact</v>
      </c>
      <c r="W103" t="str">
        <f>IF(S103 &lt; VLOOKUP(E103, Locality_Tier_Benchmarks!A:B, 2, FALSE) * 0.7, "Below Tier Range", "Normal")</f>
        <v>Normal</v>
      </c>
      <c r="X103" t="str">
        <f t="shared" si="14"/>
        <v>Normal</v>
      </c>
      <c r="Y103" t="str">
        <f t="shared" si="15"/>
        <v>Normal</v>
      </c>
      <c r="Z103" t="str">
        <f t="shared" si="8"/>
        <v>Pass</v>
      </c>
    </row>
    <row r="104" spans="1:26" x14ac:dyDescent="0.25">
      <c r="A104" s="2" t="s">
        <v>287</v>
      </c>
      <c r="B104" s="2" t="s">
        <v>17</v>
      </c>
      <c r="C104" s="2" t="s">
        <v>126</v>
      </c>
      <c r="D104" s="2" t="str">
        <f>VLOOKUP(C104,Locality_Reference!A:C,2,)</f>
        <v>Western Line</v>
      </c>
      <c r="E104" s="2" t="str">
        <f>VLOOKUP(C104,Locality_Reference!A:C,3,)</f>
        <v>Far Suburb</v>
      </c>
      <c r="F104" s="2" t="s">
        <v>133</v>
      </c>
      <c r="G104" s="8">
        <v>12500</v>
      </c>
      <c r="H104">
        <v>1</v>
      </c>
      <c r="I104">
        <v>2</v>
      </c>
      <c r="J104">
        <v>10</v>
      </c>
      <c r="K104">
        <v>15</v>
      </c>
      <c r="L104">
        <v>410</v>
      </c>
      <c r="M104" t="s">
        <v>33</v>
      </c>
      <c r="N104" t="s">
        <v>15</v>
      </c>
      <c r="O104" t="s">
        <v>16</v>
      </c>
      <c r="P104" t="s">
        <v>31</v>
      </c>
      <c r="Q104" t="str">
        <f t="shared" si="9"/>
        <v>3</v>
      </c>
      <c r="R104" s="5">
        <v>46188</v>
      </c>
      <c r="S104" s="8">
        <f t="shared" si="10"/>
        <v>30.487804878048781</v>
      </c>
      <c r="T104">
        <f t="shared" si="11"/>
        <v>150000</v>
      </c>
      <c r="U104" t="str">
        <f t="shared" si="12"/>
        <v>Budget</v>
      </c>
      <c r="V104" t="str">
        <f t="shared" si="13"/>
        <v>Compact</v>
      </c>
      <c r="W104" t="str">
        <f>IF(S104 &lt; VLOOKUP(E104, Locality_Tier_Benchmarks!A:B, 2, FALSE) * 0.7, "Below Tier Range", "Normal")</f>
        <v>Normal</v>
      </c>
      <c r="X104" t="str">
        <f t="shared" si="14"/>
        <v>Normal</v>
      </c>
      <c r="Y104" t="str">
        <f t="shared" si="15"/>
        <v>Normal</v>
      </c>
      <c r="Z104" t="str">
        <f t="shared" si="8"/>
        <v>Pass</v>
      </c>
    </row>
    <row r="105" spans="1:26" x14ac:dyDescent="0.25">
      <c r="A105" s="2" t="s">
        <v>288</v>
      </c>
      <c r="B105" s="2" t="s">
        <v>17</v>
      </c>
      <c r="C105" s="2" t="s">
        <v>126</v>
      </c>
      <c r="D105" s="2" t="str">
        <f>VLOOKUP(C105,Locality_Reference!A:C,2,)</f>
        <v>Western Line</v>
      </c>
      <c r="E105" s="2" t="str">
        <f>VLOOKUP(C105,Locality_Reference!A:C,3,)</f>
        <v>Far Suburb</v>
      </c>
      <c r="F105" s="2" t="s">
        <v>136</v>
      </c>
      <c r="G105" s="8">
        <v>9000</v>
      </c>
      <c r="H105">
        <v>1</v>
      </c>
      <c r="I105">
        <v>2</v>
      </c>
      <c r="J105">
        <v>1</v>
      </c>
      <c r="K105">
        <v>14</v>
      </c>
      <c r="L105">
        <v>270</v>
      </c>
      <c r="M105" t="s">
        <v>33</v>
      </c>
      <c r="N105" t="s">
        <v>15</v>
      </c>
      <c r="O105" t="s">
        <v>16</v>
      </c>
      <c r="P105" t="s">
        <v>31</v>
      </c>
      <c r="Q105" t="str">
        <f t="shared" si="9"/>
        <v>3</v>
      </c>
      <c r="R105" s="5">
        <v>46172</v>
      </c>
      <c r="S105" s="8">
        <f t="shared" si="10"/>
        <v>33.333333333333336</v>
      </c>
      <c r="T105">
        <f t="shared" si="11"/>
        <v>108000</v>
      </c>
      <c r="U105" t="str">
        <f t="shared" si="12"/>
        <v>Budget</v>
      </c>
      <c r="V105" t="str">
        <f t="shared" si="13"/>
        <v>Compact</v>
      </c>
      <c r="W105" t="str">
        <f>IF(S105 &lt; VLOOKUP(E105, Locality_Tier_Benchmarks!A:B, 2, FALSE) * 0.7, "Below Tier Range", "Normal")</f>
        <v>Normal</v>
      </c>
      <c r="X105" t="str">
        <f t="shared" si="14"/>
        <v>Normal</v>
      </c>
      <c r="Y105" t="str">
        <f t="shared" si="15"/>
        <v>Normal</v>
      </c>
      <c r="Z105" t="str">
        <f t="shared" si="8"/>
        <v>Pass</v>
      </c>
    </row>
    <row r="106" spans="1:26" x14ac:dyDescent="0.25">
      <c r="A106" s="2" t="s">
        <v>289</v>
      </c>
      <c r="B106" s="2" t="s">
        <v>17</v>
      </c>
      <c r="C106" s="2" t="s">
        <v>126</v>
      </c>
      <c r="D106" s="2" t="str">
        <f>VLOOKUP(C106,Locality_Reference!A:C,2,)</f>
        <v>Western Line</v>
      </c>
      <c r="E106" s="2" t="str">
        <f>VLOOKUP(C106,Locality_Reference!A:C,3,)</f>
        <v>Far Suburb</v>
      </c>
      <c r="F106" s="2" t="s">
        <v>137</v>
      </c>
      <c r="G106" s="8">
        <v>12000</v>
      </c>
      <c r="H106">
        <v>1</v>
      </c>
      <c r="I106">
        <v>1</v>
      </c>
      <c r="J106">
        <v>8</v>
      </c>
      <c r="K106">
        <v>8</v>
      </c>
      <c r="L106">
        <v>350</v>
      </c>
      <c r="M106" t="s">
        <v>33</v>
      </c>
      <c r="N106" t="s">
        <v>15</v>
      </c>
      <c r="O106" t="s">
        <v>16</v>
      </c>
      <c r="P106" t="s">
        <v>31</v>
      </c>
      <c r="Q106" t="str">
        <f t="shared" si="9"/>
        <v>3</v>
      </c>
      <c r="R106" s="5">
        <v>46185</v>
      </c>
      <c r="S106" s="8">
        <f t="shared" si="10"/>
        <v>34.285714285714285</v>
      </c>
      <c r="T106">
        <f t="shared" si="11"/>
        <v>144000</v>
      </c>
      <c r="U106" t="str">
        <f t="shared" si="12"/>
        <v>Budget</v>
      </c>
      <c r="V106" t="str">
        <f t="shared" si="13"/>
        <v>Compact</v>
      </c>
      <c r="W106" t="str">
        <f>IF(S106 &lt; VLOOKUP(E106, Locality_Tier_Benchmarks!A:B, 2, FALSE) * 0.7, "Below Tier Range", "Normal")</f>
        <v>Normal</v>
      </c>
      <c r="X106" t="str">
        <f t="shared" si="14"/>
        <v>Normal</v>
      </c>
      <c r="Y106" t="str">
        <f t="shared" si="15"/>
        <v>Normal</v>
      </c>
      <c r="Z106" t="str">
        <f t="shared" si="8"/>
        <v>Pass</v>
      </c>
    </row>
    <row r="107" spans="1:26" x14ac:dyDescent="0.25">
      <c r="A107" s="2" t="s">
        <v>290</v>
      </c>
      <c r="B107" s="2" t="s">
        <v>17</v>
      </c>
      <c r="C107" s="2" t="s">
        <v>126</v>
      </c>
      <c r="D107" s="2" t="str">
        <f>VLOOKUP(C107,Locality_Reference!A:C,2,)</f>
        <v>Western Line</v>
      </c>
      <c r="E107" s="2" t="str">
        <f>VLOOKUP(C107,Locality_Reference!A:C,3,)</f>
        <v>Far Suburb</v>
      </c>
      <c r="F107" s="2" t="s">
        <v>138</v>
      </c>
      <c r="G107" s="8">
        <v>12000</v>
      </c>
      <c r="H107">
        <v>1</v>
      </c>
      <c r="I107">
        <v>1</v>
      </c>
      <c r="J107">
        <v>2</v>
      </c>
      <c r="K107">
        <v>11</v>
      </c>
      <c r="L107">
        <v>332.5</v>
      </c>
      <c r="M107" t="s">
        <v>36</v>
      </c>
      <c r="N107" t="s">
        <v>15</v>
      </c>
      <c r="O107" t="s">
        <v>16</v>
      </c>
      <c r="P107" t="s">
        <v>47</v>
      </c>
      <c r="Q107" t="str">
        <f t="shared" si="9"/>
        <v>1</v>
      </c>
      <c r="R107" s="5">
        <v>46181</v>
      </c>
      <c r="S107" s="8">
        <f t="shared" si="10"/>
        <v>36.090225563909776</v>
      </c>
      <c r="T107">
        <f t="shared" si="11"/>
        <v>144000</v>
      </c>
      <c r="U107" t="str">
        <f t="shared" si="12"/>
        <v>Budget</v>
      </c>
      <c r="V107" t="str">
        <f t="shared" si="13"/>
        <v>Compact</v>
      </c>
      <c r="W107" t="str">
        <f>IF(S107 &lt; VLOOKUP(E107, Locality_Tier_Benchmarks!A:B, 2, FALSE) * 0.7, "Below Tier Range", "Normal")</f>
        <v>Normal</v>
      </c>
      <c r="X107" t="str">
        <f t="shared" si="14"/>
        <v>Normal</v>
      </c>
      <c r="Y107" t="str">
        <f t="shared" si="15"/>
        <v>Normal</v>
      </c>
      <c r="Z107" t="str">
        <f t="shared" si="8"/>
        <v>Pass</v>
      </c>
    </row>
    <row r="108" spans="1:26" x14ac:dyDescent="0.25">
      <c r="A108" s="2" t="s">
        <v>291</v>
      </c>
      <c r="B108" s="2" t="s">
        <v>17</v>
      </c>
      <c r="C108" s="2" t="s">
        <v>126</v>
      </c>
      <c r="D108" s="2" t="str">
        <f>VLOOKUP(C108,Locality_Reference!A:C,2,)</f>
        <v>Western Line</v>
      </c>
      <c r="E108" s="2" t="str">
        <f>VLOOKUP(C108,Locality_Reference!A:C,3,)</f>
        <v>Far Suburb</v>
      </c>
      <c r="F108" s="2" t="s">
        <v>129</v>
      </c>
      <c r="G108" s="8">
        <v>16500</v>
      </c>
      <c r="H108">
        <v>2</v>
      </c>
      <c r="I108">
        <v>2</v>
      </c>
      <c r="J108">
        <v>1</v>
      </c>
      <c r="K108">
        <v>22</v>
      </c>
      <c r="L108">
        <v>550</v>
      </c>
      <c r="M108" t="s">
        <v>36</v>
      </c>
      <c r="N108" t="s">
        <v>15</v>
      </c>
      <c r="O108" t="s">
        <v>16</v>
      </c>
      <c r="P108" t="s">
        <v>34</v>
      </c>
      <c r="Q108" t="str">
        <f t="shared" si="9"/>
        <v/>
      </c>
      <c r="R108" s="5">
        <v>46168</v>
      </c>
      <c r="S108" s="8">
        <f t="shared" si="10"/>
        <v>30</v>
      </c>
      <c r="T108">
        <f t="shared" si="11"/>
        <v>198000</v>
      </c>
      <c r="U108" t="str">
        <f t="shared" si="12"/>
        <v>Budget</v>
      </c>
      <c r="V108" t="str">
        <f t="shared" si="13"/>
        <v>Medium</v>
      </c>
      <c r="W108" t="str">
        <f>IF(S108 &lt; VLOOKUP(E108, Locality_Tier_Benchmarks!A:B, 2, FALSE) * 0.7, "Below Tier Range", "Normal")</f>
        <v>Normal</v>
      </c>
      <c r="X108" t="str">
        <f t="shared" si="14"/>
        <v>Normal</v>
      </c>
      <c r="Y108" t="str">
        <f t="shared" si="15"/>
        <v>Normal</v>
      </c>
      <c r="Z108" t="str">
        <f t="shared" si="8"/>
        <v>Pass</v>
      </c>
    </row>
    <row r="109" spans="1:26" x14ac:dyDescent="0.25">
      <c r="A109" s="2" t="s">
        <v>292</v>
      </c>
      <c r="B109" s="2" t="s">
        <v>17</v>
      </c>
      <c r="C109" s="2" t="s">
        <v>126</v>
      </c>
      <c r="D109" s="2" t="str">
        <f>VLOOKUP(C109,Locality_Reference!A:C,2,)</f>
        <v>Western Line</v>
      </c>
      <c r="E109" s="2" t="str">
        <f>VLOOKUP(C109,Locality_Reference!A:C,3,)</f>
        <v>Far Suburb</v>
      </c>
      <c r="F109" s="2" t="s">
        <v>128</v>
      </c>
      <c r="G109" s="8">
        <v>13000</v>
      </c>
      <c r="H109">
        <v>2</v>
      </c>
      <c r="I109">
        <v>2</v>
      </c>
      <c r="J109">
        <v>4</v>
      </c>
      <c r="K109">
        <v>16</v>
      </c>
      <c r="L109">
        <v>590</v>
      </c>
      <c r="M109" t="s">
        <v>14</v>
      </c>
      <c r="N109" t="s">
        <v>15</v>
      </c>
      <c r="O109" t="s">
        <v>16</v>
      </c>
      <c r="P109" t="s">
        <v>52</v>
      </c>
      <c r="Q109" t="str">
        <f t="shared" si="9"/>
        <v>7.5</v>
      </c>
      <c r="R109" s="5">
        <v>46174</v>
      </c>
      <c r="S109" s="8">
        <f t="shared" si="10"/>
        <v>22.033898305084747</v>
      </c>
      <c r="T109">
        <f t="shared" si="11"/>
        <v>156000</v>
      </c>
      <c r="U109" t="str">
        <f t="shared" si="12"/>
        <v>Budget</v>
      </c>
      <c r="V109" t="str">
        <f t="shared" si="13"/>
        <v>Medium</v>
      </c>
      <c r="W109" t="str">
        <f>IF(S109 &lt; VLOOKUP(E109, Locality_Tier_Benchmarks!A:B, 2, FALSE) * 0.7, "Below Tier Range", "Normal")</f>
        <v>Normal</v>
      </c>
      <c r="X109" t="str">
        <f t="shared" si="14"/>
        <v>Normal</v>
      </c>
      <c r="Y109" t="str">
        <f t="shared" si="15"/>
        <v>Normal</v>
      </c>
      <c r="Z109" t="str">
        <f t="shared" si="8"/>
        <v>Pass</v>
      </c>
    </row>
    <row r="110" spans="1:26" x14ac:dyDescent="0.25">
      <c r="A110" s="2" t="s">
        <v>293</v>
      </c>
      <c r="B110" s="2" t="s">
        <v>17</v>
      </c>
      <c r="C110" s="2" t="s">
        <v>126</v>
      </c>
      <c r="D110" s="2" t="str">
        <f>VLOOKUP(C110,Locality_Reference!A:C,2,)</f>
        <v>Western Line</v>
      </c>
      <c r="E110" s="2" t="str">
        <f>VLOOKUP(C110,Locality_Reference!A:C,3,)</f>
        <v>Far Suburb</v>
      </c>
      <c r="F110" s="2" t="s">
        <v>139</v>
      </c>
      <c r="G110" s="8">
        <v>14500</v>
      </c>
      <c r="H110">
        <v>2</v>
      </c>
      <c r="I110">
        <v>2</v>
      </c>
      <c r="J110">
        <v>23</v>
      </c>
      <c r="K110">
        <v>23</v>
      </c>
      <c r="L110">
        <v>570</v>
      </c>
      <c r="M110" t="s">
        <v>33</v>
      </c>
      <c r="N110" t="s">
        <v>29</v>
      </c>
      <c r="O110" t="s">
        <v>16</v>
      </c>
      <c r="P110" t="s">
        <v>31</v>
      </c>
      <c r="Q110" t="str">
        <f t="shared" si="9"/>
        <v>3</v>
      </c>
      <c r="R110" s="5">
        <v>46179</v>
      </c>
      <c r="S110" s="8">
        <f t="shared" si="10"/>
        <v>25.438596491228068</v>
      </c>
      <c r="T110">
        <f t="shared" si="11"/>
        <v>174000</v>
      </c>
      <c r="U110" t="str">
        <f t="shared" si="12"/>
        <v>Budget</v>
      </c>
      <c r="V110" t="str">
        <f t="shared" si="13"/>
        <v>Medium</v>
      </c>
      <c r="W110" t="str">
        <f>IF(S110 &lt; VLOOKUP(E110, Locality_Tier_Benchmarks!A:B, 2, FALSE) * 0.7, "Below Tier Range", "Normal")</f>
        <v>Normal</v>
      </c>
      <c r="X110" t="str">
        <f t="shared" si="14"/>
        <v>Normal</v>
      </c>
      <c r="Y110" t="str">
        <f t="shared" si="15"/>
        <v>Normal</v>
      </c>
      <c r="Z110" t="str">
        <f t="shared" si="8"/>
        <v>Pass</v>
      </c>
    </row>
    <row r="111" spans="1:26" x14ac:dyDescent="0.25">
      <c r="A111" s="2" t="s">
        <v>294</v>
      </c>
      <c r="B111" s="2" t="s">
        <v>17</v>
      </c>
      <c r="C111" s="2" t="s">
        <v>126</v>
      </c>
      <c r="D111" s="2" t="str">
        <f>VLOOKUP(C111,Locality_Reference!A:C,2,)</f>
        <v>Western Line</v>
      </c>
      <c r="E111" s="2" t="str">
        <f>VLOOKUP(C111,Locality_Reference!A:C,3,)</f>
        <v>Far Suburb</v>
      </c>
      <c r="F111" s="2" t="s">
        <v>140</v>
      </c>
      <c r="G111" s="8">
        <v>13000</v>
      </c>
      <c r="H111">
        <v>2</v>
      </c>
      <c r="I111">
        <v>3</v>
      </c>
      <c r="J111">
        <v>7</v>
      </c>
      <c r="K111">
        <v>8</v>
      </c>
      <c r="L111">
        <v>950</v>
      </c>
      <c r="M111" t="s">
        <v>33</v>
      </c>
      <c r="N111" t="s">
        <v>15</v>
      </c>
      <c r="O111" t="s">
        <v>16</v>
      </c>
      <c r="P111" t="s">
        <v>52</v>
      </c>
      <c r="Q111" t="str">
        <f t="shared" si="9"/>
        <v>7.5</v>
      </c>
      <c r="R111" s="5">
        <v>46168</v>
      </c>
      <c r="S111" s="8">
        <f t="shared" si="10"/>
        <v>13.684210526315789</v>
      </c>
      <c r="T111">
        <f t="shared" si="11"/>
        <v>156000</v>
      </c>
      <c r="U111" t="str">
        <f t="shared" si="12"/>
        <v>Budget</v>
      </c>
      <c r="V111" t="str">
        <f t="shared" si="13"/>
        <v>Large</v>
      </c>
      <c r="W111" t="str">
        <f>IF(S111 &lt; VLOOKUP(E111, Locality_Tier_Benchmarks!A:B, 2, FALSE) * 0.7, "Below Tier Range", "Normal")</f>
        <v>Normal</v>
      </c>
      <c r="X111" t="str">
        <f t="shared" si="14"/>
        <v>Normal</v>
      </c>
      <c r="Y111" t="str">
        <f t="shared" si="15"/>
        <v>Normal</v>
      </c>
      <c r="Z111" t="str">
        <f t="shared" si="8"/>
        <v>Pass</v>
      </c>
    </row>
    <row r="112" spans="1:26" x14ac:dyDescent="0.25">
      <c r="A112" s="2" t="s">
        <v>295</v>
      </c>
      <c r="B112" s="2" t="s">
        <v>17</v>
      </c>
      <c r="C112" s="2" t="s">
        <v>126</v>
      </c>
      <c r="D112" s="2" t="str">
        <f>VLOOKUP(C112,Locality_Reference!A:C,2,)</f>
        <v>Western Line</v>
      </c>
      <c r="E112" s="2" t="str">
        <f>VLOOKUP(C112,Locality_Reference!A:C,3,)</f>
        <v>Far Suburb</v>
      </c>
      <c r="F112" s="2" t="s">
        <v>132</v>
      </c>
      <c r="G112" s="8">
        <v>14200</v>
      </c>
      <c r="H112">
        <v>2</v>
      </c>
      <c r="I112">
        <v>2</v>
      </c>
      <c r="J112">
        <v>6</v>
      </c>
      <c r="K112">
        <v>15</v>
      </c>
      <c r="L112">
        <v>550</v>
      </c>
      <c r="M112" t="s">
        <v>33</v>
      </c>
      <c r="N112" t="s">
        <v>15</v>
      </c>
      <c r="O112" t="s">
        <v>16</v>
      </c>
      <c r="P112" t="s">
        <v>34</v>
      </c>
      <c r="Q112" t="str">
        <f t="shared" si="9"/>
        <v/>
      </c>
      <c r="R112" s="5">
        <v>46181</v>
      </c>
      <c r="S112" s="8">
        <f t="shared" si="10"/>
        <v>25.818181818181817</v>
      </c>
      <c r="T112">
        <f t="shared" si="11"/>
        <v>170400</v>
      </c>
      <c r="U112" t="str">
        <f t="shared" si="12"/>
        <v>Budget</v>
      </c>
      <c r="V112" t="str">
        <f t="shared" si="13"/>
        <v>Medium</v>
      </c>
      <c r="W112" t="str">
        <f>IF(S112 &lt; VLOOKUP(E112, Locality_Tier_Benchmarks!A:B, 2, FALSE) * 0.7, "Below Tier Range", "Normal")</f>
        <v>Normal</v>
      </c>
      <c r="X112" t="str">
        <f t="shared" si="14"/>
        <v>Normal</v>
      </c>
      <c r="Y112" t="str">
        <f t="shared" si="15"/>
        <v>Normal</v>
      </c>
      <c r="Z112" t="str">
        <f t="shared" si="8"/>
        <v>Pass</v>
      </c>
    </row>
    <row r="113" spans="1:26" x14ac:dyDescent="0.25">
      <c r="A113" s="2" t="s">
        <v>296</v>
      </c>
      <c r="B113" s="2" t="s">
        <v>17</v>
      </c>
      <c r="C113" s="2" t="s">
        <v>126</v>
      </c>
      <c r="D113" s="2" t="str">
        <f>VLOOKUP(C113,Locality_Reference!A:C,2,)</f>
        <v>Western Line</v>
      </c>
      <c r="E113" s="2" t="str">
        <f>VLOOKUP(C113,Locality_Reference!A:C,3,)</f>
        <v>Far Suburb</v>
      </c>
      <c r="F113" s="2" t="s">
        <v>139</v>
      </c>
      <c r="G113" s="8">
        <v>18000</v>
      </c>
      <c r="H113">
        <v>3</v>
      </c>
      <c r="I113">
        <v>3</v>
      </c>
      <c r="J113">
        <v>13</v>
      </c>
      <c r="K113">
        <v>23</v>
      </c>
      <c r="L113">
        <v>870</v>
      </c>
      <c r="M113" t="s">
        <v>33</v>
      </c>
      <c r="N113" t="s">
        <v>29</v>
      </c>
      <c r="O113" t="s">
        <v>16</v>
      </c>
      <c r="P113" t="s">
        <v>31</v>
      </c>
      <c r="Q113" t="str">
        <f t="shared" si="9"/>
        <v>3</v>
      </c>
      <c r="R113" s="5">
        <v>46178</v>
      </c>
      <c r="S113" s="8">
        <f t="shared" si="10"/>
        <v>20.689655172413794</v>
      </c>
      <c r="T113">
        <f t="shared" si="11"/>
        <v>216000</v>
      </c>
      <c r="U113" t="str">
        <f t="shared" si="12"/>
        <v>Budget</v>
      </c>
      <c r="V113" t="str">
        <f t="shared" si="13"/>
        <v>Large</v>
      </c>
      <c r="W113" t="str">
        <f>IF(S113 &lt; VLOOKUP(E113, Locality_Tier_Benchmarks!A:B, 2, FALSE) * 0.7, "Below Tier Range", "Normal")</f>
        <v>Normal</v>
      </c>
      <c r="X113" t="str">
        <f t="shared" si="14"/>
        <v>Normal</v>
      </c>
      <c r="Y113" t="str">
        <f t="shared" si="15"/>
        <v>Normal</v>
      </c>
      <c r="Z113" t="str">
        <f t="shared" si="8"/>
        <v>Pass</v>
      </c>
    </row>
    <row r="114" spans="1:26" x14ac:dyDescent="0.25">
      <c r="A114" s="2" t="s">
        <v>297</v>
      </c>
      <c r="B114" s="2" t="s">
        <v>17</v>
      </c>
      <c r="C114" s="2" t="s">
        <v>126</v>
      </c>
      <c r="D114" s="2" t="str">
        <f>VLOOKUP(C114,Locality_Reference!A:C,2,)</f>
        <v>Western Line</v>
      </c>
      <c r="E114" s="2" t="str">
        <f>VLOOKUP(C114,Locality_Reference!A:C,3,)</f>
        <v>Far Suburb</v>
      </c>
      <c r="F114" s="2" t="s">
        <v>139</v>
      </c>
      <c r="G114" s="8">
        <v>17000</v>
      </c>
      <c r="H114">
        <v>3</v>
      </c>
      <c r="I114">
        <v>3</v>
      </c>
      <c r="J114">
        <v>18</v>
      </c>
      <c r="K114">
        <v>23</v>
      </c>
      <c r="L114">
        <v>751</v>
      </c>
      <c r="M114" t="s">
        <v>33</v>
      </c>
      <c r="N114" t="s">
        <v>29</v>
      </c>
      <c r="O114" t="s">
        <v>16</v>
      </c>
      <c r="P114" t="s">
        <v>31</v>
      </c>
      <c r="Q114" t="str">
        <f t="shared" si="9"/>
        <v>3</v>
      </c>
      <c r="R114" s="5">
        <v>46191</v>
      </c>
      <c r="S114" s="8">
        <f t="shared" si="10"/>
        <v>22.63648468708389</v>
      </c>
      <c r="T114">
        <f t="shared" si="11"/>
        <v>204000</v>
      </c>
      <c r="U114" t="str">
        <f t="shared" si="12"/>
        <v>Budget</v>
      </c>
      <c r="V114" t="str">
        <f t="shared" si="13"/>
        <v>Medium</v>
      </c>
      <c r="W114" t="str">
        <f>IF(S114 &lt; VLOOKUP(E114, Locality_Tier_Benchmarks!A:B, 2, FALSE) * 0.7, "Below Tier Range", "Normal")</f>
        <v>Normal</v>
      </c>
      <c r="X114" t="str">
        <f t="shared" si="14"/>
        <v>Normal</v>
      </c>
      <c r="Y114" t="str">
        <f t="shared" si="15"/>
        <v>Normal</v>
      </c>
      <c r="Z114" t="str">
        <f t="shared" si="8"/>
        <v>Pass</v>
      </c>
    </row>
    <row r="115" spans="1:26" x14ac:dyDescent="0.25">
      <c r="A115" s="2" t="s">
        <v>298</v>
      </c>
      <c r="B115" s="2" t="s">
        <v>17</v>
      </c>
      <c r="C115" s="2" t="s">
        <v>127</v>
      </c>
      <c r="D115" s="2" t="str">
        <f>VLOOKUP(C115,Locality_Reference!A:C,2,)</f>
        <v>Western Line</v>
      </c>
      <c r="E115" s="2" t="str">
        <f>VLOOKUP(C115,Locality_Reference!A:C,3,)</f>
        <v>Far Suburb</v>
      </c>
      <c r="F115" s="2" t="s">
        <v>134</v>
      </c>
      <c r="G115" s="8">
        <v>12000</v>
      </c>
      <c r="H115">
        <v>1</v>
      </c>
      <c r="I115">
        <v>2</v>
      </c>
      <c r="J115">
        <v>3</v>
      </c>
      <c r="K115">
        <v>7</v>
      </c>
      <c r="L115">
        <v>500</v>
      </c>
      <c r="M115" t="s">
        <v>36</v>
      </c>
      <c r="N115" t="s">
        <v>29</v>
      </c>
      <c r="O115" t="s">
        <v>16</v>
      </c>
      <c r="P115" t="s">
        <v>47</v>
      </c>
      <c r="Q115" t="str">
        <f t="shared" si="9"/>
        <v>1</v>
      </c>
      <c r="R115" s="5">
        <v>46193</v>
      </c>
      <c r="S115" s="8">
        <f t="shared" si="10"/>
        <v>24</v>
      </c>
      <c r="T115">
        <f t="shared" si="11"/>
        <v>144000</v>
      </c>
      <c r="U115" t="str">
        <f t="shared" si="12"/>
        <v>Budget</v>
      </c>
      <c r="V115" t="str">
        <f t="shared" si="13"/>
        <v>Compact</v>
      </c>
      <c r="W115" t="str">
        <f>IF(S115 &lt; VLOOKUP(E115, Locality_Tier_Benchmarks!A:B, 2, FALSE) * 0.7, "Below Tier Range", "Normal")</f>
        <v>Normal</v>
      </c>
      <c r="X115" t="str">
        <f t="shared" si="14"/>
        <v>Normal</v>
      </c>
      <c r="Y115" t="str">
        <f t="shared" si="15"/>
        <v>Normal</v>
      </c>
      <c r="Z115" t="str">
        <f t="shared" si="8"/>
        <v>Pass</v>
      </c>
    </row>
    <row r="116" spans="1:26" x14ac:dyDescent="0.25">
      <c r="A116" s="2" t="s">
        <v>299</v>
      </c>
      <c r="B116" s="2" t="s">
        <v>17</v>
      </c>
      <c r="C116" s="2" t="s">
        <v>127</v>
      </c>
      <c r="D116" s="2" t="str">
        <f>VLOOKUP(C116,Locality_Reference!A:C,2,)</f>
        <v>Western Line</v>
      </c>
      <c r="E116" s="2" t="str">
        <f>VLOOKUP(C116,Locality_Reference!A:C,3,)</f>
        <v>Far Suburb</v>
      </c>
      <c r="F116" s="2" t="s">
        <v>135</v>
      </c>
      <c r="G116" s="8">
        <v>13000</v>
      </c>
      <c r="H116">
        <v>1</v>
      </c>
      <c r="I116">
        <v>1</v>
      </c>
      <c r="J116">
        <v>2</v>
      </c>
      <c r="K116">
        <v>2</v>
      </c>
      <c r="L116">
        <v>555</v>
      </c>
      <c r="M116" t="s">
        <v>14</v>
      </c>
      <c r="N116" t="s">
        <v>29</v>
      </c>
      <c r="O116" t="s">
        <v>16</v>
      </c>
      <c r="P116" t="s">
        <v>23</v>
      </c>
      <c r="Q116" t="str">
        <f t="shared" si="9"/>
        <v>10</v>
      </c>
      <c r="R116" s="5">
        <v>46154</v>
      </c>
      <c r="S116" s="8">
        <f t="shared" si="10"/>
        <v>23.423423423423422</v>
      </c>
      <c r="T116">
        <f t="shared" si="11"/>
        <v>156000</v>
      </c>
      <c r="U116" t="str">
        <f t="shared" si="12"/>
        <v>Budget</v>
      </c>
      <c r="V116" t="str">
        <f t="shared" si="13"/>
        <v>Medium</v>
      </c>
      <c r="W116" t="str">
        <f>IF(S116 &lt; VLOOKUP(E116, Locality_Tier_Benchmarks!A:B, 2, FALSE) * 0.7, "Below Tier Range", "Normal")</f>
        <v>Normal</v>
      </c>
      <c r="X116" t="str">
        <f t="shared" si="14"/>
        <v>Normal</v>
      </c>
      <c r="Y116" t="str">
        <f t="shared" si="15"/>
        <v>Normal</v>
      </c>
      <c r="Z116" t="str">
        <f t="shared" si="8"/>
        <v>Pass</v>
      </c>
    </row>
    <row r="117" spans="1:26" x14ac:dyDescent="0.25">
      <c r="A117" s="2" t="s">
        <v>300</v>
      </c>
      <c r="B117" s="2" t="s">
        <v>17</v>
      </c>
      <c r="C117" s="2" t="s">
        <v>141</v>
      </c>
      <c r="D117" s="2" t="str">
        <f>VLOOKUP(C117,Locality_Reference!A:C,2,)</f>
        <v>Western Line</v>
      </c>
      <c r="E117" s="2" t="str">
        <f>VLOOKUP(C117,Locality_Reference!A:C,3,)</f>
        <v>Outer Periphery</v>
      </c>
      <c r="F117" s="2" t="s">
        <v>143</v>
      </c>
      <c r="G117" s="8">
        <v>14000</v>
      </c>
      <c r="H117">
        <v>1</v>
      </c>
      <c r="I117">
        <v>2</v>
      </c>
      <c r="J117">
        <v>11</v>
      </c>
      <c r="K117">
        <v>23</v>
      </c>
      <c r="L117">
        <v>464</v>
      </c>
      <c r="M117" t="s">
        <v>36</v>
      </c>
      <c r="N117" t="s">
        <v>15</v>
      </c>
      <c r="O117" t="s">
        <v>16</v>
      </c>
      <c r="P117" t="s">
        <v>34</v>
      </c>
      <c r="Q117" t="str">
        <f t="shared" si="9"/>
        <v/>
      </c>
      <c r="R117" s="5">
        <v>46196</v>
      </c>
      <c r="S117" s="8">
        <f t="shared" si="10"/>
        <v>30.172413793103448</v>
      </c>
      <c r="T117">
        <f t="shared" si="11"/>
        <v>168000</v>
      </c>
      <c r="U117" t="str">
        <f t="shared" si="12"/>
        <v>Budget</v>
      </c>
      <c r="V117" t="str">
        <f t="shared" si="13"/>
        <v>Compact</v>
      </c>
      <c r="W117" t="str">
        <f>IF(S117 &lt; VLOOKUP(E117, Locality_Tier_Benchmarks!A:B, 2, FALSE) * 0.7, "Below Tier Range", "Normal")</f>
        <v>Normal</v>
      </c>
      <c r="X117" t="str">
        <f t="shared" si="14"/>
        <v>Normal</v>
      </c>
      <c r="Y117" t="str">
        <f t="shared" si="15"/>
        <v>Normal</v>
      </c>
      <c r="Z117" t="str">
        <f t="shared" si="8"/>
        <v>Pass</v>
      </c>
    </row>
    <row r="118" spans="1:26" x14ac:dyDescent="0.25">
      <c r="A118" s="2" t="s">
        <v>301</v>
      </c>
      <c r="B118" s="2" t="s">
        <v>17</v>
      </c>
      <c r="C118" s="2" t="s">
        <v>141</v>
      </c>
      <c r="D118" s="2" t="str">
        <f>VLOOKUP(C118,Locality_Reference!A:C,2,)</f>
        <v>Western Line</v>
      </c>
      <c r="E118" s="2" t="str">
        <f>VLOOKUP(C118,Locality_Reference!A:C,3,)</f>
        <v>Outer Periphery</v>
      </c>
      <c r="F118" s="2" t="s">
        <v>144</v>
      </c>
      <c r="G118" s="8">
        <v>13000</v>
      </c>
      <c r="H118">
        <v>1</v>
      </c>
      <c r="I118">
        <v>2</v>
      </c>
      <c r="J118">
        <v>3</v>
      </c>
      <c r="K118">
        <v>7</v>
      </c>
      <c r="L118">
        <v>460</v>
      </c>
      <c r="M118" t="s">
        <v>36</v>
      </c>
      <c r="N118" t="s">
        <v>15</v>
      </c>
      <c r="O118" t="s">
        <v>16</v>
      </c>
      <c r="P118" t="s">
        <v>31</v>
      </c>
      <c r="Q118" t="str">
        <f t="shared" si="9"/>
        <v>3</v>
      </c>
      <c r="R118" s="5">
        <v>46176</v>
      </c>
      <c r="S118" s="8">
        <f t="shared" si="10"/>
        <v>28.260869565217391</v>
      </c>
      <c r="T118">
        <f t="shared" si="11"/>
        <v>156000</v>
      </c>
      <c r="U118" t="str">
        <f t="shared" si="12"/>
        <v>Budget</v>
      </c>
      <c r="V118" t="str">
        <f t="shared" si="13"/>
        <v>Compact</v>
      </c>
      <c r="W118" t="str">
        <f>IF(S118 &lt; VLOOKUP(E118, Locality_Tier_Benchmarks!A:B, 2, FALSE) * 0.7, "Below Tier Range", "Normal")</f>
        <v>Normal</v>
      </c>
      <c r="X118" t="str">
        <f t="shared" si="14"/>
        <v>Normal</v>
      </c>
      <c r="Y118" t="str">
        <f t="shared" si="15"/>
        <v>Normal</v>
      </c>
      <c r="Z118" t="str">
        <f t="shared" si="8"/>
        <v>Pass</v>
      </c>
    </row>
    <row r="119" spans="1:26" x14ac:dyDescent="0.25">
      <c r="A119" s="2" t="s">
        <v>302</v>
      </c>
      <c r="B119" s="2" t="s">
        <v>17</v>
      </c>
      <c r="C119" s="2" t="s">
        <v>141</v>
      </c>
      <c r="D119" s="2" t="str">
        <f>VLOOKUP(C119,Locality_Reference!A:C,2,)</f>
        <v>Western Line</v>
      </c>
      <c r="E119" s="2" t="str">
        <f>VLOOKUP(C119,Locality_Reference!A:C,3,)</f>
        <v>Outer Periphery</v>
      </c>
      <c r="F119" s="2" t="s">
        <v>145</v>
      </c>
      <c r="G119" s="8">
        <v>11000</v>
      </c>
      <c r="H119">
        <v>1</v>
      </c>
      <c r="I119">
        <v>1</v>
      </c>
      <c r="J119">
        <v>4</v>
      </c>
      <c r="K119">
        <v>23</v>
      </c>
      <c r="L119">
        <v>480</v>
      </c>
      <c r="M119" t="s">
        <v>36</v>
      </c>
      <c r="N119" t="s">
        <v>15</v>
      </c>
      <c r="O119" t="s">
        <v>16</v>
      </c>
      <c r="P119" t="s">
        <v>34</v>
      </c>
      <c r="Q119" t="str">
        <f t="shared" si="9"/>
        <v/>
      </c>
      <c r="R119" s="5">
        <v>46193</v>
      </c>
      <c r="S119" s="8">
        <f t="shared" si="10"/>
        <v>22.916666666666668</v>
      </c>
      <c r="T119">
        <f t="shared" si="11"/>
        <v>132000</v>
      </c>
      <c r="U119" t="str">
        <f t="shared" si="12"/>
        <v>Budget</v>
      </c>
      <c r="V119" t="str">
        <f t="shared" si="13"/>
        <v>Compact</v>
      </c>
      <c r="W119" t="str">
        <f>IF(S119 &lt; VLOOKUP(E119, Locality_Tier_Benchmarks!A:B, 2, FALSE) * 0.7, "Below Tier Range", "Normal")</f>
        <v>Normal</v>
      </c>
      <c r="X119" t="str">
        <f t="shared" si="14"/>
        <v>Normal</v>
      </c>
      <c r="Y119" t="str">
        <f t="shared" si="15"/>
        <v>Normal</v>
      </c>
      <c r="Z119" t="str">
        <f t="shared" si="8"/>
        <v>Pass</v>
      </c>
    </row>
    <row r="120" spans="1:26" x14ac:dyDescent="0.25">
      <c r="A120" s="2" t="s">
        <v>303</v>
      </c>
      <c r="B120" s="2" t="s">
        <v>17</v>
      </c>
      <c r="C120" s="2" t="s">
        <v>141</v>
      </c>
      <c r="D120" s="2" t="str">
        <f>VLOOKUP(C120,Locality_Reference!A:C,2,)</f>
        <v>Western Line</v>
      </c>
      <c r="E120" s="2" t="str">
        <f>VLOOKUP(C120,Locality_Reference!A:C,3,)</f>
        <v>Outer Periphery</v>
      </c>
      <c r="F120" s="2" t="s">
        <v>146</v>
      </c>
      <c r="G120" s="8">
        <v>19000</v>
      </c>
      <c r="H120">
        <v>1</v>
      </c>
      <c r="I120">
        <v>1</v>
      </c>
      <c r="J120">
        <v>2</v>
      </c>
      <c r="K120">
        <v>4</v>
      </c>
      <c r="L120">
        <v>368</v>
      </c>
      <c r="M120" t="s">
        <v>14</v>
      </c>
      <c r="N120" t="s">
        <v>29</v>
      </c>
      <c r="O120" t="s">
        <v>16</v>
      </c>
      <c r="P120" t="s">
        <v>23</v>
      </c>
      <c r="Q120" t="str">
        <f t="shared" si="9"/>
        <v>10</v>
      </c>
      <c r="R120" s="5">
        <v>46190</v>
      </c>
      <c r="S120" s="8">
        <f t="shared" si="10"/>
        <v>51.630434782608695</v>
      </c>
      <c r="T120">
        <f t="shared" si="11"/>
        <v>228000</v>
      </c>
      <c r="U120" t="str">
        <f t="shared" si="12"/>
        <v>Budget</v>
      </c>
      <c r="V120" t="str">
        <f t="shared" si="13"/>
        <v>Compact</v>
      </c>
      <c r="W120" t="str">
        <f>IF(S120 &lt; VLOOKUP(E120, Locality_Tier_Benchmarks!A:B, 2, FALSE) * 0.7, "Below Tier Range", "Normal")</f>
        <v>Normal</v>
      </c>
      <c r="X120" t="str">
        <f t="shared" si="14"/>
        <v>Normal</v>
      </c>
      <c r="Y120" t="str">
        <f t="shared" si="15"/>
        <v>Normal</v>
      </c>
      <c r="Z120" t="str">
        <f t="shared" si="8"/>
        <v>Pass</v>
      </c>
    </row>
    <row r="121" spans="1:26" x14ac:dyDescent="0.25">
      <c r="A121" s="2" t="s">
        <v>304</v>
      </c>
      <c r="B121" s="2" t="s">
        <v>17</v>
      </c>
      <c r="C121" s="2" t="s">
        <v>141</v>
      </c>
      <c r="D121" s="2" t="str">
        <f>VLOOKUP(C121,Locality_Reference!A:C,2,)</f>
        <v>Western Line</v>
      </c>
      <c r="E121" s="2" t="str">
        <f>VLOOKUP(C121,Locality_Reference!A:C,3,)</f>
        <v>Outer Periphery</v>
      </c>
      <c r="F121" s="2" t="s">
        <v>147</v>
      </c>
      <c r="G121" s="8">
        <v>18000</v>
      </c>
      <c r="H121">
        <v>1</v>
      </c>
      <c r="I121">
        <v>2</v>
      </c>
      <c r="J121">
        <v>17</v>
      </c>
      <c r="K121">
        <v>23</v>
      </c>
      <c r="L121">
        <v>715</v>
      </c>
      <c r="M121" t="s">
        <v>33</v>
      </c>
      <c r="N121" t="s">
        <v>15</v>
      </c>
      <c r="O121" t="s">
        <v>16</v>
      </c>
      <c r="P121" t="s">
        <v>47</v>
      </c>
      <c r="Q121" t="str">
        <f t="shared" si="9"/>
        <v>1</v>
      </c>
      <c r="R121" s="5">
        <v>46168</v>
      </c>
      <c r="S121" s="8">
        <f t="shared" si="10"/>
        <v>25.174825174825173</v>
      </c>
      <c r="T121">
        <f t="shared" si="11"/>
        <v>216000</v>
      </c>
      <c r="U121" t="str">
        <f t="shared" si="12"/>
        <v>Budget</v>
      </c>
      <c r="V121" t="str">
        <f t="shared" si="13"/>
        <v>Medium</v>
      </c>
      <c r="W121" t="str">
        <f>IF(S121 &lt; VLOOKUP(E121, Locality_Tier_Benchmarks!A:B, 2, FALSE) * 0.7, "Below Tier Range", "Normal")</f>
        <v>Normal</v>
      </c>
      <c r="X121" t="str">
        <f t="shared" si="14"/>
        <v>Normal</v>
      </c>
      <c r="Y121" t="str">
        <f t="shared" si="15"/>
        <v>Normal</v>
      </c>
      <c r="Z121" t="str">
        <f t="shared" si="8"/>
        <v>Pass</v>
      </c>
    </row>
    <row r="122" spans="1:26" x14ac:dyDescent="0.25">
      <c r="A122" s="2" t="s">
        <v>305</v>
      </c>
      <c r="B122" s="2" t="s">
        <v>17</v>
      </c>
      <c r="C122" s="2" t="s">
        <v>141</v>
      </c>
      <c r="D122" s="2" t="str">
        <f>VLOOKUP(C122,Locality_Reference!A:C,2,)</f>
        <v>Western Line</v>
      </c>
      <c r="E122" s="2" t="str">
        <f>VLOOKUP(C122,Locality_Reference!A:C,3,)</f>
        <v>Outer Periphery</v>
      </c>
      <c r="F122" s="2" t="s">
        <v>157</v>
      </c>
      <c r="G122" s="8">
        <v>17000</v>
      </c>
      <c r="H122">
        <v>2</v>
      </c>
      <c r="I122">
        <v>2</v>
      </c>
      <c r="J122">
        <v>11</v>
      </c>
      <c r="K122">
        <v>22</v>
      </c>
      <c r="L122">
        <v>620</v>
      </c>
      <c r="M122" t="s">
        <v>36</v>
      </c>
      <c r="N122" t="s">
        <v>15</v>
      </c>
      <c r="O122" t="s">
        <v>16</v>
      </c>
      <c r="P122" t="s">
        <v>34</v>
      </c>
      <c r="Q122" t="str">
        <f t="shared" si="9"/>
        <v/>
      </c>
      <c r="R122" s="5">
        <v>46182</v>
      </c>
      <c r="S122" s="8">
        <f t="shared" si="10"/>
        <v>27.419354838709676</v>
      </c>
      <c r="T122">
        <f t="shared" si="11"/>
        <v>204000</v>
      </c>
      <c r="U122" t="str">
        <f t="shared" si="12"/>
        <v>Budget</v>
      </c>
      <c r="V122" t="str">
        <f t="shared" si="13"/>
        <v>Medium</v>
      </c>
      <c r="W122" t="str">
        <f>IF(S122 &lt; VLOOKUP(E122, Locality_Tier_Benchmarks!A:B, 2, FALSE) * 0.7, "Below Tier Range", "Normal")</f>
        <v>Normal</v>
      </c>
      <c r="X122" t="str">
        <f t="shared" si="14"/>
        <v>Normal</v>
      </c>
      <c r="Y122" t="str">
        <f t="shared" si="15"/>
        <v>Normal</v>
      </c>
      <c r="Z122" t="str">
        <f t="shared" si="8"/>
        <v>Pass</v>
      </c>
    </row>
    <row r="123" spans="1:26" x14ac:dyDescent="0.25">
      <c r="A123" s="2" t="s">
        <v>306</v>
      </c>
      <c r="B123" s="2" t="s">
        <v>17</v>
      </c>
      <c r="C123" s="2" t="s">
        <v>141</v>
      </c>
      <c r="D123" s="2" t="str">
        <f>VLOOKUP(C123,Locality_Reference!A:C,2,)</f>
        <v>Western Line</v>
      </c>
      <c r="E123" s="2" t="str">
        <f>VLOOKUP(C123,Locality_Reference!A:C,3,)</f>
        <v>Outer Periphery</v>
      </c>
      <c r="F123" s="2" t="s">
        <v>147</v>
      </c>
      <c r="G123" s="8">
        <v>16800</v>
      </c>
      <c r="H123">
        <v>2</v>
      </c>
      <c r="I123">
        <v>2</v>
      </c>
      <c r="J123">
        <v>15</v>
      </c>
      <c r="K123">
        <v>23</v>
      </c>
      <c r="L123">
        <v>605</v>
      </c>
      <c r="M123" t="s">
        <v>36</v>
      </c>
      <c r="N123" t="s">
        <v>15</v>
      </c>
      <c r="O123" t="s">
        <v>16</v>
      </c>
      <c r="P123" t="s">
        <v>47</v>
      </c>
      <c r="Q123" t="str">
        <f t="shared" si="9"/>
        <v>1</v>
      </c>
      <c r="R123" s="5">
        <v>46196</v>
      </c>
      <c r="S123" s="8">
        <f t="shared" si="10"/>
        <v>27.768595041322314</v>
      </c>
      <c r="T123">
        <f t="shared" si="11"/>
        <v>201600</v>
      </c>
      <c r="U123" t="str">
        <f t="shared" si="12"/>
        <v>Budget</v>
      </c>
      <c r="V123" t="str">
        <f t="shared" si="13"/>
        <v>Medium</v>
      </c>
      <c r="W123" t="str">
        <f>IF(S123 &lt; VLOOKUP(E123, Locality_Tier_Benchmarks!A:B, 2, FALSE) * 0.7, "Below Tier Range", "Normal")</f>
        <v>Normal</v>
      </c>
      <c r="X123" t="str">
        <f t="shared" si="14"/>
        <v>Normal</v>
      </c>
      <c r="Y123" t="str">
        <f t="shared" si="15"/>
        <v>Normal</v>
      </c>
      <c r="Z123" t="str">
        <f t="shared" si="8"/>
        <v>Pass</v>
      </c>
    </row>
    <row r="124" spans="1:26" x14ac:dyDescent="0.25">
      <c r="A124" s="2" t="s">
        <v>307</v>
      </c>
      <c r="B124" s="2" t="s">
        <v>17</v>
      </c>
      <c r="C124" s="2" t="s">
        <v>141</v>
      </c>
      <c r="D124" s="2" t="str">
        <f>VLOOKUP(C124,Locality_Reference!A:C,2,)</f>
        <v>Western Line</v>
      </c>
      <c r="E124" s="2" t="str">
        <f>VLOOKUP(C124,Locality_Reference!A:C,3,)</f>
        <v>Outer Periphery</v>
      </c>
      <c r="F124" s="2" t="s">
        <v>158</v>
      </c>
      <c r="G124" s="8">
        <v>15000</v>
      </c>
      <c r="H124">
        <v>2</v>
      </c>
      <c r="I124">
        <v>2</v>
      </c>
      <c r="J124">
        <v>7</v>
      </c>
      <c r="K124">
        <v>7</v>
      </c>
      <c r="L124">
        <v>650</v>
      </c>
      <c r="M124" t="s">
        <v>36</v>
      </c>
      <c r="N124" t="s">
        <v>15</v>
      </c>
      <c r="O124" t="s">
        <v>16</v>
      </c>
      <c r="P124" t="s">
        <v>34</v>
      </c>
      <c r="Q124" t="str">
        <f t="shared" si="9"/>
        <v/>
      </c>
      <c r="R124" s="5">
        <v>46190</v>
      </c>
      <c r="S124" s="8">
        <f t="shared" si="10"/>
        <v>23.076923076923077</v>
      </c>
      <c r="T124">
        <f t="shared" si="11"/>
        <v>180000</v>
      </c>
      <c r="U124" t="str">
        <f t="shared" si="12"/>
        <v>Budget</v>
      </c>
      <c r="V124" t="str">
        <f t="shared" si="13"/>
        <v>Medium</v>
      </c>
      <c r="W124" t="str">
        <f>IF(S124 &lt; VLOOKUP(E124, Locality_Tier_Benchmarks!A:B, 2, FALSE) * 0.7, "Below Tier Range", "Normal")</f>
        <v>Normal</v>
      </c>
      <c r="X124" t="str">
        <f t="shared" si="14"/>
        <v>Normal</v>
      </c>
      <c r="Y124" t="str">
        <f t="shared" si="15"/>
        <v>Normal</v>
      </c>
      <c r="Z124" t="str">
        <f t="shared" si="8"/>
        <v>Pass</v>
      </c>
    </row>
    <row r="125" spans="1:26" x14ac:dyDescent="0.25">
      <c r="A125" s="2" t="s">
        <v>308</v>
      </c>
      <c r="B125" s="2" t="s">
        <v>17</v>
      </c>
      <c r="C125" s="2" t="s">
        <v>141</v>
      </c>
      <c r="D125" s="2" t="str">
        <f>VLOOKUP(C125,Locality_Reference!A:C,2,)</f>
        <v>Western Line</v>
      </c>
      <c r="E125" s="2" t="str">
        <f>VLOOKUP(C125,Locality_Reference!A:C,3,)</f>
        <v>Outer Periphery</v>
      </c>
      <c r="F125" s="2" t="s">
        <v>159</v>
      </c>
      <c r="G125" s="8">
        <v>22000</v>
      </c>
      <c r="H125">
        <v>2</v>
      </c>
      <c r="I125">
        <v>2</v>
      </c>
      <c r="J125">
        <v>12</v>
      </c>
      <c r="K125">
        <v>14</v>
      </c>
      <c r="L125">
        <v>567.15</v>
      </c>
      <c r="M125" t="s">
        <v>36</v>
      </c>
      <c r="N125" t="s">
        <v>15</v>
      </c>
      <c r="O125" t="s">
        <v>16</v>
      </c>
      <c r="P125" t="s">
        <v>31</v>
      </c>
      <c r="Q125" t="str">
        <f t="shared" si="9"/>
        <v>3</v>
      </c>
      <c r="R125" s="5">
        <v>46165</v>
      </c>
      <c r="S125" s="8">
        <f t="shared" si="10"/>
        <v>38.79044344529666</v>
      </c>
      <c r="T125">
        <f t="shared" si="11"/>
        <v>264000</v>
      </c>
      <c r="U125" t="str">
        <f t="shared" si="12"/>
        <v>Budget</v>
      </c>
      <c r="V125" t="str">
        <f t="shared" si="13"/>
        <v>Medium</v>
      </c>
      <c r="W125" t="str">
        <f>IF(S125 &lt; VLOOKUP(E125, Locality_Tier_Benchmarks!A:B, 2, FALSE) * 0.7, "Below Tier Range", "Normal")</f>
        <v>Normal</v>
      </c>
      <c r="X125" t="str">
        <f t="shared" si="14"/>
        <v>Normal</v>
      </c>
      <c r="Y125" t="str">
        <f t="shared" si="15"/>
        <v>Normal</v>
      </c>
      <c r="Z125" t="str">
        <f t="shared" si="8"/>
        <v>Pass</v>
      </c>
    </row>
    <row r="126" spans="1:26" x14ac:dyDescent="0.25">
      <c r="A126" s="2" t="s">
        <v>309</v>
      </c>
      <c r="B126" s="2" t="s">
        <v>17</v>
      </c>
      <c r="C126" s="2" t="s">
        <v>141</v>
      </c>
      <c r="D126" s="2" t="str">
        <f>VLOOKUP(C126,Locality_Reference!A:C,2,)</f>
        <v>Western Line</v>
      </c>
      <c r="E126" s="2" t="str">
        <f>VLOOKUP(C126,Locality_Reference!A:C,3,)</f>
        <v>Outer Periphery</v>
      </c>
      <c r="F126" s="2" t="s">
        <v>160</v>
      </c>
      <c r="G126" s="8">
        <v>14000</v>
      </c>
      <c r="H126">
        <v>2</v>
      </c>
      <c r="I126">
        <v>2</v>
      </c>
      <c r="J126">
        <v>3</v>
      </c>
      <c r="K126">
        <v>7</v>
      </c>
      <c r="L126">
        <v>480</v>
      </c>
      <c r="M126" t="s">
        <v>36</v>
      </c>
      <c r="N126" t="s">
        <v>15</v>
      </c>
      <c r="O126" t="s">
        <v>16</v>
      </c>
      <c r="P126" t="s">
        <v>34</v>
      </c>
      <c r="Q126" t="str">
        <f t="shared" si="9"/>
        <v/>
      </c>
      <c r="R126" s="5">
        <v>46175</v>
      </c>
      <c r="S126" s="8">
        <f t="shared" si="10"/>
        <v>29.166666666666668</v>
      </c>
      <c r="T126">
        <f t="shared" si="11"/>
        <v>168000</v>
      </c>
      <c r="U126" t="str">
        <f t="shared" si="12"/>
        <v>Budget</v>
      </c>
      <c r="V126" t="str">
        <f t="shared" si="13"/>
        <v>Compact</v>
      </c>
      <c r="W126" t="str">
        <f>IF(S126 &lt; VLOOKUP(E126, Locality_Tier_Benchmarks!A:B, 2, FALSE) * 0.7, "Below Tier Range", "Normal")</f>
        <v>Normal</v>
      </c>
      <c r="X126" t="str">
        <f t="shared" si="14"/>
        <v>Normal</v>
      </c>
      <c r="Y126" t="str">
        <f t="shared" si="15"/>
        <v>Normal</v>
      </c>
      <c r="Z126" t="str">
        <f t="shared" si="8"/>
        <v>Pass</v>
      </c>
    </row>
    <row r="127" spans="1:26" x14ac:dyDescent="0.25">
      <c r="A127" s="2" t="s">
        <v>310</v>
      </c>
      <c r="B127" s="2" t="s">
        <v>17</v>
      </c>
      <c r="C127" s="2" t="s">
        <v>141</v>
      </c>
      <c r="D127" s="2" t="str">
        <f>VLOOKUP(C127,Locality_Reference!A:C,2,)</f>
        <v>Western Line</v>
      </c>
      <c r="E127" s="2" t="str">
        <f>VLOOKUP(C127,Locality_Reference!A:C,3,)</f>
        <v>Outer Periphery</v>
      </c>
      <c r="F127" s="2" t="s">
        <v>144</v>
      </c>
      <c r="G127" s="8">
        <v>27000</v>
      </c>
      <c r="H127">
        <v>3</v>
      </c>
      <c r="I127">
        <v>3</v>
      </c>
      <c r="J127">
        <v>2</v>
      </c>
      <c r="K127">
        <v>7</v>
      </c>
      <c r="L127">
        <v>900</v>
      </c>
      <c r="M127" t="s">
        <v>36</v>
      </c>
      <c r="N127" t="s">
        <v>15</v>
      </c>
      <c r="O127" t="s">
        <v>16</v>
      </c>
      <c r="P127" t="s">
        <v>31</v>
      </c>
      <c r="Q127" t="str">
        <f t="shared" si="9"/>
        <v>3</v>
      </c>
      <c r="R127" s="5">
        <v>46170</v>
      </c>
      <c r="S127" s="8">
        <f t="shared" si="10"/>
        <v>30</v>
      </c>
      <c r="T127">
        <f t="shared" si="11"/>
        <v>324000</v>
      </c>
      <c r="U127" t="str">
        <f t="shared" si="12"/>
        <v>Budget</v>
      </c>
      <c r="V127" t="str">
        <f t="shared" si="13"/>
        <v>Large</v>
      </c>
      <c r="W127" t="str">
        <f>IF(S127 &lt; VLOOKUP(E127, Locality_Tier_Benchmarks!A:B, 2, FALSE) * 0.7, "Below Tier Range", "Normal")</f>
        <v>Normal</v>
      </c>
      <c r="X127" t="str">
        <f t="shared" si="14"/>
        <v>Normal</v>
      </c>
      <c r="Y127" t="str">
        <f t="shared" si="15"/>
        <v>Normal</v>
      </c>
      <c r="Z127" t="str">
        <f t="shared" si="8"/>
        <v>Pass</v>
      </c>
    </row>
    <row r="128" spans="1:26" x14ac:dyDescent="0.25">
      <c r="A128" s="2" t="s">
        <v>311</v>
      </c>
      <c r="B128" s="2" t="s">
        <v>17</v>
      </c>
      <c r="C128" s="2" t="s">
        <v>141</v>
      </c>
      <c r="D128" s="2" t="str">
        <f>VLOOKUP(C128,Locality_Reference!A:C,2,)</f>
        <v>Western Line</v>
      </c>
      <c r="E128" s="2" t="str">
        <f>VLOOKUP(C128,Locality_Reference!A:C,3,)</f>
        <v>Outer Periphery</v>
      </c>
      <c r="F128" s="2" t="s">
        <v>161</v>
      </c>
      <c r="G128" s="8">
        <v>30000</v>
      </c>
      <c r="H128">
        <v>3</v>
      </c>
      <c r="I128">
        <v>4</v>
      </c>
      <c r="J128">
        <v>4</v>
      </c>
      <c r="K128">
        <v>4</v>
      </c>
      <c r="L128">
        <v>1200</v>
      </c>
      <c r="M128" t="s">
        <v>14</v>
      </c>
      <c r="N128" t="s">
        <v>15</v>
      </c>
      <c r="O128" t="s">
        <v>16</v>
      </c>
      <c r="P128" t="s">
        <v>34</v>
      </c>
      <c r="Q128" t="str">
        <f t="shared" si="9"/>
        <v/>
      </c>
      <c r="R128" s="5">
        <v>46179</v>
      </c>
      <c r="S128" s="8">
        <f t="shared" si="10"/>
        <v>25</v>
      </c>
      <c r="T128">
        <f t="shared" si="11"/>
        <v>360000</v>
      </c>
      <c r="U128" t="str">
        <f t="shared" si="12"/>
        <v>Budget</v>
      </c>
      <c r="V128" t="str">
        <f t="shared" si="13"/>
        <v>Large</v>
      </c>
      <c r="W128" t="str">
        <f>IF(S128 &lt; VLOOKUP(E128, Locality_Tier_Benchmarks!A:B, 2, FALSE) * 0.7, "Below Tier Range", "Normal")</f>
        <v>Normal</v>
      </c>
      <c r="X128" t="str">
        <f t="shared" si="14"/>
        <v>Normal</v>
      </c>
      <c r="Y128" t="str">
        <f t="shared" si="15"/>
        <v>Normal</v>
      </c>
      <c r="Z128" t="str">
        <f t="shared" si="8"/>
        <v>Pass</v>
      </c>
    </row>
    <row r="129" spans="1:26" x14ac:dyDescent="0.25">
      <c r="A129" s="2" t="s">
        <v>312</v>
      </c>
      <c r="B129" s="2" t="s">
        <v>17</v>
      </c>
      <c r="C129" s="2" t="s">
        <v>142</v>
      </c>
      <c r="D129" s="2" t="str">
        <f>VLOOKUP(C129,Locality_Reference!A:C,2,)</f>
        <v>Western Line</v>
      </c>
      <c r="E129" s="2" t="str">
        <f>VLOOKUP(C129,Locality_Reference!A:C,3,)</f>
        <v>Outer Periphery</v>
      </c>
      <c r="F129" s="2" t="s">
        <v>148</v>
      </c>
      <c r="G129" s="8">
        <v>16000</v>
      </c>
      <c r="H129">
        <v>1</v>
      </c>
      <c r="I129">
        <v>2</v>
      </c>
      <c r="J129">
        <v>9</v>
      </c>
      <c r="K129">
        <v>9</v>
      </c>
      <c r="L129">
        <v>400</v>
      </c>
      <c r="M129" t="s">
        <v>33</v>
      </c>
      <c r="N129" t="s">
        <v>15</v>
      </c>
      <c r="O129" t="s">
        <v>16</v>
      </c>
      <c r="P129" t="s">
        <v>31</v>
      </c>
      <c r="Q129" t="str">
        <f t="shared" si="9"/>
        <v>3</v>
      </c>
      <c r="R129" s="5">
        <v>46189</v>
      </c>
      <c r="S129" s="8">
        <f t="shared" si="10"/>
        <v>40</v>
      </c>
      <c r="T129">
        <f t="shared" si="11"/>
        <v>192000</v>
      </c>
      <c r="U129" t="str">
        <f t="shared" si="12"/>
        <v>Budget</v>
      </c>
      <c r="V129" t="str">
        <f t="shared" si="13"/>
        <v>Compact</v>
      </c>
      <c r="W129" t="str">
        <f>IF(S129 &lt; VLOOKUP(E129, Locality_Tier_Benchmarks!A:B, 2, FALSE) * 0.7, "Below Tier Range", "Normal")</f>
        <v>Normal</v>
      </c>
      <c r="X129" t="str">
        <f t="shared" si="14"/>
        <v>Normal</v>
      </c>
      <c r="Y129" t="str">
        <f t="shared" si="15"/>
        <v>Normal</v>
      </c>
      <c r="Z129" t="str">
        <f t="shared" si="8"/>
        <v>Pass</v>
      </c>
    </row>
    <row r="130" spans="1:26" x14ac:dyDescent="0.25">
      <c r="A130" s="2" t="s">
        <v>313</v>
      </c>
      <c r="B130" s="2" t="s">
        <v>17</v>
      </c>
      <c r="C130" s="2" t="s">
        <v>142</v>
      </c>
      <c r="D130" s="2" t="str">
        <f>VLOOKUP(C130,Locality_Reference!A:C,2,)</f>
        <v>Western Line</v>
      </c>
      <c r="E130" s="2" t="str">
        <f>VLOOKUP(C130,Locality_Reference!A:C,3,)</f>
        <v>Outer Periphery</v>
      </c>
      <c r="F130" s="2" t="s">
        <v>149</v>
      </c>
      <c r="G130" s="8">
        <v>16000</v>
      </c>
      <c r="H130">
        <v>1</v>
      </c>
      <c r="I130">
        <v>1</v>
      </c>
      <c r="J130">
        <v>2</v>
      </c>
      <c r="K130">
        <v>18</v>
      </c>
      <c r="L130">
        <v>400</v>
      </c>
      <c r="M130" t="s">
        <v>33</v>
      </c>
      <c r="N130" t="s">
        <v>15</v>
      </c>
      <c r="O130" t="s">
        <v>16</v>
      </c>
      <c r="P130" t="s">
        <v>31</v>
      </c>
      <c r="Q130" t="str">
        <f t="shared" si="9"/>
        <v>3</v>
      </c>
      <c r="R130" s="5">
        <v>46197</v>
      </c>
      <c r="S130" s="8">
        <f t="shared" si="10"/>
        <v>40</v>
      </c>
      <c r="T130">
        <f t="shared" si="11"/>
        <v>192000</v>
      </c>
      <c r="U130" t="str">
        <f t="shared" si="12"/>
        <v>Budget</v>
      </c>
      <c r="V130" t="str">
        <f t="shared" si="13"/>
        <v>Compact</v>
      </c>
      <c r="W130" t="str">
        <f>IF(S130 &lt; VLOOKUP(E130, Locality_Tier_Benchmarks!A:B, 2, FALSE) * 0.7, "Below Tier Range", "Normal")</f>
        <v>Normal</v>
      </c>
      <c r="X130" t="str">
        <f t="shared" si="14"/>
        <v>Normal</v>
      </c>
      <c r="Y130" t="str">
        <f t="shared" si="15"/>
        <v>Normal</v>
      </c>
      <c r="Z130" t="str">
        <f t="shared" ref="Z130:Z193" si="16">IF(OR(W130&lt;&gt;"Normal",X130&lt;&gt;"Normal",Y130&lt;&gt;"Normal"),"Review","Pass")</f>
        <v>Pass</v>
      </c>
    </row>
    <row r="131" spans="1:26" x14ac:dyDescent="0.25">
      <c r="A131" s="2" t="s">
        <v>314</v>
      </c>
      <c r="B131" s="2" t="s">
        <v>17</v>
      </c>
      <c r="C131" s="2" t="s">
        <v>142</v>
      </c>
      <c r="D131" s="2" t="str">
        <f>VLOOKUP(C131,Locality_Reference!A:C,2,)</f>
        <v>Western Line</v>
      </c>
      <c r="E131" s="2" t="str">
        <f>VLOOKUP(C131,Locality_Reference!A:C,3,)</f>
        <v>Outer Periphery</v>
      </c>
      <c r="F131" s="2" t="s">
        <v>150</v>
      </c>
      <c r="G131" s="8">
        <v>12000</v>
      </c>
      <c r="H131">
        <v>1</v>
      </c>
      <c r="I131">
        <v>1</v>
      </c>
      <c r="J131">
        <v>0</v>
      </c>
      <c r="K131">
        <v>2</v>
      </c>
      <c r="L131">
        <v>480</v>
      </c>
      <c r="M131" t="s">
        <v>33</v>
      </c>
      <c r="N131" t="s">
        <v>15</v>
      </c>
      <c r="O131" t="s">
        <v>16</v>
      </c>
      <c r="P131" t="s">
        <v>23</v>
      </c>
      <c r="Q131" t="str">
        <f t="shared" ref="Q131:Q194" si="17">IF(P131="20+ Years","20",IF(P131="15-20 Years","17.5",IF(P131="10+ Years","10",IF(P131="5-10 Years","7.5",IF(P131="1-5 Years","3",IF(P131="0-1 Year","1",""))))))</f>
        <v>10</v>
      </c>
      <c r="R131" s="5">
        <v>46181</v>
      </c>
      <c r="S131" s="8">
        <f t="shared" ref="S131:S194" si="18">G131/L131</f>
        <v>25</v>
      </c>
      <c r="T131">
        <f t="shared" ref="T131:T194" si="19">G131*12</f>
        <v>144000</v>
      </c>
      <c r="U131" t="str">
        <f t="shared" ref="U131:U194" si="20">IF(G131&lt;=30000,"Budget",IF(G131&lt;=60000,"Mid",IF(G131&lt;=100000,"Premium","Luxury")))</f>
        <v>Budget</v>
      </c>
      <c r="V131" t="str">
        <f t="shared" ref="V131:V194" si="21">IF(L131&lt;=500,"Compact",IF(L131&lt;=800,"Medium",IF(L131&lt;=1200,"Large","Spacious")))</f>
        <v>Compact</v>
      </c>
      <c r="W131" t="str">
        <f>IF(S131 &lt; VLOOKUP(E131, Locality_Tier_Benchmarks!A:B, 2, FALSE) * 0.7, "Below Tier Range", "Normal")</f>
        <v>Normal</v>
      </c>
      <c r="X131" t="str">
        <f t="shared" ref="X131:X194" si="22">IF(G131&lt;7000,"Below Absolute Floor","Normal")</f>
        <v>Normal</v>
      </c>
      <c r="Y131" t="str">
        <f t="shared" ref="Y131:Y194" si="23">IF(S131&gt;500,"Possible Typo - Check Zero","Normal")</f>
        <v>Normal</v>
      </c>
      <c r="Z131" t="str">
        <f t="shared" si="16"/>
        <v>Pass</v>
      </c>
    </row>
    <row r="132" spans="1:26" x14ac:dyDescent="0.25">
      <c r="A132" s="2" t="s">
        <v>315</v>
      </c>
      <c r="B132" s="2" t="s">
        <v>17</v>
      </c>
      <c r="C132" s="2" t="s">
        <v>142</v>
      </c>
      <c r="D132" s="2" t="str">
        <f>VLOOKUP(C132,Locality_Reference!A:C,2,)</f>
        <v>Western Line</v>
      </c>
      <c r="E132" s="2" t="str">
        <f>VLOOKUP(C132,Locality_Reference!A:C,3,)</f>
        <v>Outer Periphery</v>
      </c>
      <c r="F132" s="2" t="s">
        <v>151</v>
      </c>
      <c r="G132" s="8">
        <v>17000</v>
      </c>
      <c r="H132">
        <v>1</v>
      </c>
      <c r="I132">
        <v>2</v>
      </c>
      <c r="J132">
        <v>3</v>
      </c>
      <c r="K132">
        <v>18</v>
      </c>
      <c r="L132">
        <v>515</v>
      </c>
      <c r="M132" t="s">
        <v>33</v>
      </c>
      <c r="N132" t="s">
        <v>15</v>
      </c>
      <c r="O132" t="s">
        <v>16</v>
      </c>
      <c r="P132" t="s">
        <v>34</v>
      </c>
      <c r="Q132" t="str">
        <f t="shared" si="17"/>
        <v/>
      </c>
      <c r="R132" s="5">
        <v>46176</v>
      </c>
      <c r="S132" s="8">
        <f t="shared" si="18"/>
        <v>33.009708737864081</v>
      </c>
      <c r="T132">
        <f t="shared" si="19"/>
        <v>204000</v>
      </c>
      <c r="U132" t="str">
        <f t="shared" si="20"/>
        <v>Budget</v>
      </c>
      <c r="V132" t="str">
        <f t="shared" si="21"/>
        <v>Medium</v>
      </c>
      <c r="W132" t="str">
        <f>IF(S132 &lt; VLOOKUP(E132, Locality_Tier_Benchmarks!A:B, 2, FALSE) * 0.7, "Below Tier Range", "Normal")</f>
        <v>Normal</v>
      </c>
      <c r="X132" t="str">
        <f t="shared" si="22"/>
        <v>Normal</v>
      </c>
      <c r="Y132" t="str">
        <f t="shared" si="23"/>
        <v>Normal</v>
      </c>
      <c r="Z132" t="str">
        <f t="shared" si="16"/>
        <v>Pass</v>
      </c>
    </row>
    <row r="133" spans="1:26" x14ac:dyDescent="0.25">
      <c r="A133" s="2" t="s">
        <v>316</v>
      </c>
      <c r="B133" s="2" t="s">
        <v>17</v>
      </c>
      <c r="C133" s="2" t="s">
        <v>142</v>
      </c>
      <c r="D133" s="2" t="str">
        <f>VLOOKUP(C133,Locality_Reference!A:C,2,)</f>
        <v>Western Line</v>
      </c>
      <c r="E133" s="2" t="str">
        <f>VLOOKUP(C133,Locality_Reference!A:C,3,)</f>
        <v>Outer Periphery</v>
      </c>
      <c r="F133" s="2" t="s">
        <v>152</v>
      </c>
      <c r="G133" s="8">
        <v>14000</v>
      </c>
      <c r="H133">
        <v>1</v>
      </c>
      <c r="I133">
        <v>1</v>
      </c>
      <c r="J133">
        <v>2</v>
      </c>
      <c r="K133">
        <v>4</v>
      </c>
      <c r="L133">
        <v>565</v>
      </c>
      <c r="M133" t="s">
        <v>33</v>
      </c>
      <c r="N133" t="s">
        <v>15</v>
      </c>
      <c r="O133" t="s">
        <v>16</v>
      </c>
      <c r="P133" t="s">
        <v>23</v>
      </c>
      <c r="Q133" t="str">
        <f t="shared" si="17"/>
        <v>10</v>
      </c>
      <c r="R133" s="5">
        <v>46173</v>
      </c>
      <c r="S133" s="8">
        <f t="shared" si="18"/>
        <v>24.778761061946902</v>
      </c>
      <c r="T133">
        <f t="shared" si="19"/>
        <v>168000</v>
      </c>
      <c r="U133" t="str">
        <f t="shared" si="20"/>
        <v>Budget</v>
      </c>
      <c r="V133" t="str">
        <f t="shared" si="21"/>
        <v>Medium</v>
      </c>
      <c r="W133" t="str">
        <f>IF(S133 &lt; VLOOKUP(E133, Locality_Tier_Benchmarks!A:B, 2, FALSE) * 0.7, "Below Tier Range", "Normal")</f>
        <v>Normal</v>
      </c>
      <c r="X133" t="str">
        <f t="shared" si="22"/>
        <v>Normal</v>
      </c>
      <c r="Y133" t="str">
        <f t="shared" si="23"/>
        <v>Normal</v>
      </c>
      <c r="Z133" t="str">
        <f t="shared" si="16"/>
        <v>Pass</v>
      </c>
    </row>
    <row r="134" spans="1:26" x14ac:dyDescent="0.25">
      <c r="A134" s="2" t="s">
        <v>317</v>
      </c>
      <c r="B134" s="2" t="s">
        <v>17</v>
      </c>
      <c r="C134" s="2" t="s">
        <v>142</v>
      </c>
      <c r="D134" s="2" t="str">
        <f>VLOOKUP(C134,Locality_Reference!A:C,2,)</f>
        <v>Western Line</v>
      </c>
      <c r="E134" s="2" t="str">
        <f>VLOOKUP(C134,Locality_Reference!A:C,3,)</f>
        <v>Outer Periphery</v>
      </c>
      <c r="F134" s="2" t="s">
        <v>153</v>
      </c>
      <c r="G134" s="8">
        <v>24000</v>
      </c>
      <c r="H134">
        <v>2</v>
      </c>
      <c r="I134">
        <v>2</v>
      </c>
      <c r="J134">
        <v>4</v>
      </c>
      <c r="K134">
        <v>4</v>
      </c>
      <c r="L134">
        <v>550</v>
      </c>
      <c r="M134" t="s">
        <v>14</v>
      </c>
      <c r="N134" t="s">
        <v>15</v>
      </c>
      <c r="O134" t="s">
        <v>16</v>
      </c>
      <c r="P134" t="s">
        <v>23</v>
      </c>
      <c r="Q134" t="str">
        <f t="shared" si="17"/>
        <v>10</v>
      </c>
      <c r="R134" s="5">
        <v>46191</v>
      </c>
      <c r="S134" s="8">
        <f t="shared" si="18"/>
        <v>43.636363636363633</v>
      </c>
      <c r="T134">
        <f t="shared" si="19"/>
        <v>288000</v>
      </c>
      <c r="U134" t="str">
        <f t="shared" si="20"/>
        <v>Budget</v>
      </c>
      <c r="V134" t="str">
        <f t="shared" si="21"/>
        <v>Medium</v>
      </c>
      <c r="W134" t="str">
        <f>IF(S134 &lt; VLOOKUP(E134, Locality_Tier_Benchmarks!A:B, 2, FALSE) * 0.7, "Below Tier Range", "Normal")</f>
        <v>Normal</v>
      </c>
      <c r="X134" t="str">
        <f t="shared" si="22"/>
        <v>Normal</v>
      </c>
      <c r="Y134" t="str">
        <f t="shared" si="23"/>
        <v>Normal</v>
      </c>
      <c r="Z134" t="str">
        <f t="shared" si="16"/>
        <v>Pass</v>
      </c>
    </row>
    <row r="135" spans="1:26" x14ac:dyDescent="0.25">
      <c r="A135" s="2" t="s">
        <v>318</v>
      </c>
      <c r="B135" s="2" t="s">
        <v>17</v>
      </c>
      <c r="C135" s="2" t="s">
        <v>142</v>
      </c>
      <c r="D135" s="2" t="str">
        <f>VLOOKUP(C135,Locality_Reference!A:C,2,)</f>
        <v>Western Line</v>
      </c>
      <c r="E135" s="2" t="str">
        <f>VLOOKUP(C135,Locality_Reference!A:C,3,)</f>
        <v>Outer Periphery</v>
      </c>
      <c r="F135" s="2" t="s">
        <v>151</v>
      </c>
      <c r="G135" s="8">
        <v>28000</v>
      </c>
      <c r="H135">
        <v>2</v>
      </c>
      <c r="I135">
        <v>2</v>
      </c>
      <c r="J135">
        <v>5</v>
      </c>
      <c r="K135">
        <v>18</v>
      </c>
      <c r="L135">
        <v>620</v>
      </c>
      <c r="M135" t="s">
        <v>33</v>
      </c>
      <c r="N135" t="s">
        <v>15</v>
      </c>
      <c r="O135" t="s">
        <v>16</v>
      </c>
      <c r="P135" t="s">
        <v>34</v>
      </c>
      <c r="Q135" t="str">
        <f t="shared" si="17"/>
        <v/>
      </c>
      <c r="R135" s="5">
        <v>46176</v>
      </c>
      <c r="S135" s="8">
        <f t="shared" si="18"/>
        <v>45.161290322580648</v>
      </c>
      <c r="T135">
        <f t="shared" si="19"/>
        <v>336000</v>
      </c>
      <c r="U135" t="str">
        <f t="shared" si="20"/>
        <v>Budget</v>
      </c>
      <c r="V135" t="str">
        <f t="shared" si="21"/>
        <v>Medium</v>
      </c>
      <c r="W135" t="str">
        <f>IF(S135 &lt; VLOOKUP(E135, Locality_Tier_Benchmarks!A:B, 2, FALSE) * 0.7, "Below Tier Range", "Normal")</f>
        <v>Normal</v>
      </c>
      <c r="X135" t="str">
        <f t="shared" si="22"/>
        <v>Normal</v>
      </c>
      <c r="Y135" t="str">
        <f t="shared" si="23"/>
        <v>Normal</v>
      </c>
      <c r="Z135" t="str">
        <f t="shared" si="16"/>
        <v>Pass</v>
      </c>
    </row>
    <row r="136" spans="1:26" x14ac:dyDescent="0.25">
      <c r="A136" s="2" t="s">
        <v>319</v>
      </c>
      <c r="B136" s="2" t="s">
        <v>17</v>
      </c>
      <c r="C136" s="2" t="s">
        <v>142</v>
      </c>
      <c r="D136" s="2" t="str">
        <f>VLOOKUP(C136,Locality_Reference!A:C,2,)</f>
        <v>Western Line</v>
      </c>
      <c r="E136" s="2" t="str">
        <f>VLOOKUP(C136,Locality_Reference!A:C,3,)</f>
        <v>Outer Periphery</v>
      </c>
      <c r="F136" s="2" t="s">
        <v>154</v>
      </c>
      <c r="G136" s="8">
        <v>25000</v>
      </c>
      <c r="H136">
        <v>2</v>
      </c>
      <c r="I136">
        <v>2</v>
      </c>
      <c r="J136">
        <v>6</v>
      </c>
      <c r="K136">
        <v>7</v>
      </c>
      <c r="L136">
        <v>950</v>
      </c>
      <c r="M136" t="s">
        <v>36</v>
      </c>
      <c r="N136" t="s">
        <v>15</v>
      </c>
      <c r="O136" t="s">
        <v>16</v>
      </c>
      <c r="P136" t="s">
        <v>23</v>
      </c>
      <c r="Q136" t="str">
        <f t="shared" si="17"/>
        <v>10</v>
      </c>
      <c r="R136" s="5">
        <v>46183</v>
      </c>
      <c r="S136" s="8">
        <f t="shared" si="18"/>
        <v>26.315789473684209</v>
      </c>
      <c r="T136">
        <f t="shared" si="19"/>
        <v>300000</v>
      </c>
      <c r="U136" t="str">
        <f t="shared" si="20"/>
        <v>Budget</v>
      </c>
      <c r="V136" t="str">
        <f t="shared" si="21"/>
        <v>Large</v>
      </c>
      <c r="W136" t="str">
        <f>IF(S136 &lt; VLOOKUP(E136, Locality_Tier_Benchmarks!A:B, 2, FALSE) * 0.7, "Below Tier Range", "Normal")</f>
        <v>Normal</v>
      </c>
      <c r="X136" t="str">
        <f t="shared" si="22"/>
        <v>Normal</v>
      </c>
      <c r="Y136" t="str">
        <f t="shared" si="23"/>
        <v>Normal</v>
      </c>
      <c r="Z136" t="str">
        <f t="shared" si="16"/>
        <v>Pass</v>
      </c>
    </row>
    <row r="137" spans="1:26" x14ac:dyDescent="0.25">
      <c r="A137" s="2" t="s">
        <v>320</v>
      </c>
      <c r="B137" s="2" t="s">
        <v>17</v>
      </c>
      <c r="C137" s="2" t="s">
        <v>142</v>
      </c>
      <c r="D137" s="2" t="str">
        <f>VLOOKUP(C137,Locality_Reference!A:C,2,)</f>
        <v>Western Line</v>
      </c>
      <c r="E137" s="2" t="str">
        <f>VLOOKUP(C137,Locality_Reference!A:C,3,)</f>
        <v>Outer Periphery</v>
      </c>
      <c r="F137" s="2" t="s">
        <v>155</v>
      </c>
      <c r="G137" s="8">
        <v>25000</v>
      </c>
      <c r="H137">
        <v>2</v>
      </c>
      <c r="I137">
        <v>2</v>
      </c>
      <c r="J137">
        <v>5</v>
      </c>
      <c r="K137">
        <v>22</v>
      </c>
      <c r="L137">
        <v>531</v>
      </c>
      <c r="M137" t="s">
        <v>33</v>
      </c>
      <c r="N137" t="s">
        <v>15</v>
      </c>
      <c r="O137" t="s">
        <v>16</v>
      </c>
      <c r="P137" t="s">
        <v>34</v>
      </c>
      <c r="Q137" t="str">
        <f t="shared" si="17"/>
        <v/>
      </c>
      <c r="R137" s="5">
        <v>46183</v>
      </c>
      <c r="S137" s="8">
        <f t="shared" si="18"/>
        <v>47.080979284369114</v>
      </c>
      <c r="T137">
        <f t="shared" si="19"/>
        <v>300000</v>
      </c>
      <c r="U137" t="str">
        <f t="shared" si="20"/>
        <v>Budget</v>
      </c>
      <c r="V137" t="str">
        <f t="shared" si="21"/>
        <v>Medium</v>
      </c>
      <c r="W137" t="str">
        <f>IF(S137 &lt; VLOOKUP(E137, Locality_Tier_Benchmarks!A:B, 2, FALSE) * 0.7, "Below Tier Range", "Normal")</f>
        <v>Normal</v>
      </c>
      <c r="X137" t="str">
        <f t="shared" si="22"/>
        <v>Normal</v>
      </c>
      <c r="Y137" t="str">
        <f t="shared" si="23"/>
        <v>Normal</v>
      </c>
      <c r="Z137" t="str">
        <f t="shared" si="16"/>
        <v>Pass</v>
      </c>
    </row>
    <row r="138" spans="1:26" x14ac:dyDescent="0.25">
      <c r="A138" s="2" t="s">
        <v>321</v>
      </c>
      <c r="B138" s="2" t="s">
        <v>17</v>
      </c>
      <c r="C138" s="2" t="s">
        <v>142</v>
      </c>
      <c r="D138" s="2" t="str">
        <f>VLOOKUP(C138,Locality_Reference!A:C,2,)</f>
        <v>Western Line</v>
      </c>
      <c r="E138" s="2" t="str">
        <f>VLOOKUP(C138,Locality_Reference!A:C,3,)</f>
        <v>Outer Periphery</v>
      </c>
      <c r="F138" s="2" t="s">
        <v>156</v>
      </c>
      <c r="G138" s="8">
        <v>20600</v>
      </c>
      <c r="H138">
        <v>2</v>
      </c>
      <c r="I138">
        <v>1</v>
      </c>
      <c r="J138">
        <v>2</v>
      </c>
      <c r="K138">
        <v>2</v>
      </c>
      <c r="L138">
        <v>650</v>
      </c>
      <c r="M138" t="s">
        <v>36</v>
      </c>
      <c r="N138" t="s">
        <v>15</v>
      </c>
      <c r="O138" t="s">
        <v>16</v>
      </c>
      <c r="P138" t="s">
        <v>34</v>
      </c>
      <c r="Q138" t="str">
        <f t="shared" si="17"/>
        <v/>
      </c>
      <c r="R138" s="5">
        <v>46174</v>
      </c>
      <c r="S138" s="8">
        <f t="shared" si="18"/>
        <v>31.692307692307693</v>
      </c>
      <c r="T138">
        <f t="shared" si="19"/>
        <v>247200</v>
      </c>
      <c r="U138" t="str">
        <f t="shared" si="20"/>
        <v>Budget</v>
      </c>
      <c r="V138" t="str">
        <f t="shared" si="21"/>
        <v>Medium</v>
      </c>
      <c r="W138" t="str">
        <f>IF(S138 &lt; VLOOKUP(E138, Locality_Tier_Benchmarks!A:B, 2, FALSE) * 0.7, "Below Tier Range", "Normal")</f>
        <v>Normal</v>
      </c>
      <c r="X138" t="str">
        <f t="shared" si="22"/>
        <v>Normal</v>
      </c>
      <c r="Y138" t="str">
        <f t="shared" si="23"/>
        <v>Normal</v>
      </c>
      <c r="Z138" t="str">
        <f t="shared" si="16"/>
        <v>Pass</v>
      </c>
    </row>
    <row r="139" spans="1:26" x14ac:dyDescent="0.25">
      <c r="A139" s="2" t="s">
        <v>322</v>
      </c>
      <c r="B139" s="2" t="s">
        <v>17</v>
      </c>
      <c r="C139" s="2" t="s">
        <v>142</v>
      </c>
      <c r="D139" s="2" t="str">
        <f>VLOOKUP(C139,Locality_Reference!A:C,2,)</f>
        <v>Western Line</v>
      </c>
      <c r="E139" s="2" t="str">
        <f>VLOOKUP(C139,Locality_Reference!A:C,3,)</f>
        <v>Outer Periphery</v>
      </c>
      <c r="F139" s="2" t="s">
        <v>162</v>
      </c>
      <c r="G139" s="8">
        <v>30000</v>
      </c>
      <c r="H139">
        <v>3</v>
      </c>
      <c r="I139">
        <v>2</v>
      </c>
      <c r="J139">
        <v>1</v>
      </c>
      <c r="K139">
        <v>2</v>
      </c>
      <c r="L139">
        <v>1050</v>
      </c>
      <c r="M139" t="s">
        <v>36</v>
      </c>
      <c r="N139" t="s">
        <v>15</v>
      </c>
      <c r="O139" t="s">
        <v>16</v>
      </c>
      <c r="P139" t="s">
        <v>34</v>
      </c>
      <c r="Q139" t="str">
        <f t="shared" si="17"/>
        <v/>
      </c>
      <c r="R139" s="5">
        <v>46170</v>
      </c>
      <c r="S139" s="8">
        <f t="shared" si="18"/>
        <v>28.571428571428573</v>
      </c>
      <c r="T139">
        <f t="shared" si="19"/>
        <v>360000</v>
      </c>
      <c r="U139" t="str">
        <f t="shared" si="20"/>
        <v>Budget</v>
      </c>
      <c r="V139" t="str">
        <f t="shared" si="21"/>
        <v>Large</v>
      </c>
      <c r="W139" t="str">
        <f>IF(S139 &lt; VLOOKUP(E139, Locality_Tier_Benchmarks!A:B, 2, FALSE) * 0.7, "Below Tier Range", "Normal")</f>
        <v>Normal</v>
      </c>
      <c r="X139" t="str">
        <f t="shared" si="22"/>
        <v>Normal</v>
      </c>
      <c r="Y139" t="str">
        <f t="shared" si="23"/>
        <v>Normal</v>
      </c>
      <c r="Z139" t="str">
        <f t="shared" si="16"/>
        <v>Pass</v>
      </c>
    </row>
    <row r="140" spans="1:26" x14ac:dyDescent="0.25">
      <c r="A140" s="2" t="s">
        <v>323</v>
      </c>
      <c r="B140" s="2" t="s">
        <v>17</v>
      </c>
      <c r="C140" s="2" t="s">
        <v>142</v>
      </c>
      <c r="D140" s="2" t="str">
        <f>VLOOKUP(C140,Locality_Reference!A:C,2,)</f>
        <v>Western Line</v>
      </c>
      <c r="E140" s="2" t="str">
        <f>VLOOKUP(C140,Locality_Reference!A:C,3,)</f>
        <v>Outer Periphery</v>
      </c>
      <c r="F140" s="2" t="s">
        <v>163</v>
      </c>
      <c r="G140" s="8">
        <v>35000</v>
      </c>
      <c r="H140">
        <v>3</v>
      </c>
      <c r="I140">
        <v>3</v>
      </c>
      <c r="J140">
        <v>1</v>
      </c>
      <c r="K140">
        <v>7</v>
      </c>
      <c r="L140">
        <v>935</v>
      </c>
      <c r="M140" t="s">
        <v>14</v>
      </c>
      <c r="N140" t="s">
        <v>15</v>
      </c>
      <c r="O140" t="s">
        <v>16</v>
      </c>
      <c r="P140" t="s">
        <v>34</v>
      </c>
      <c r="Q140" t="str">
        <f t="shared" si="17"/>
        <v/>
      </c>
      <c r="R140" s="5">
        <v>46156</v>
      </c>
      <c r="S140" s="8">
        <f t="shared" si="18"/>
        <v>37.433155080213901</v>
      </c>
      <c r="T140">
        <f t="shared" si="19"/>
        <v>420000</v>
      </c>
      <c r="U140" t="str">
        <f t="shared" si="20"/>
        <v>Mid</v>
      </c>
      <c r="V140" t="str">
        <f t="shared" si="21"/>
        <v>Large</v>
      </c>
      <c r="W140" t="str">
        <f>IF(S140 &lt; VLOOKUP(E140, Locality_Tier_Benchmarks!A:B, 2, FALSE) * 0.7, "Below Tier Range", "Normal")</f>
        <v>Normal</v>
      </c>
      <c r="X140" t="str">
        <f t="shared" si="22"/>
        <v>Normal</v>
      </c>
      <c r="Y140" t="str">
        <f t="shared" si="23"/>
        <v>Normal</v>
      </c>
      <c r="Z140" t="str">
        <f t="shared" si="16"/>
        <v>Pass</v>
      </c>
    </row>
    <row r="141" spans="1:26" x14ac:dyDescent="0.25">
      <c r="A141" s="2" t="s">
        <v>324</v>
      </c>
      <c r="B141" s="2" t="s">
        <v>17</v>
      </c>
      <c r="C141" s="2" t="s">
        <v>183</v>
      </c>
      <c r="D141" s="2" t="str">
        <f>VLOOKUP(C141,Locality_Reference!A:C,2,)</f>
        <v>Western Line</v>
      </c>
      <c r="E141" s="2" t="str">
        <f>VLOOKUP(C141,Locality_Reference!A:C,3,)</f>
        <v>Outer Periphery</v>
      </c>
      <c r="F141" s="2" t="s">
        <v>164</v>
      </c>
      <c r="G141" s="8">
        <v>13000</v>
      </c>
      <c r="H141">
        <v>1</v>
      </c>
      <c r="I141">
        <v>1</v>
      </c>
      <c r="J141">
        <v>3</v>
      </c>
      <c r="K141">
        <v>4</v>
      </c>
      <c r="L141">
        <v>525</v>
      </c>
      <c r="M141" t="s">
        <v>33</v>
      </c>
      <c r="N141" t="s">
        <v>29</v>
      </c>
      <c r="O141" t="s">
        <v>16</v>
      </c>
      <c r="P141" t="s">
        <v>23</v>
      </c>
      <c r="Q141" t="str">
        <f t="shared" si="17"/>
        <v>10</v>
      </c>
      <c r="R141" s="5">
        <v>46195</v>
      </c>
      <c r="S141" s="8">
        <f t="shared" si="18"/>
        <v>24.761904761904763</v>
      </c>
      <c r="T141">
        <f t="shared" si="19"/>
        <v>156000</v>
      </c>
      <c r="U141" t="str">
        <f t="shared" si="20"/>
        <v>Budget</v>
      </c>
      <c r="V141" t="str">
        <f t="shared" si="21"/>
        <v>Medium</v>
      </c>
      <c r="W141" t="str">
        <f>IF(S141 &lt; VLOOKUP(E141, Locality_Tier_Benchmarks!A:B, 2, FALSE) * 0.7, "Below Tier Range", "Normal")</f>
        <v>Normal</v>
      </c>
      <c r="X141" t="str">
        <f t="shared" si="22"/>
        <v>Normal</v>
      </c>
      <c r="Y141" t="str">
        <f t="shared" si="23"/>
        <v>Normal</v>
      </c>
      <c r="Z141" t="str">
        <f t="shared" si="16"/>
        <v>Pass</v>
      </c>
    </row>
    <row r="142" spans="1:26" x14ac:dyDescent="0.25">
      <c r="A142" s="2" t="s">
        <v>325</v>
      </c>
      <c r="B142" s="2" t="s">
        <v>17</v>
      </c>
      <c r="C142" s="2" t="s">
        <v>183</v>
      </c>
      <c r="D142" s="2" t="str">
        <f>VLOOKUP(C142,Locality_Reference!A:C,2,)</f>
        <v>Western Line</v>
      </c>
      <c r="E142" s="2" t="str">
        <f>VLOOKUP(C142,Locality_Reference!A:C,3,)</f>
        <v>Outer Periphery</v>
      </c>
      <c r="F142" s="2" t="s">
        <v>165</v>
      </c>
      <c r="G142" s="8">
        <v>14000</v>
      </c>
      <c r="H142">
        <v>1</v>
      </c>
      <c r="I142">
        <v>1</v>
      </c>
      <c r="J142">
        <v>4</v>
      </c>
      <c r="K142">
        <v>4</v>
      </c>
      <c r="L142">
        <v>500</v>
      </c>
      <c r="M142" t="s">
        <v>36</v>
      </c>
      <c r="N142" t="s">
        <v>15</v>
      </c>
      <c r="O142" t="s">
        <v>16</v>
      </c>
      <c r="P142" t="s">
        <v>23</v>
      </c>
      <c r="Q142" t="str">
        <f t="shared" si="17"/>
        <v>10</v>
      </c>
      <c r="R142" s="5">
        <v>46189</v>
      </c>
      <c r="S142" s="8">
        <f t="shared" si="18"/>
        <v>28</v>
      </c>
      <c r="T142">
        <f t="shared" si="19"/>
        <v>168000</v>
      </c>
      <c r="U142" t="str">
        <f t="shared" si="20"/>
        <v>Budget</v>
      </c>
      <c r="V142" t="str">
        <f t="shared" si="21"/>
        <v>Compact</v>
      </c>
      <c r="W142" t="str">
        <f>IF(S142 &lt; VLOOKUP(E142, Locality_Tier_Benchmarks!A:B, 2, FALSE) * 0.7, "Below Tier Range", "Normal")</f>
        <v>Normal</v>
      </c>
      <c r="X142" t="str">
        <f t="shared" si="22"/>
        <v>Normal</v>
      </c>
      <c r="Y142" t="str">
        <f t="shared" si="23"/>
        <v>Normal</v>
      </c>
      <c r="Z142" t="str">
        <f t="shared" si="16"/>
        <v>Pass</v>
      </c>
    </row>
    <row r="143" spans="1:26" x14ac:dyDescent="0.25">
      <c r="A143" s="2" t="s">
        <v>326</v>
      </c>
      <c r="B143" s="2" t="s">
        <v>17</v>
      </c>
      <c r="C143" s="2" t="s">
        <v>183</v>
      </c>
      <c r="D143" s="2" t="str">
        <f>VLOOKUP(C143,Locality_Reference!A:C,2,)</f>
        <v>Western Line</v>
      </c>
      <c r="E143" s="2" t="str">
        <f>VLOOKUP(C143,Locality_Reference!A:C,3,)</f>
        <v>Outer Periphery</v>
      </c>
      <c r="F143" s="2" t="s">
        <v>166</v>
      </c>
      <c r="G143" s="8">
        <v>3500</v>
      </c>
      <c r="H143">
        <v>1</v>
      </c>
      <c r="I143">
        <v>1</v>
      </c>
      <c r="J143">
        <v>0</v>
      </c>
      <c r="K143">
        <v>4</v>
      </c>
      <c r="L143">
        <v>275</v>
      </c>
      <c r="M143" t="s">
        <v>33</v>
      </c>
      <c r="N143" t="s">
        <v>15</v>
      </c>
      <c r="O143" t="s">
        <v>16</v>
      </c>
      <c r="P143" t="s">
        <v>34</v>
      </c>
      <c r="Q143" t="str">
        <f t="shared" si="17"/>
        <v/>
      </c>
      <c r="R143" s="5">
        <v>46196</v>
      </c>
      <c r="S143" s="8">
        <f t="shared" si="18"/>
        <v>12.727272727272727</v>
      </c>
      <c r="T143">
        <f t="shared" si="19"/>
        <v>42000</v>
      </c>
      <c r="U143" t="str">
        <f t="shared" si="20"/>
        <v>Budget</v>
      </c>
      <c r="V143" t="str">
        <f t="shared" si="21"/>
        <v>Compact</v>
      </c>
      <c r="W143" t="str">
        <f>IF(S143 &lt; VLOOKUP(E143, Locality_Tier_Benchmarks!A:B, 2, FALSE) * 0.7, "Below Tier Range", "Normal")</f>
        <v>Normal</v>
      </c>
      <c r="X143" t="str">
        <f t="shared" si="22"/>
        <v>Below Absolute Floor</v>
      </c>
      <c r="Y143" t="str">
        <f t="shared" si="23"/>
        <v>Normal</v>
      </c>
      <c r="Z143" t="str">
        <f t="shared" si="16"/>
        <v>Review</v>
      </c>
    </row>
    <row r="144" spans="1:26" x14ac:dyDescent="0.25">
      <c r="A144" s="2" t="s">
        <v>327</v>
      </c>
      <c r="B144" s="2" t="s">
        <v>17</v>
      </c>
      <c r="C144" s="2" t="s">
        <v>183</v>
      </c>
      <c r="D144" s="2" t="str">
        <f>VLOOKUP(C144,Locality_Reference!A:C,2,)</f>
        <v>Western Line</v>
      </c>
      <c r="E144" s="2" t="str">
        <f>VLOOKUP(C144,Locality_Reference!A:C,3,)</f>
        <v>Outer Periphery</v>
      </c>
      <c r="F144" s="2" t="s">
        <v>167</v>
      </c>
      <c r="G144" s="8">
        <v>6000</v>
      </c>
      <c r="H144">
        <v>1</v>
      </c>
      <c r="I144">
        <v>1</v>
      </c>
      <c r="J144">
        <v>0</v>
      </c>
      <c r="K144">
        <v>3</v>
      </c>
      <c r="L144">
        <v>330</v>
      </c>
      <c r="M144" t="s">
        <v>33</v>
      </c>
      <c r="N144" t="s">
        <v>15</v>
      </c>
      <c r="O144" t="s">
        <v>16</v>
      </c>
      <c r="P144" t="s">
        <v>34</v>
      </c>
      <c r="Q144" t="str">
        <f t="shared" si="17"/>
        <v/>
      </c>
      <c r="R144" s="5">
        <v>46189</v>
      </c>
      <c r="S144" s="8">
        <f t="shared" si="18"/>
        <v>18.181818181818183</v>
      </c>
      <c r="T144">
        <f t="shared" si="19"/>
        <v>72000</v>
      </c>
      <c r="U144" t="str">
        <f t="shared" si="20"/>
        <v>Budget</v>
      </c>
      <c r="V144" t="str">
        <f t="shared" si="21"/>
        <v>Compact</v>
      </c>
      <c r="W144" t="str">
        <f>IF(S144 &lt; VLOOKUP(E144, Locality_Tier_Benchmarks!A:B, 2, FALSE) * 0.7, "Below Tier Range", "Normal")</f>
        <v>Normal</v>
      </c>
      <c r="X144" t="str">
        <f t="shared" si="22"/>
        <v>Below Absolute Floor</v>
      </c>
      <c r="Y144" t="str">
        <f t="shared" si="23"/>
        <v>Normal</v>
      </c>
      <c r="Z144" t="str">
        <f t="shared" si="16"/>
        <v>Review</v>
      </c>
    </row>
    <row r="145" spans="1:26" x14ac:dyDescent="0.25">
      <c r="A145" s="2" t="s">
        <v>328</v>
      </c>
      <c r="B145" s="2" t="s">
        <v>17</v>
      </c>
      <c r="C145" s="2" t="s">
        <v>183</v>
      </c>
      <c r="D145" s="2" t="str">
        <f>VLOOKUP(C145,Locality_Reference!A:C,2,)</f>
        <v>Western Line</v>
      </c>
      <c r="E145" s="2" t="str">
        <f>VLOOKUP(C145,Locality_Reference!A:C,3,)</f>
        <v>Outer Periphery</v>
      </c>
      <c r="F145" s="2" t="s">
        <v>168</v>
      </c>
      <c r="G145" s="8">
        <v>11500</v>
      </c>
      <c r="H145">
        <v>1</v>
      </c>
      <c r="I145">
        <v>2</v>
      </c>
      <c r="J145">
        <v>3</v>
      </c>
      <c r="K145">
        <v>5</v>
      </c>
      <c r="L145">
        <v>550</v>
      </c>
      <c r="M145" t="s">
        <v>33</v>
      </c>
      <c r="N145" t="s">
        <v>15</v>
      </c>
      <c r="O145" t="s">
        <v>16</v>
      </c>
      <c r="P145" t="s">
        <v>23</v>
      </c>
      <c r="Q145" t="str">
        <f t="shared" si="17"/>
        <v>10</v>
      </c>
      <c r="R145" s="5">
        <v>46180</v>
      </c>
      <c r="S145" s="8">
        <f t="shared" si="18"/>
        <v>20.90909090909091</v>
      </c>
      <c r="T145">
        <f t="shared" si="19"/>
        <v>138000</v>
      </c>
      <c r="U145" t="str">
        <f t="shared" si="20"/>
        <v>Budget</v>
      </c>
      <c r="V145" t="str">
        <f t="shared" si="21"/>
        <v>Medium</v>
      </c>
      <c r="W145" t="str">
        <f>IF(S145 &lt; VLOOKUP(E145, Locality_Tier_Benchmarks!A:B, 2, FALSE) * 0.7, "Below Tier Range", "Normal")</f>
        <v>Normal</v>
      </c>
      <c r="X145" t="str">
        <f t="shared" si="22"/>
        <v>Normal</v>
      </c>
      <c r="Y145" t="str">
        <f t="shared" si="23"/>
        <v>Normal</v>
      </c>
      <c r="Z145" t="str">
        <f t="shared" si="16"/>
        <v>Pass</v>
      </c>
    </row>
    <row r="146" spans="1:26" x14ac:dyDescent="0.25">
      <c r="A146" s="2" t="s">
        <v>329</v>
      </c>
      <c r="B146" s="2" t="s">
        <v>17</v>
      </c>
      <c r="C146" s="2" t="s">
        <v>183</v>
      </c>
      <c r="D146" s="2" t="str">
        <f>VLOOKUP(C146,Locality_Reference!A:C,2,)</f>
        <v>Western Line</v>
      </c>
      <c r="E146" s="2" t="str">
        <f>VLOOKUP(C146,Locality_Reference!A:C,3,)</f>
        <v>Outer Periphery</v>
      </c>
      <c r="F146" s="2" t="s">
        <v>364</v>
      </c>
      <c r="G146" s="8">
        <v>15000</v>
      </c>
      <c r="H146">
        <v>2</v>
      </c>
      <c r="I146">
        <v>2</v>
      </c>
      <c r="J146">
        <v>3</v>
      </c>
      <c r="K146">
        <v>3</v>
      </c>
      <c r="L146">
        <v>650</v>
      </c>
      <c r="M146" t="s">
        <v>36</v>
      </c>
      <c r="N146" t="s">
        <v>15</v>
      </c>
      <c r="O146" t="s">
        <v>16</v>
      </c>
      <c r="P146" t="s">
        <v>23</v>
      </c>
      <c r="Q146" t="str">
        <f t="shared" si="17"/>
        <v>10</v>
      </c>
      <c r="R146" s="5">
        <v>46185</v>
      </c>
      <c r="S146" s="8">
        <f t="shared" si="18"/>
        <v>23.076923076923077</v>
      </c>
      <c r="T146">
        <f t="shared" si="19"/>
        <v>180000</v>
      </c>
      <c r="U146" t="str">
        <f t="shared" si="20"/>
        <v>Budget</v>
      </c>
      <c r="V146" t="str">
        <f t="shared" si="21"/>
        <v>Medium</v>
      </c>
      <c r="W146" t="str">
        <f>IF(S146 &lt; VLOOKUP(E146, Locality_Tier_Benchmarks!A:B, 2, FALSE) * 0.7, "Below Tier Range", "Normal")</f>
        <v>Normal</v>
      </c>
      <c r="X146" t="str">
        <f t="shared" si="22"/>
        <v>Normal</v>
      </c>
      <c r="Y146" t="str">
        <f t="shared" si="23"/>
        <v>Normal</v>
      </c>
      <c r="Z146" t="str">
        <f t="shared" si="16"/>
        <v>Pass</v>
      </c>
    </row>
    <row r="147" spans="1:26" x14ac:dyDescent="0.25">
      <c r="A147" s="2" t="s">
        <v>330</v>
      </c>
      <c r="B147" t="s">
        <v>366</v>
      </c>
      <c r="C147" s="2" t="s">
        <v>183</v>
      </c>
      <c r="D147" s="2" t="str">
        <f>VLOOKUP(C147,Locality_Reference!A:C,2,)</f>
        <v>Western Line</v>
      </c>
      <c r="E147" s="2" t="str">
        <f>VLOOKUP(C147,Locality_Reference!A:C,3,)</f>
        <v>Outer Periphery</v>
      </c>
      <c r="F147" s="2" t="s">
        <v>365</v>
      </c>
      <c r="G147" s="8">
        <v>18000</v>
      </c>
      <c r="H147">
        <v>2</v>
      </c>
      <c r="I147">
        <v>2</v>
      </c>
      <c r="J147">
        <v>5</v>
      </c>
      <c r="K147">
        <v>7</v>
      </c>
      <c r="L147">
        <v>611</v>
      </c>
      <c r="M147" t="s">
        <v>33</v>
      </c>
      <c r="N147" t="s">
        <v>34</v>
      </c>
      <c r="O147" t="s">
        <v>16</v>
      </c>
      <c r="P147" t="s">
        <v>47</v>
      </c>
      <c r="Q147" t="str">
        <f t="shared" si="17"/>
        <v>1</v>
      </c>
      <c r="R147" s="5">
        <v>46194</v>
      </c>
      <c r="S147" s="8">
        <f t="shared" si="18"/>
        <v>29.459901800327334</v>
      </c>
      <c r="T147">
        <f t="shared" si="19"/>
        <v>216000</v>
      </c>
      <c r="U147" t="str">
        <f t="shared" si="20"/>
        <v>Budget</v>
      </c>
      <c r="V147" t="str">
        <f t="shared" si="21"/>
        <v>Medium</v>
      </c>
      <c r="W147" t="str">
        <f>IF(S147 &lt; VLOOKUP(E147, Locality_Tier_Benchmarks!A:B, 2, FALSE) * 0.7, "Below Tier Range", "Normal")</f>
        <v>Normal</v>
      </c>
      <c r="X147" t="str">
        <f t="shared" si="22"/>
        <v>Normal</v>
      </c>
      <c r="Y147" t="str">
        <f t="shared" si="23"/>
        <v>Normal</v>
      </c>
      <c r="Z147" t="str">
        <f t="shared" si="16"/>
        <v>Pass</v>
      </c>
    </row>
    <row r="148" spans="1:26" x14ac:dyDescent="0.25">
      <c r="A148" s="2" t="s">
        <v>331</v>
      </c>
      <c r="B148" s="2" t="s">
        <v>17</v>
      </c>
      <c r="C148" s="2" t="s">
        <v>183</v>
      </c>
      <c r="D148" s="2" t="str">
        <f>VLOOKUP(C148,Locality_Reference!A:C,2,)</f>
        <v>Western Line</v>
      </c>
      <c r="E148" s="2" t="str">
        <f>VLOOKUP(C148,Locality_Reference!A:C,3,)</f>
        <v>Outer Periphery</v>
      </c>
      <c r="F148" s="2" t="s">
        <v>367</v>
      </c>
      <c r="G148" s="8">
        <v>15000</v>
      </c>
      <c r="H148">
        <v>3</v>
      </c>
      <c r="I148">
        <v>1</v>
      </c>
      <c r="J148">
        <v>3</v>
      </c>
      <c r="K148">
        <v>9</v>
      </c>
      <c r="L148">
        <v>700</v>
      </c>
      <c r="M148" t="s">
        <v>14</v>
      </c>
      <c r="N148" t="s">
        <v>15</v>
      </c>
      <c r="O148" t="s">
        <v>16</v>
      </c>
      <c r="P148" t="s">
        <v>34</v>
      </c>
      <c r="Q148" t="str">
        <f t="shared" si="17"/>
        <v/>
      </c>
      <c r="R148" s="5">
        <v>46175</v>
      </c>
      <c r="S148" s="8">
        <f t="shared" si="18"/>
        <v>21.428571428571427</v>
      </c>
      <c r="T148">
        <f t="shared" si="19"/>
        <v>180000</v>
      </c>
      <c r="U148" t="str">
        <f t="shared" si="20"/>
        <v>Budget</v>
      </c>
      <c r="V148" t="str">
        <f t="shared" si="21"/>
        <v>Medium</v>
      </c>
      <c r="W148" t="str">
        <f>IF(S148 &lt; VLOOKUP(E148, Locality_Tier_Benchmarks!A:B, 2, FALSE) * 0.7, "Below Tier Range", "Normal")</f>
        <v>Normal</v>
      </c>
      <c r="X148" t="str">
        <f t="shared" si="22"/>
        <v>Normal</v>
      </c>
      <c r="Y148" t="str">
        <f t="shared" si="23"/>
        <v>Normal</v>
      </c>
      <c r="Z148" t="str">
        <f t="shared" si="16"/>
        <v>Pass</v>
      </c>
    </row>
    <row r="149" spans="1:26" x14ac:dyDescent="0.25">
      <c r="A149" s="2" t="s">
        <v>332</v>
      </c>
      <c r="B149" s="2" t="s">
        <v>17</v>
      </c>
      <c r="C149" s="2" t="s">
        <v>184</v>
      </c>
      <c r="D149" s="2" t="str">
        <f>VLOOKUP(C149,Locality_Reference!A:C,2,)</f>
        <v>Western Line</v>
      </c>
      <c r="E149" s="2" t="str">
        <f>VLOOKUP(C149,Locality_Reference!A:C,3,)</f>
        <v>Outer Periphery</v>
      </c>
      <c r="F149" s="2" t="s">
        <v>354</v>
      </c>
      <c r="G149" s="8">
        <v>14000</v>
      </c>
      <c r="H149">
        <v>1</v>
      </c>
      <c r="I149">
        <v>1</v>
      </c>
      <c r="J149">
        <v>0</v>
      </c>
      <c r="K149">
        <v>3</v>
      </c>
      <c r="L149">
        <v>550</v>
      </c>
      <c r="M149" t="s">
        <v>14</v>
      </c>
      <c r="N149" t="s">
        <v>29</v>
      </c>
      <c r="O149" t="s">
        <v>16</v>
      </c>
      <c r="P149" t="s">
        <v>23</v>
      </c>
      <c r="Q149" t="str">
        <f t="shared" si="17"/>
        <v>10</v>
      </c>
      <c r="R149" s="5">
        <v>46185</v>
      </c>
      <c r="S149" s="8">
        <f t="shared" si="18"/>
        <v>25.454545454545453</v>
      </c>
      <c r="T149">
        <f t="shared" si="19"/>
        <v>168000</v>
      </c>
      <c r="U149" t="str">
        <f t="shared" si="20"/>
        <v>Budget</v>
      </c>
      <c r="V149" t="str">
        <f t="shared" si="21"/>
        <v>Medium</v>
      </c>
      <c r="W149" t="str">
        <f>IF(S149 &lt; VLOOKUP(E149, Locality_Tier_Benchmarks!A:B, 2, FALSE) * 0.7, "Below Tier Range", "Normal")</f>
        <v>Normal</v>
      </c>
      <c r="X149" t="str">
        <f t="shared" si="22"/>
        <v>Normal</v>
      </c>
      <c r="Y149" t="str">
        <f t="shared" si="23"/>
        <v>Normal</v>
      </c>
      <c r="Z149" t="str">
        <f t="shared" si="16"/>
        <v>Pass</v>
      </c>
    </row>
    <row r="150" spans="1:26" x14ac:dyDescent="0.25">
      <c r="A150" s="2" t="s">
        <v>333</v>
      </c>
      <c r="B150" s="2" t="s">
        <v>17</v>
      </c>
      <c r="C150" s="2" t="s">
        <v>184</v>
      </c>
      <c r="D150" s="2" t="str">
        <f>VLOOKUP(C150,Locality_Reference!A:C,2,)</f>
        <v>Western Line</v>
      </c>
      <c r="E150" s="2" t="str">
        <f>VLOOKUP(C150,Locality_Reference!A:C,3,)</f>
        <v>Outer Periphery</v>
      </c>
      <c r="F150" s="2" t="s">
        <v>356</v>
      </c>
      <c r="G150" s="8">
        <v>10000</v>
      </c>
      <c r="H150">
        <v>1</v>
      </c>
      <c r="I150">
        <v>2</v>
      </c>
      <c r="J150">
        <v>5</v>
      </c>
      <c r="K150">
        <v>7</v>
      </c>
      <c r="L150">
        <v>400</v>
      </c>
      <c r="M150" t="s">
        <v>36</v>
      </c>
      <c r="N150" t="s">
        <v>15</v>
      </c>
      <c r="O150" t="s">
        <v>16</v>
      </c>
      <c r="P150" t="s">
        <v>34</v>
      </c>
      <c r="Q150" t="str">
        <f t="shared" si="17"/>
        <v/>
      </c>
      <c r="R150" s="5">
        <v>46184</v>
      </c>
      <c r="S150" s="8">
        <f t="shared" si="18"/>
        <v>25</v>
      </c>
      <c r="T150">
        <f t="shared" si="19"/>
        <v>120000</v>
      </c>
      <c r="U150" t="str">
        <f t="shared" si="20"/>
        <v>Budget</v>
      </c>
      <c r="V150" t="str">
        <f t="shared" si="21"/>
        <v>Compact</v>
      </c>
      <c r="W150" t="str">
        <f>IF(S150 &lt; VLOOKUP(E150, Locality_Tier_Benchmarks!A:B, 2, FALSE) * 0.7, "Below Tier Range", "Normal")</f>
        <v>Normal</v>
      </c>
      <c r="X150" t="str">
        <f t="shared" si="22"/>
        <v>Normal</v>
      </c>
      <c r="Y150" t="str">
        <f t="shared" si="23"/>
        <v>Normal</v>
      </c>
      <c r="Z150" t="str">
        <f t="shared" si="16"/>
        <v>Pass</v>
      </c>
    </row>
    <row r="151" spans="1:26" x14ac:dyDescent="0.25">
      <c r="A151" s="2" t="s">
        <v>334</v>
      </c>
      <c r="B151" s="2" t="s">
        <v>17</v>
      </c>
      <c r="C151" s="2" t="s">
        <v>184</v>
      </c>
      <c r="D151" s="2" t="str">
        <f>VLOOKUP(C151,Locality_Reference!A:C,2,)</f>
        <v>Western Line</v>
      </c>
      <c r="E151" s="2" t="str">
        <f>VLOOKUP(C151,Locality_Reference!A:C,3,)</f>
        <v>Outer Periphery</v>
      </c>
      <c r="F151" s="2" t="s">
        <v>357</v>
      </c>
      <c r="G151" s="8">
        <v>9000</v>
      </c>
      <c r="H151">
        <v>1</v>
      </c>
      <c r="I151">
        <v>1</v>
      </c>
      <c r="J151">
        <v>8</v>
      </c>
      <c r="K151">
        <v>22</v>
      </c>
      <c r="L151">
        <v>595</v>
      </c>
      <c r="M151" t="s">
        <v>33</v>
      </c>
      <c r="N151" t="s">
        <v>15</v>
      </c>
      <c r="O151" t="s">
        <v>16</v>
      </c>
      <c r="P151" t="s">
        <v>34</v>
      </c>
      <c r="Q151" t="str">
        <f t="shared" si="17"/>
        <v/>
      </c>
      <c r="R151" s="5">
        <v>46193</v>
      </c>
      <c r="S151" s="8">
        <f t="shared" si="18"/>
        <v>15.126050420168067</v>
      </c>
      <c r="T151">
        <f t="shared" si="19"/>
        <v>108000</v>
      </c>
      <c r="U151" t="str">
        <f t="shared" si="20"/>
        <v>Budget</v>
      </c>
      <c r="V151" t="str">
        <f t="shared" si="21"/>
        <v>Medium</v>
      </c>
      <c r="W151" t="str">
        <f>IF(S151 &lt; VLOOKUP(E151, Locality_Tier_Benchmarks!A:B, 2, FALSE) * 0.7, "Below Tier Range", "Normal")</f>
        <v>Normal</v>
      </c>
      <c r="X151" t="str">
        <f t="shared" si="22"/>
        <v>Normal</v>
      </c>
      <c r="Y151" t="str">
        <f t="shared" si="23"/>
        <v>Normal</v>
      </c>
      <c r="Z151" t="str">
        <f t="shared" si="16"/>
        <v>Pass</v>
      </c>
    </row>
    <row r="152" spans="1:26" x14ac:dyDescent="0.25">
      <c r="A152" s="2" t="s">
        <v>335</v>
      </c>
      <c r="B152" s="2" t="s">
        <v>17</v>
      </c>
      <c r="C152" s="2" t="s">
        <v>184</v>
      </c>
      <c r="D152" s="2" t="str">
        <f>VLOOKUP(C152,Locality_Reference!A:C,2,)</f>
        <v>Western Line</v>
      </c>
      <c r="E152" s="2" t="str">
        <f>VLOOKUP(C152,Locality_Reference!A:C,3,)</f>
        <v>Outer Periphery</v>
      </c>
      <c r="F152" s="2" t="s">
        <v>358</v>
      </c>
      <c r="G152" s="8">
        <v>9500</v>
      </c>
      <c r="H152">
        <v>1</v>
      </c>
      <c r="I152">
        <v>1</v>
      </c>
      <c r="J152">
        <v>3</v>
      </c>
      <c r="K152">
        <v>7</v>
      </c>
      <c r="L152">
        <v>410</v>
      </c>
      <c r="M152" t="s">
        <v>33</v>
      </c>
      <c r="N152" t="s">
        <v>15</v>
      </c>
      <c r="O152" t="s">
        <v>16</v>
      </c>
      <c r="P152" t="s">
        <v>34</v>
      </c>
      <c r="Q152" t="str">
        <f t="shared" si="17"/>
        <v/>
      </c>
      <c r="R152" s="5">
        <v>46188</v>
      </c>
      <c r="S152" s="8">
        <f t="shared" si="18"/>
        <v>23.170731707317074</v>
      </c>
      <c r="T152">
        <f t="shared" si="19"/>
        <v>114000</v>
      </c>
      <c r="U152" t="str">
        <f t="shared" si="20"/>
        <v>Budget</v>
      </c>
      <c r="V152" t="str">
        <f t="shared" si="21"/>
        <v>Compact</v>
      </c>
      <c r="W152" t="str">
        <f>IF(S152 &lt; VLOOKUP(E152, Locality_Tier_Benchmarks!A:B, 2, FALSE) * 0.7, "Below Tier Range", "Normal")</f>
        <v>Normal</v>
      </c>
      <c r="X152" t="str">
        <f t="shared" si="22"/>
        <v>Normal</v>
      </c>
      <c r="Y152" t="str">
        <f t="shared" si="23"/>
        <v>Normal</v>
      </c>
      <c r="Z152" t="str">
        <f t="shared" si="16"/>
        <v>Pass</v>
      </c>
    </row>
    <row r="153" spans="1:26" x14ac:dyDescent="0.25">
      <c r="A153" s="2" t="s">
        <v>336</v>
      </c>
      <c r="B153" s="2" t="s">
        <v>17</v>
      </c>
      <c r="C153" s="2" t="s">
        <v>184</v>
      </c>
      <c r="D153" s="2" t="str">
        <f>VLOOKUP(C153,Locality_Reference!A:C,2,)</f>
        <v>Western Line</v>
      </c>
      <c r="E153" s="2" t="str">
        <f>VLOOKUP(C153,Locality_Reference!A:C,3,)</f>
        <v>Outer Periphery</v>
      </c>
      <c r="F153" s="2" t="s">
        <v>359</v>
      </c>
      <c r="G153" s="8">
        <v>25000</v>
      </c>
      <c r="H153">
        <v>1</v>
      </c>
      <c r="I153">
        <v>2</v>
      </c>
      <c r="J153">
        <v>2</v>
      </c>
      <c r="K153">
        <v>4</v>
      </c>
      <c r="L153">
        <v>565</v>
      </c>
      <c r="M153" t="s">
        <v>14</v>
      </c>
      <c r="N153" t="s">
        <v>29</v>
      </c>
      <c r="O153" t="s">
        <v>16</v>
      </c>
      <c r="P153" t="s">
        <v>23</v>
      </c>
      <c r="Q153" t="str">
        <f t="shared" si="17"/>
        <v>10</v>
      </c>
      <c r="R153" s="5">
        <v>46128</v>
      </c>
      <c r="S153" s="8">
        <f t="shared" si="18"/>
        <v>44.247787610619469</v>
      </c>
      <c r="T153">
        <f t="shared" si="19"/>
        <v>300000</v>
      </c>
      <c r="U153" t="str">
        <f t="shared" si="20"/>
        <v>Budget</v>
      </c>
      <c r="V153" t="str">
        <f t="shared" si="21"/>
        <v>Medium</v>
      </c>
      <c r="W153" t="str">
        <f>IF(S153 &lt; VLOOKUP(E153, Locality_Tier_Benchmarks!A:B, 2, FALSE) * 0.7, "Below Tier Range", "Normal")</f>
        <v>Normal</v>
      </c>
      <c r="X153" t="str">
        <f t="shared" si="22"/>
        <v>Normal</v>
      </c>
      <c r="Y153" t="str">
        <f t="shared" si="23"/>
        <v>Normal</v>
      </c>
      <c r="Z153" t="str">
        <f t="shared" si="16"/>
        <v>Pass</v>
      </c>
    </row>
    <row r="154" spans="1:26" x14ac:dyDescent="0.25">
      <c r="A154" s="2" t="s">
        <v>337</v>
      </c>
      <c r="B154" s="2" t="s">
        <v>17</v>
      </c>
      <c r="C154" s="2" t="s">
        <v>184</v>
      </c>
      <c r="D154" s="2" t="str">
        <f>VLOOKUP(C154,Locality_Reference!A:C,2,)</f>
        <v>Western Line</v>
      </c>
      <c r="E154" s="2" t="str">
        <f>VLOOKUP(C154,Locality_Reference!A:C,3,)</f>
        <v>Outer Periphery</v>
      </c>
      <c r="F154" s="2" t="s">
        <v>360</v>
      </c>
      <c r="G154" s="8">
        <v>13000</v>
      </c>
      <c r="H154">
        <v>2</v>
      </c>
      <c r="I154">
        <v>2</v>
      </c>
      <c r="J154">
        <v>3</v>
      </c>
      <c r="K154">
        <v>7</v>
      </c>
      <c r="L154">
        <v>600</v>
      </c>
      <c r="M154" t="s">
        <v>36</v>
      </c>
      <c r="N154" t="s">
        <v>15</v>
      </c>
      <c r="O154" t="s">
        <v>16</v>
      </c>
      <c r="P154" t="s">
        <v>34</v>
      </c>
      <c r="Q154" t="str">
        <f t="shared" si="17"/>
        <v/>
      </c>
      <c r="R154" s="5">
        <v>46169</v>
      </c>
      <c r="S154" s="8">
        <f t="shared" si="18"/>
        <v>21.666666666666668</v>
      </c>
      <c r="T154">
        <f t="shared" si="19"/>
        <v>156000</v>
      </c>
      <c r="U154" t="str">
        <f t="shared" si="20"/>
        <v>Budget</v>
      </c>
      <c r="V154" t="str">
        <f t="shared" si="21"/>
        <v>Medium</v>
      </c>
      <c r="W154" t="str">
        <f>IF(S154 &lt; VLOOKUP(E154, Locality_Tier_Benchmarks!A:B, 2, FALSE) * 0.7, "Below Tier Range", "Normal")</f>
        <v>Normal</v>
      </c>
      <c r="X154" t="str">
        <f t="shared" si="22"/>
        <v>Normal</v>
      </c>
      <c r="Y154" t="str">
        <f t="shared" si="23"/>
        <v>Normal</v>
      </c>
      <c r="Z154" t="str">
        <f t="shared" si="16"/>
        <v>Pass</v>
      </c>
    </row>
    <row r="155" spans="1:26" x14ac:dyDescent="0.25">
      <c r="A155" s="2" t="s">
        <v>338</v>
      </c>
      <c r="B155" s="2" t="s">
        <v>17</v>
      </c>
      <c r="C155" s="2" t="s">
        <v>184</v>
      </c>
      <c r="D155" s="2" t="str">
        <f>VLOOKUP(C155,Locality_Reference!A:C,2,)</f>
        <v>Western Line</v>
      </c>
      <c r="E155" s="2" t="str">
        <f>VLOOKUP(C155,Locality_Reference!A:C,3,)</f>
        <v>Outer Periphery</v>
      </c>
      <c r="F155" s="2" t="s">
        <v>361</v>
      </c>
      <c r="G155" s="8">
        <v>12000</v>
      </c>
      <c r="H155">
        <v>2</v>
      </c>
      <c r="I155">
        <v>2</v>
      </c>
      <c r="J155">
        <v>3</v>
      </c>
      <c r="K155">
        <v>9</v>
      </c>
      <c r="L155">
        <v>575</v>
      </c>
      <c r="M155" t="s">
        <v>33</v>
      </c>
      <c r="N155" t="s">
        <v>15</v>
      </c>
      <c r="O155" t="s">
        <v>16</v>
      </c>
      <c r="P155" t="s">
        <v>23</v>
      </c>
      <c r="Q155" t="str">
        <f t="shared" si="17"/>
        <v>10</v>
      </c>
      <c r="R155" s="5">
        <v>46152</v>
      </c>
      <c r="S155" s="8">
        <f t="shared" si="18"/>
        <v>20.869565217391305</v>
      </c>
      <c r="T155">
        <f t="shared" si="19"/>
        <v>144000</v>
      </c>
      <c r="U155" t="str">
        <f t="shared" si="20"/>
        <v>Budget</v>
      </c>
      <c r="V155" t="str">
        <f t="shared" si="21"/>
        <v>Medium</v>
      </c>
      <c r="W155" t="str">
        <f>IF(S155 &lt; VLOOKUP(E155, Locality_Tier_Benchmarks!A:B, 2, FALSE) * 0.7, "Below Tier Range", "Normal")</f>
        <v>Normal</v>
      </c>
      <c r="X155" t="str">
        <f t="shared" si="22"/>
        <v>Normal</v>
      </c>
      <c r="Y155" t="str">
        <f t="shared" si="23"/>
        <v>Normal</v>
      </c>
      <c r="Z155" t="str">
        <f t="shared" si="16"/>
        <v>Pass</v>
      </c>
    </row>
    <row r="156" spans="1:26" x14ac:dyDescent="0.25">
      <c r="A156" s="2" t="s">
        <v>339</v>
      </c>
      <c r="B156" s="2" t="s">
        <v>17</v>
      </c>
      <c r="C156" s="2" t="s">
        <v>184</v>
      </c>
      <c r="D156" s="2" t="str">
        <f>VLOOKUP(C156,Locality_Reference!A:C,2,)</f>
        <v>Western Line</v>
      </c>
      <c r="E156" s="2" t="str">
        <f>VLOOKUP(C156,Locality_Reference!A:C,3,)</f>
        <v>Outer Periphery</v>
      </c>
      <c r="F156" s="2" t="s">
        <v>355</v>
      </c>
      <c r="G156" s="8">
        <v>11500</v>
      </c>
      <c r="H156">
        <v>2</v>
      </c>
      <c r="I156">
        <v>1</v>
      </c>
      <c r="J156">
        <v>5</v>
      </c>
      <c r="K156">
        <v>10</v>
      </c>
      <c r="L156">
        <v>550</v>
      </c>
      <c r="M156" t="s">
        <v>36</v>
      </c>
      <c r="N156" t="s">
        <v>15</v>
      </c>
      <c r="O156" t="s">
        <v>16</v>
      </c>
      <c r="P156" t="s">
        <v>52</v>
      </c>
      <c r="Q156" t="str">
        <f t="shared" si="17"/>
        <v>7.5</v>
      </c>
      <c r="R156" s="5">
        <v>46171</v>
      </c>
      <c r="S156" s="8">
        <f t="shared" si="18"/>
        <v>20.90909090909091</v>
      </c>
      <c r="T156">
        <f t="shared" si="19"/>
        <v>138000</v>
      </c>
      <c r="U156" t="str">
        <f t="shared" si="20"/>
        <v>Budget</v>
      </c>
      <c r="V156" t="str">
        <f t="shared" si="21"/>
        <v>Medium</v>
      </c>
      <c r="W156" t="str">
        <f>IF(S156 &lt; VLOOKUP(E156, Locality_Tier_Benchmarks!A:B, 2, FALSE) * 0.7, "Below Tier Range", "Normal")</f>
        <v>Normal</v>
      </c>
      <c r="X156" t="str">
        <f t="shared" si="22"/>
        <v>Normal</v>
      </c>
      <c r="Y156" t="str">
        <f t="shared" si="23"/>
        <v>Normal</v>
      </c>
      <c r="Z156" t="str">
        <f t="shared" si="16"/>
        <v>Pass</v>
      </c>
    </row>
    <row r="157" spans="1:26" x14ac:dyDescent="0.25">
      <c r="A157" s="2" t="s">
        <v>340</v>
      </c>
      <c r="B157" s="2" t="s">
        <v>17</v>
      </c>
      <c r="C157" s="2" t="s">
        <v>184</v>
      </c>
      <c r="D157" s="2" t="str">
        <f>VLOOKUP(C157,Locality_Reference!A:C,2,)</f>
        <v>Western Line</v>
      </c>
      <c r="E157" s="2" t="str">
        <f>VLOOKUP(C157,Locality_Reference!A:C,3,)</f>
        <v>Outer Periphery</v>
      </c>
      <c r="F157" s="2" t="s">
        <v>362</v>
      </c>
      <c r="G157" s="8">
        <v>16000</v>
      </c>
      <c r="H157">
        <v>2</v>
      </c>
      <c r="I157">
        <v>2</v>
      </c>
      <c r="J157">
        <v>5</v>
      </c>
      <c r="K157">
        <v>8</v>
      </c>
      <c r="L157">
        <v>650</v>
      </c>
      <c r="M157" t="s">
        <v>33</v>
      </c>
      <c r="N157" t="s">
        <v>15</v>
      </c>
      <c r="O157" t="s">
        <v>16</v>
      </c>
      <c r="P157" t="s">
        <v>52</v>
      </c>
      <c r="Q157" t="str">
        <f t="shared" si="17"/>
        <v>7.5</v>
      </c>
      <c r="R157" s="5">
        <v>46147</v>
      </c>
      <c r="S157" s="8">
        <f t="shared" si="18"/>
        <v>24.615384615384617</v>
      </c>
      <c r="T157">
        <f t="shared" si="19"/>
        <v>192000</v>
      </c>
      <c r="U157" t="str">
        <f t="shared" si="20"/>
        <v>Budget</v>
      </c>
      <c r="V157" t="str">
        <f t="shared" si="21"/>
        <v>Medium</v>
      </c>
      <c r="W157" t="str">
        <f>IF(S157 &lt; VLOOKUP(E157, Locality_Tier_Benchmarks!A:B, 2, FALSE) * 0.7, "Below Tier Range", "Normal")</f>
        <v>Normal</v>
      </c>
      <c r="X157" t="str">
        <f t="shared" si="22"/>
        <v>Normal</v>
      </c>
      <c r="Y157" t="str">
        <f t="shared" si="23"/>
        <v>Normal</v>
      </c>
      <c r="Z157" t="str">
        <f t="shared" si="16"/>
        <v>Pass</v>
      </c>
    </row>
    <row r="158" spans="1:26" x14ac:dyDescent="0.25">
      <c r="A158" s="2" t="s">
        <v>341</v>
      </c>
      <c r="B158" s="2" t="s">
        <v>17</v>
      </c>
      <c r="C158" s="2" t="s">
        <v>184</v>
      </c>
      <c r="D158" s="2" t="str">
        <f>VLOOKUP(C158,Locality_Reference!A:C,2,)</f>
        <v>Western Line</v>
      </c>
      <c r="E158" s="2" t="str">
        <f>VLOOKUP(C158,Locality_Reference!A:C,3,)</f>
        <v>Outer Periphery</v>
      </c>
      <c r="F158" s="2" t="s">
        <v>363</v>
      </c>
      <c r="G158" s="8">
        <v>20000</v>
      </c>
      <c r="H158">
        <v>2</v>
      </c>
      <c r="I158">
        <v>2</v>
      </c>
      <c r="J158">
        <v>6</v>
      </c>
      <c r="K158">
        <v>7</v>
      </c>
      <c r="L158">
        <v>650</v>
      </c>
      <c r="M158" t="s">
        <v>36</v>
      </c>
      <c r="N158" t="s">
        <v>15</v>
      </c>
      <c r="O158" t="s">
        <v>16</v>
      </c>
      <c r="P158" t="s">
        <v>52</v>
      </c>
      <c r="Q158" t="str">
        <f t="shared" si="17"/>
        <v>7.5</v>
      </c>
      <c r="R158" s="5">
        <v>46146</v>
      </c>
      <c r="S158" s="8">
        <f t="shared" si="18"/>
        <v>30.76923076923077</v>
      </c>
      <c r="T158">
        <f t="shared" si="19"/>
        <v>240000</v>
      </c>
      <c r="U158" t="str">
        <f t="shared" si="20"/>
        <v>Budget</v>
      </c>
      <c r="V158" t="str">
        <f t="shared" si="21"/>
        <v>Medium</v>
      </c>
      <c r="W158" t="str">
        <f>IF(S158 &lt; VLOOKUP(E158, Locality_Tier_Benchmarks!A:B, 2, FALSE) * 0.7, "Below Tier Range", "Normal")</f>
        <v>Normal</v>
      </c>
      <c r="X158" t="str">
        <f t="shared" si="22"/>
        <v>Normal</v>
      </c>
      <c r="Y158" t="str">
        <f t="shared" si="23"/>
        <v>Normal</v>
      </c>
      <c r="Z158" t="str">
        <f t="shared" si="16"/>
        <v>Pass</v>
      </c>
    </row>
    <row r="159" spans="1:26" x14ac:dyDescent="0.25">
      <c r="A159" s="2" t="s">
        <v>342</v>
      </c>
      <c r="B159" s="2" t="s">
        <v>17</v>
      </c>
      <c r="C159" s="2" t="s">
        <v>368</v>
      </c>
      <c r="D159" s="2" t="str">
        <f>VLOOKUP(C159,Locality_Reference!A:C,2,)</f>
        <v>Western Line</v>
      </c>
      <c r="E159" s="2" t="str">
        <f>VLOOKUP(C159,Locality_Reference!A:C,3,)</f>
        <v>Outer Periphery</v>
      </c>
      <c r="F159" s="2" t="s">
        <v>370</v>
      </c>
      <c r="G159" s="8">
        <v>11000</v>
      </c>
      <c r="H159">
        <v>1</v>
      </c>
      <c r="I159">
        <v>1</v>
      </c>
      <c r="J159">
        <v>3</v>
      </c>
      <c r="K159">
        <v>7</v>
      </c>
      <c r="L159">
        <v>400</v>
      </c>
      <c r="M159" t="s">
        <v>36</v>
      </c>
      <c r="N159" t="s">
        <v>29</v>
      </c>
      <c r="O159" t="s">
        <v>16</v>
      </c>
      <c r="P159" t="s">
        <v>34</v>
      </c>
      <c r="Q159" t="str">
        <f t="shared" si="17"/>
        <v/>
      </c>
      <c r="R159" s="5">
        <v>46195</v>
      </c>
      <c r="S159" s="8">
        <f t="shared" si="18"/>
        <v>27.5</v>
      </c>
      <c r="T159">
        <f t="shared" si="19"/>
        <v>132000</v>
      </c>
      <c r="U159" t="str">
        <f t="shared" si="20"/>
        <v>Budget</v>
      </c>
      <c r="V159" t="str">
        <f t="shared" si="21"/>
        <v>Compact</v>
      </c>
      <c r="W159" t="str">
        <f>IF(S159 &lt; VLOOKUP(E159, Locality_Tier_Benchmarks!A:B, 2, FALSE) * 0.7, "Below Tier Range", "Normal")</f>
        <v>Normal</v>
      </c>
      <c r="X159" t="str">
        <f t="shared" si="22"/>
        <v>Normal</v>
      </c>
      <c r="Y159" t="str">
        <f t="shared" si="23"/>
        <v>Normal</v>
      </c>
      <c r="Z159" t="str">
        <f t="shared" si="16"/>
        <v>Pass</v>
      </c>
    </row>
    <row r="160" spans="1:26" x14ac:dyDescent="0.25">
      <c r="A160" s="2" t="s">
        <v>343</v>
      </c>
      <c r="B160" s="2" t="s">
        <v>17</v>
      </c>
      <c r="C160" s="2" t="s">
        <v>368</v>
      </c>
      <c r="D160" s="2" t="str">
        <f>VLOOKUP(C160,Locality_Reference!A:C,2,)</f>
        <v>Western Line</v>
      </c>
      <c r="E160" s="2" t="str">
        <f>VLOOKUP(C160,Locality_Reference!A:C,3,)</f>
        <v>Outer Periphery</v>
      </c>
      <c r="F160" s="2" t="s">
        <v>371</v>
      </c>
      <c r="G160" s="8">
        <v>6000</v>
      </c>
      <c r="H160">
        <v>1</v>
      </c>
      <c r="I160">
        <v>1</v>
      </c>
      <c r="J160">
        <v>0</v>
      </c>
      <c r="K160">
        <v>5</v>
      </c>
      <c r="L160">
        <v>315</v>
      </c>
      <c r="M160" t="s">
        <v>33</v>
      </c>
      <c r="N160" t="s">
        <v>15</v>
      </c>
      <c r="O160" t="s">
        <v>16</v>
      </c>
      <c r="P160" t="s">
        <v>23</v>
      </c>
      <c r="Q160" t="str">
        <f t="shared" si="17"/>
        <v>10</v>
      </c>
      <c r="R160" s="5">
        <v>46191</v>
      </c>
      <c r="S160" s="8">
        <f t="shared" si="18"/>
        <v>19.047619047619047</v>
      </c>
      <c r="T160">
        <f t="shared" si="19"/>
        <v>72000</v>
      </c>
      <c r="U160" t="str">
        <f t="shared" si="20"/>
        <v>Budget</v>
      </c>
      <c r="V160" t="str">
        <f t="shared" si="21"/>
        <v>Compact</v>
      </c>
      <c r="W160" t="str">
        <f>IF(S160 &lt; VLOOKUP(E160, Locality_Tier_Benchmarks!A:B, 2, FALSE) * 0.7, "Below Tier Range", "Normal")</f>
        <v>Normal</v>
      </c>
      <c r="X160" t="str">
        <f t="shared" si="22"/>
        <v>Below Absolute Floor</v>
      </c>
      <c r="Y160" t="str">
        <f t="shared" si="23"/>
        <v>Normal</v>
      </c>
      <c r="Z160" t="str">
        <f t="shared" si="16"/>
        <v>Review</v>
      </c>
    </row>
    <row r="161" spans="1:26" x14ac:dyDescent="0.25">
      <c r="A161" s="2" t="s">
        <v>344</v>
      </c>
      <c r="B161" s="2" t="s">
        <v>17</v>
      </c>
      <c r="C161" s="2" t="s">
        <v>368</v>
      </c>
      <c r="D161" s="2" t="str">
        <f>VLOOKUP(C161,Locality_Reference!A:C,2,)</f>
        <v>Western Line</v>
      </c>
      <c r="E161" s="2" t="str">
        <f>VLOOKUP(C161,Locality_Reference!A:C,3,)</f>
        <v>Outer Periphery</v>
      </c>
      <c r="F161" s="2" t="s">
        <v>372</v>
      </c>
      <c r="G161" s="8">
        <v>5000</v>
      </c>
      <c r="H161">
        <v>1</v>
      </c>
      <c r="I161">
        <v>1</v>
      </c>
      <c r="J161">
        <v>2</v>
      </c>
      <c r="K161">
        <v>4</v>
      </c>
      <c r="L161">
        <v>325</v>
      </c>
      <c r="M161" t="s">
        <v>33</v>
      </c>
      <c r="N161" t="s">
        <v>15</v>
      </c>
      <c r="O161" t="s">
        <v>16</v>
      </c>
      <c r="P161" t="s">
        <v>34</v>
      </c>
      <c r="Q161" t="str">
        <f t="shared" si="17"/>
        <v/>
      </c>
      <c r="R161" s="5">
        <v>46189</v>
      </c>
      <c r="S161" s="8">
        <f t="shared" si="18"/>
        <v>15.384615384615385</v>
      </c>
      <c r="T161">
        <f t="shared" si="19"/>
        <v>60000</v>
      </c>
      <c r="U161" t="str">
        <f t="shared" si="20"/>
        <v>Budget</v>
      </c>
      <c r="V161" t="str">
        <f t="shared" si="21"/>
        <v>Compact</v>
      </c>
      <c r="W161" t="str">
        <f>IF(S161 &lt; VLOOKUP(E161, Locality_Tier_Benchmarks!A:B, 2, FALSE) * 0.7, "Below Tier Range", "Normal")</f>
        <v>Normal</v>
      </c>
      <c r="X161" t="str">
        <f t="shared" si="22"/>
        <v>Below Absolute Floor</v>
      </c>
      <c r="Y161" t="str">
        <f t="shared" si="23"/>
        <v>Normal</v>
      </c>
      <c r="Z161" t="str">
        <f t="shared" si="16"/>
        <v>Review</v>
      </c>
    </row>
    <row r="162" spans="1:26" x14ac:dyDescent="0.25">
      <c r="A162" s="2" t="s">
        <v>345</v>
      </c>
      <c r="B162" s="2" t="s">
        <v>17</v>
      </c>
      <c r="C162" s="2" t="s">
        <v>368</v>
      </c>
      <c r="D162" s="2" t="str">
        <f>VLOOKUP(C162,Locality_Reference!A:C,2,)</f>
        <v>Western Line</v>
      </c>
      <c r="E162" s="2" t="str">
        <f>VLOOKUP(C162,Locality_Reference!A:C,3,)</f>
        <v>Outer Periphery</v>
      </c>
      <c r="F162" s="2" t="s">
        <v>373</v>
      </c>
      <c r="G162" s="8">
        <v>11000</v>
      </c>
      <c r="H162">
        <v>1</v>
      </c>
      <c r="I162">
        <v>2</v>
      </c>
      <c r="J162">
        <v>9</v>
      </c>
      <c r="K162">
        <v>14</v>
      </c>
      <c r="L162">
        <v>400</v>
      </c>
      <c r="M162" t="s">
        <v>36</v>
      </c>
      <c r="N162" t="s">
        <v>15</v>
      </c>
      <c r="O162" t="s">
        <v>16</v>
      </c>
      <c r="P162" t="s">
        <v>34</v>
      </c>
      <c r="Q162" t="str">
        <f t="shared" si="17"/>
        <v/>
      </c>
      <c r="R162" s="5">
        <v>46184</v>
      </c>
      <c r="S162" s="8">
        <f t="shared" si="18"/>
        <v>27.5</v>
      </c>
      <c r="T162">
        <f t="shared" si="19"/>
        <v>132000</v>
      </c>
      <c r="U162" t="str">
        <f t="shared" si="20"/>
        <v>Budget</v>
      </c>
      <c r="V162" t="str">
        <f t="shared" si="21"/>
        <v>Compact</v>
      </c>
      <c r="W162" t="str">
        <f>IF(S162 &lt; VLOOKUP(E162, Locality_Tier_Benchmarks!A:B, 2, FALSE) * 0.7, "Below Tier Range", "Normal")</f>
        <v>Normal</v>
      </c>
      <c r="X162" t="str">
        <f t="shared" si="22"/>
        <v>Normal</v>
      </c>
      <c r="Y162" t="str">
        <f t="shared" si="23"/>
        <v>Normal</v>
      </c>
      <c r="Z162" t="str">
        <f t="shared" si="16"/>
        <v>Pass</v>
      </c>
    </row>
    <row r="163" spans="1:26" x14ac:dyDescent="0.25">
      <c r="A163" s="2" t="s">
        <v>346</v>
      </c>
      <c r="B163" s="2" t="s">
        <v>17</v>
      </c>
      <c r="C163" s="2" t="s">
        <v>368</v>
      </c>
      <c r="D163" s="2" t="str">
        <f>VLOOKUP(C163,Locality_Reference!A:C,2,)</f>
        <v>Western Line</v>
      </c>
      <c r="E163" s="2" t="str">
        <f>VLOOKUP(C163,Locality_Reference!A:C,3,)</f>
        <v>Outer Periphery</v>
      </c>
      <c r="F163" s="2" t="s">
        <v>374</v>
      </c>
      <c r="G163" s="8">
        <v>9000</v>
      </c>
      <c r="H163">
        <v>1</v>
      </c>
      <c r="I163">
        <v>1</v>
      </c>
      <c r="J163">
        <v>0</v>
      </c>
      <c r="K163">
        <v>2</v>
      </c>
      <c r="L163">
        <v>500</v>
      </c>
      <c r="M163" t="s">
        <v>36</v>
      </c>
      <c r="N163" t="s">
        <v>15</v>
      </c>
      <c r="O163" t="s">
        <v>16</v>
      </c>
      <c r="P163" t="s">
        <v>23</v>
      </c>
      <c r="Q163" t="str">
        <f t="shared" si="17"/>
        <v>10</v>
      </c>
      <c r="R163" s="5">
        <v>46183</v>
      </c>
      <c r="S163" s="8">
        <f t="shared" si="18"/>
        <v>18</v>
      </c>
      <c r="T163">
        <f t="shared" si="19"/>
        <v>108000</v>
      </c>
      <c r="U163" t="str">
        <f t="shared" si="20"/>
        <v>Budget</v>
      </c>
      <c r="V163" t="str">
        <f t="shared" si="21"/>
        <v>Compact</v>
      </c>
      <c r="W163" t="str">
        <f>IF(S163 &lt; VLOOKUP(E163, Locality_Tier_Benchmarks!A:B, 2, FALSE) * 0.7, "Below Tier Range", "Normal")</f>
        <v>Normal</v>
      </c>
      <c r="X163" t="str">
        <f t="shared" si="22"/>
        <v>Normal</v>
      </c>
      <c r="Y163" t="str">
        <f t="shared" si="23"/>
        <v>Normal</v>
      </c>
      <c r="Z163" t="str">
        <f t="shared" si="16"/>
        <v>Pass</v>
      </c>
    </row>
    <row r="164" spans="1:26" x14ac:dyDescent="0.25">
      <c r="A164" s="2" t="s">
        <v>347</v>
      </c>
      <c r="B164" s="2" t="s">
        <v>17</v>
      </c>
      <c r="C164" s="2" t="s">
        <v>368</v>
      </c>
      <c r="D164" s="2" t="str">
        <f>VLOOKUP(C164,Locality_Reference!A:C,2,)</f>
        <v>Western Line</v>
      </c>
      <c r="E164" s="2" t="str">
        <f>VLOOKUP(C164,Locality_Reference!A:C,3,)</f>
        <v>Outer Periphery</v>
      </c>
      <c r="F164" s="2" t="s">
        <v>383</v>
      </c>
      <c r="G164" s="8">
        <v>18000</v>
      </c>
      <c r="H164">
        <v>2</v>
      </c>
      <c r="I164">
        <v>2</v>
      </c>
      <c r="J164">
        <v>2</v>
      </c>
      <c r="K164">
        <v>4</v>
      </c>
      <c r="L164">
        <v>832</v>
      </c>
      <c r="M164" t="s">
        <v>36</v>
      </c>
      <c r="N164" t="s">
        <v>15</v>
      </c>
      <c r="O164" t="s">
        <v>16</v>
      </c>
      <c r="P164" t="s">
        <v>23</v>
      </c>
      <c r="Q164" t="str">
        <f t="shared" si="17"/>
        <v>10</v>
      </c>
      <c r="R164" s="5">
        <v>46195</v>
      </c>
      <c r="S164" s="8">
        <f t="shared" si="18"/>
        <v>21.634615384615383</v>
      </c>
      <c r="T164">
        <f t="shared" si="19"/>
        <v>216000</v>
      </c>
      <c r="U164" t="str">
        <f t="shared" si="20"/>
        <v>Budget</v>
      </c>
      <c r="V164" t="str">
        <f t="shared" si="21"/>
        <v>Large</v>
      </c>
      <c r="W164" t="str">
        <f>IF(S164 &lt; VLOOKUP(E164, Locality_Tier_Benchmarks!A:B, 2, FALSE) * 0.7, "Below Tier Range", "Normal")</f>
        <v>Normal</v>
      </c>
      <c r="X164" t="str">
        <f t="shared" si="22"/>
        <v>Normal</v>
      </c>
      <c r="Y164" t="str">
        <f t="shared" si="23"/>
        <v>Normal</v>
      </c>
      <c r="Z164" t="str">
        <f t="shared" si="16"/>
        <v>Pass</v>
      </c>
    </row>
    <row r="165" spans="1:26" x14ac:dyDescent="0.25">
      <c r="A165" s="2" t="s">
        <v>348</v>
      </c>
      <c r="B165" s="2" t="s">
        <v>17</v>
      </c>
      <c r="C165" s="2" t="s">
        <v>368</v>
      </c>
      <c r="D165" s="2" t="str">
        <f>VLOOKUP(C165,Locality_Reference!A:C,2,)</f>
        <v>Western Line</v>
      </c>
      <c r="E165" s="2" t="str">
        <f>VLOOKUP(C165,Locality_Reference!A:C,3,)</f>
        <v>Outer Periphery</v>
      </c>
      <c r="F165" s="2" t="s">
        <v>384</v>
      </c>
      <c r="G165" s="8">
        <v>12000</v>
      </c>
      <c r="H165">
        <v>2</v>
      </c>
      <c r="I165">
        <v>1</v>
      </c>
      <c r="J165">
        <v>2</v>
      </c>
      <c r="K165">
        <v>3</v>
      </c>
      <c r="L165">
        <v>750</v>
      </c>
      <c r="M165" t="s">
        <v>36</v>
      </c>
      <c r="N165" t="s">
        <v>15</v>
      </c>
      <c r="O165" t="s">
        <v>16</v>
      </c>
      <c r="P165" t="s">
        <v>23</v>
      </c>
      <c r="Q165" t="str">
        <f t="shared" si="17"/>
        <v>10</v>
      </c>
      <c r="R165" s="5">
        <v>46193</v>
      </c>
      <c r="S165" s="8">
        <f t="shared" si="18"/>
        <v>16</v>
      </c>
      <c r="T165">
        <f t="shared" si="19"/>
        <v>144000</v>
      </c>
      <c r="U165" t="str">
        <f t="shared" si="20"/>
        <v>Budget</v>
      </c>
      <c r="V165" t="str">
        <f t="shared" si="21"/>
        <v>Medium</v>
      </c>
      <c r="W165" t="str">
        <f>IF(S165 &lt; VLOOKUP(E165, Locality_Tier_Benchmarks!A:B, 2, FALSE) * 0.7, "Below Tier Range", "Normal")</f>
        <v>Normal</v>
      </c>
      <c r="X165" t="str">
        <f t="shared" si="22"/>
        <v>Normal</v>
      </c>
      <c r="Y165" t="str">
        <f t="shared" si="23"/>
        <v>Normal</v>
      </c>
      <c r="Z165" t="str">
        <f t="shared" si="16"/>
        <v>Pass</v>
      </c>
    </row>
    <row r="166" spans="1:26" x14ac:dyDescent="0.25">
      <c r="A166" s="2" t="s">
        <v>349</v>
      </c>
      <c r="B166" s="2" t="s">
        <v>17</v>
      </c>
      <c r="C166" s="2" t="s">
        <v>368</v>
      </c>
      <c r="D166" s="2" t="str">
        <f>VLOOKUP(C166,Locality_Reference!A:C,2,)</f>
        <v>Western Line</v>
      </c>
      <c r="E166" s="2" t="str">
        <f>VLOOKUP(C166,Locality_Reference!A:C,3,)</f>
        <v>Outer Periphery</v>
      </c>
      <c r="F166" s="2" t="s">
        <v>385</v>
      </c>
      <c r="G166" s="8">
        <v>18000</v>
      </c>
      <c r="H166">
        <v>2</v>
      </c>
      <c r="I166">
        <v>2</v>
      </c>
      <c r="J166">
        <v>0</v>
      </c>
      <c r="K166">
        <v>4</v>
      </c>
      <c r="L166">
        <v>675</v>
      </c>
      <c r="M166" t="s">
        <v>33</v>
      </c>
      <c r="N166" t="s">
        <v>15</v>
      </c>
      <c r="O166" t="s">
        <v>16</v>
      </c>
      <c r="P166" t="s">
        <v>52</v>
      </c>
      <c r="Q166" t="str">
        <f t="shared" si="17"/>
        <v>7.5</v>
      </c>
      <c r="R166" s="5">
        <v>46183</v>
      </c>
      <c r="S166" s="8">
        <f t="shared" si="18"/>
        <v>26.666666666666668</v>
      </c>
      <c r="T166">
        <f t="shared" si="19"/>
        <v>216000</v>
      </c>
      <c r="U166" t="str">
        <f t="shared" si="20"/>
        <v>Budget</v>
      </c>
      <c r="V166" t="str">
        <f t="shared" si="21"/>
        <v>Medium</v>
      </c>
      <c r="W166" t="str">
        <f>IF(S166 &lt; VLOOKUP(E166, Locality_Tier_Benchmarks!A:B, 2, FALSE) * 0.7, "Below Tier Range", "Normal")</f>
        <v>Normal</v>
      </c>
      <c r="X166" t="str">
        <f t="shared" si="22"/>
        <v>Normal</v>
      </c>
      <c r="Y166" t="str">
        <f t="shared" si="23"/>
        <v>Normal</v>
      </c>
      <c r="Z166" t="str">
        <f t="shared" si="16"/>
        <v>Pass</v>
      </c>
    </row>
    <row r="167" spans="1:26" x14ac:dyDescent="0.25">
      <c r="A167" s="2" t="s">
        <v>350</v>
      </c>
      <c r="B167" s="2" t="s">
        <v>17</v>
      </c>
      <c r="C167" s="2" t="s">
        <v>368</v>
      </c>
      <c r="D167" s="2" t="str">
        <f>VLOOKUP(C167,Locality_Reference!A:C,2,)</f>
        <v>Western Line</v>
      </c>
      <c r="E167" s="2" t="str">
        <f>VLOOKUP(C167,Locality_Reference!A:C,3,)</f>
        <v>Outer Periphery</v>
      </c>
      <c r="F167" s="2" t="s">
        <v>386</v>
      </c>
      <c r="G167" s="8">
        <v>19500</v>
      </c>
      <c r="H167">
        <v>2</v>
      </c>
      <c r="I167">
        <v>3</v>
      </c>
      <c r="J167">
        <v>2</v>
      </c>
      <c r="K167">
        <v>4</v>
      </c>
      <c r="L167">
        <v>690</v>
      </c>
      <c r="M167" t="s">
        <v>14</v>
      </c>
      <c r="N167" t="s">
        <v>29</v>
      </c>
      <c r="O167" t="s">
        <v>16</v>
      </c>
      <c r="P167" t="s">
        <v>31</v>
      </c>
      <c r="Q167" t="str">
        <f t="shared" si="17"/>
        <v>3</v>
      </c>
      <c r="R167" s="5">
        <v>46165</v>
      </c>
      <c r="S167" s="8">
        <f t="shared" si="18"/>
        <v>28.260869565217391</v>
      </c>
      <c r="T167">
        <f t="shared" si="19"/>
        <v>234000</v>
      </c>
      <c r="U167" t="str">
        <f t="shared" si="20"/>
        <v>Budget</v>
      </c>
      <c r="V167" t="str">
        <f t="shared" si="21"/>
        <v>Medium</v>
      </c>
      <c r="W167" t="str">
        <f>IF(S167 &lt; VLOOKUP(E167, Locality_Tier_Benchmarks!A:B, 2, FALSE) * 0.7, "Below Tier Range", "Normal")</f>
        <v>Normal</v>
      </c>
      <c r="X167" t="str">
        <f t="shared" si="22"/>
        <v>Normal</v>
      </c>
      <c r="Y167" t="str">
        <f t="shared" si="23"/>
        <v>Normal</v>
      </c>
      <c r="Z167" t="str">
        <f t="shared" si="16"/>
        <v>Pass</v>
      </c>
    </row>
    <row r="168" spans="1:26" x14ac:dyDescent="0.25">
      <c r="A168" s="2" t="s">
        <v>351</v>
      </c>
      <c r="B168" s="2" t="s">
        <v>17</v>
      </c>
      <c r="C168" s="2" t="s">
        <v>368</v>
      </c>
      <c r="D168" s="2" t="str">
        <f>VLOOKUP(C168,Locality_Reference!A:C,2,)</f>
        <v>Western Line</v>
      </c>
      <c r="E168" s="2" t="str">
        <f>VLOOKUP(C168,Locality_Reference!A:C,3,)</f>
        <v>Outer Periphery</v>
      </c>
      <c r="F168" s="2" t="s">
        <v>387</v>
      </c>
      <c r="G168" s="8">
        <v>13000</v>
      </c>
      <c r="H168">
        <v>2</v>
      </c>
      <c r="I168">
        <v>2</v>
      </c>
      <c r="J168">
        <v>2</v>
      </c>
      <c r="K168">
        <v>2</v>
      </c>
      <c r="L168">
        <v>750</v>
      </c>
      <c r="M168" t="s">
        <v>33</v>
      </c>
      <c r="N168" t="s">
        <v>15</v>
      </c>
      <c r="O168" t="s">
        <v>16</v>
      </c>
      <c r="P168" t="s">
        <v>23</v>
      </c>
      <c r="Q168" t="str">
        <f t="shared" si="17"/>
        <v>10</v>
      </c>
      <c r="R168" s="5">
        <v>46153</v>
      </c>
      <c r="S168" s="8">
        <f t="shared" si="18"/>
        <v>17.333333333333332</v>
      </c>
      <c r="T168">
        <f t="shared" si="19"/>
        <v>156000</v>
      </c>
      <c r="U168" t="str">
        <f t="shared" si="20"/>
        <v>Budget</v>
      </c>
      <c r="V168" t="str">
        <f t="shared" si="21"/>
        <v>Medium</v>
      </c>
      <c r="W168" t="str">
        <f>IF(S168 &lt; VLOOKUP(E168, Locality_Tier_Benchmarks!A:B, 2, FALSE) * 0.7, "Below Tier Range", "Normal")</f>
        <v>Normal</v>
      </c>
      <c r="X168" t="str">
        <f t="shared" si="22"/>
        <v>Normal</v>
      </c>
      <c r="Y168" t="str">
        <f t="shared" si="23"/>
        <v>Normal</v>
      </c>
      <c r="Z168" t="str">
        <f t="shared" si="16"/>
        <v>Pass</v>
      </c>
    </row>
    <row r="169" spans="1:26" x14ac:dyDescent="0.25">
      <c r="A169" s="2" t="s">
        <v>352</v>
      </c>
      <c r="B169" s="2" t="s">
        <v>17</v>
      </c>
      <c r="C169" s="2" t="s">
        <v>368</v>
      </c>
      <c r="D169" s="2" t="str">
        <f>VLOOKUP(C169,Locality_Reference!A:C,2,)</f>
        <v>Western Line</v>
      </c>
      <c r="E169" s="2" t="str">
        <f>VLOOKUP(C169,Locality_Reference!A:C,3,)</f>
        <v>Outer Periphery</v>
      </c>
      <c r="F169" s="2" t="s">
        <v>388</v>
      </c>
      <c r="G169" s="8">
        <v>20000</v>
      </c>
      <c r="H169">
        <v>3</v>
      </c>
      <c r="I169">
        <v>4</v>
      </c>
      <c r="J169">
        <v>4</v>
      </c>
      <c r="K169">
        <v>4</v>
      </c>
      <c r="L169">
        <v>700</v>
      </c>
      <c r="M169" t="s">
        <v>14</v>
      </c>
      <c r="N169" t="s">
        <v>15</v>
      </c>
      <c r="O169" t="s">
        <v>16</v>
      </c>
      <c r="P169" t="s">
        <v>52</v>
      </c>
      <c r="Q169" t="str">
        <f t="shared" si="17"/>
        <v>7.5</v>
      </c>
      <c r="R169" s="5">
        <v>46173</v>
      </c>
      <c r="S169" s="8">
        <f t="shared" si="18"/>
        <v>28.571428571428573</v>
      </c>
      <c r="T169">
        <f t="shared" si="19"/>
        <v>240000</v>
      </c>
      <c r="U169" t="str">
        <f t="shared" si="20"/>
        <v>Budget</v>
      </c>
      <c r="V169" t="str">
        <f t="shared" si="21"/>
        <v>Medium</v>
      </c>
      <c r="W169" t="str">
        <f>IF(S169 &lt; VLOOKUP(E169, Locality_Tier_Benchmarks!A:B, 2, FALSE) * 0.7, "Below Tier Range", "Normal")</f>
        <v>Normal</v>
      </c>
      <c r="X169" t="str">
        <f t="shared" si="22"/>
        <v>Normal</v>
      </c>
      <c r="Y169" t="str">
        <f t="shared" si="23"/>
        <v>Normal</v>
      </c>
      <c r="Z169" t="str">
        <f t="shared" si="16"/>
        <v>Pass</v>
      </c>
    </row>
    <row r="170" spans="1:26" x14ac:dyDescent="0.25">
      <c r="A170" s="2" t="s">
        <v>353</v>
      </c>
      <c r="B170" s="2" t="s">
        <v>17</v>
      </c>
      <c r="C170" s="2" t="s">
        <v>369</v>
      </c>
      <c r="D170" s="2" t="str">
        <f>VLOOKUP(C170,Locality_Reference!A:C,2,)</f>
        <v>Western Line</v>
      </c>
      <c r="E170" s="2" t="str">
        <f>VLOOKUP(C170,Locality_Reference!A:C,3,)</f>
        <v>Outer Periphery</v>
      </c>
      <c r="F170" s="2" t="s">
        <v>376</v>
      </c>
      <c r="G170" s="8">
        <v>17000</v>
      </c>
      <c r="H170">
        <v>1</v>
      </c>
      <c r="I170">
        <v>2</v>
      </c>
      <c r="J170">
        <v>1</v>
      </c>
      <c r="K170">
        <v>7</v>
      </c>
      <c r="L170">
        <v>550</v>
      </c>
      <c r="M170" t="s">
        <v>36</v>
      </c>
      <c r="N170" t="s">
        <v>15</v>
      </c>
      <c r="O170" t="s">
        <v>16</v>
      </c>
      <c r="P170" t="s">
        <v>31</v>
      </c>
      <c r="Q170" t="str">
        <f t="shared" si="17"/>
        <v>3</v>
      </c>
      <c r="R170" s="5">
        <v>46183</v>
      </c>
      <c r="S170" s="8">
        <f t="shared" si="18"/>
        <v>30.90909090909091</v>
      </c>
      <c r="T170">
        <f t="shared" si="19"/>
        <v>204000</v>
      </c>
      <c r="U170" t="str">
        <f t="shared" si="20"/>
        <v>Budget</v>
      </c>
      <c r="V170" t="str">
        <f t="shared" si="21"/>
        <v>Medium</v>
      </c>
      <c r="W170" t="str">
        <f>IF(S170 &lt; VLOOKUP(E170, Locality_Tier_Benchmarks!A:B, 2, FALSE) * 0.7, "Below Tier Range", "Normal")</f>
        <v>Normal</v>
      </c>
      <c r="X170" t="str">
        <f t="shared" si="22"/>
        <v>Normal</v>
      </c>
      <c r="Y170" t="str">
        <f t="shared" si="23"/>
        <v>Normal</v>
      </c>
      <c r="Z170" t="str">
        <f t="shared" si="16"/>
        <v>Pass</v>
      </c>
    </row>
    <row r="171" spans="1:26" x14ac:dyDescent="0.25">
      <c r="A171" s="2" t="s">
        <v>406</v>
      </c>
      <c r="B171" s="2" t="s">
        <v>17</v>
      </c>
      <c r="C171" s="2" t="s">
        <v>369</v>
      </c>
      <c r="D171" s="2" t="str">
        <f>VLOOKUP(C171,Locality_Reference!A:C,2,)</f>
        <v>Western Line</v>
      </c>
      <c r="E171" s="2" t="str">
        <f>VLOOKUP(C171,Locality_Reference!A:C,3,)</f>
        <v>Outer Periphery</v>
      </c>
      <c r="F171" s="2" t="s">
        <v>375</v>
      </c>
      <c r="G171" s="8">
        <v>14000</v>
      </c>
      <c r="H171">
        <v>1</v>
      </c>
      <c r="I171">
        <v>2</v>
      </c>
      <c r="J171">
        <v>1</v>
      </c>
      <c r="K171">
        <v>14</v>
      </c>
      <c r="L171">
        <v>442</v>
      </c>
      <c r="M171" t="s">
        <v>33</v>
      </c>
      <c r="N171" t="s">
        <v>15</v>
      </c>
      <c r="O171" t="s">
        <v>16</v>
      </c>
      <c r="P171" t="s">
        <v>31</v>
      </c>
      <c r="Q171" t="str">
        <f t="shared" si="17"/>
        <v>3</v>
      </c>
      <c r="R171" s="5">
        <v>46183</v>
      </c>
      <c r="S171" s="8">
        <f t="shared" si="18"/>
        <v>31.674208144796381</v>
      </c>
      <c r="T171">
        <f t="shared" si="19"/>
        <v>168000</v>
      </c>
      <c r="U171" t="str">
        <f t="shared" si="20"/>
        <v>Budget</v>
      </c>
      <c r="V171" t="str">
        <f t="shared" si="21"/>
        <v>Compact</v>
      </c>
      <c r="W171" t="str">
        <f>IF(S171 &lt; VLOOKUP(E171, Locality_Tier_Benchmarks!A:B, 2, FALSE) * 0.7, "Below Tier Range", "Normal")</f>
        <v>Normal</v>
      </c>
      <c r="X171" t="str">
        <f t="shared" si="22"/>
        <v>Normal</v>
      </c>
      <c r="Y171" t="str">
        <f t="shared" si="23"/>
        <v>Normal</v>
      </c>
      <c r="Z171" t="str">
        <f t="shared" si="16"/>
        <v>Pass</v>
      </c>
    </row>
    <row r="172" spans="1:26" x14ac:dyDescent="0.25">
      <c r="A172" s="2" t="s">
        <v>407</v>
      </c>
      <c r="B172" s="2" t="s">
        <v>17</v>
      </c>
      <c r="C172" s="2" t="s">
        <v>369</v>
      </c>
      <c r="D172" s="2" t="str">
        <f>VLOOKUP(C172,Locality_Reference!A:C,2,)</f>
        <v>Western Line</v>
      </c>
      <c r="E172" s="2" t="str">
        <f>VLOOKUP(C172,Locality_Reference!A:C,3,)</f>
        <v>Outer Periphery</v>
      </c>
      <c r="F172" s="2" t="s">
        <v>377</v>
      </c>
      <c r="G172" s="8">
        <v>16000</v>
      </c>
      <c r="H172">
        <v>1</v>
      </c>
      <c r="I172">
        <v>2</v>
      </c>
      <c r="J172">
        <v>11</v>
      </c>
      <c r="K172">
        <v>14</v>
      </c>
      <c r="L172">
        <v>438</v>
      </c>
      <c r="M172" t="s">
        <v>36</v>
      </c>
      <c r="N172" t="s">
        <v>15</v>
      </c>
      <c r="O172" t="s">
        <v>16</v>
      </c>
      <c r="P172" t="s">
        <v>34</v>
      </c>
      <c r="Q172" t="str">
        <f t="shared" si="17"/>
        <v/>
      </c>
      <c r="R172" s="5">
        <v>46184</v>
      </c>
      <c r="S172" s="8">
        <f t="shared" si="18"/>
        <v>36.529680365296805</v>
      </c>
      <c r="T172">
        <f t="shared" si="19"/>
        <v>192000</v>
      </c>
      <c r="U172" t="str">
        <f t="shared" si="20"/>
        <v>Budget</v>
      </c>
      <c r="V172" t="str">
        <f t="shared" si="21"/>
        <v>Compact</v>
      </c>
      <c r="W172" t="str">
        <f>IF(S172 &lt; VLOOKUP(E172, Locality_Tier_Benchmarks!A:B, 2, FALSE) * 0.7, "Below Tier Range", "Normal")</f>
        <v>Normal</v>
      </c>
      <c r="X172" t="str">
        <f t="shared" si="22"/>
        <v>Normal</v>
      </c>
      <c r="Y172" t="str">
        <f t="shared" si="23"/>
        <v>Normal</v>
      </c>
      <c r="Z172" t="str">
        <f t="shared" si="16"/>
        <v>Pass</v>
      </c>
    </row>
    <row r="173" spans="1:26" x14ac:dyDescent="0.25">
      <c r="A173" s="2" t="s">
        <v>408</v>
      </c>
      <c r="B173" s="2" t="s">
        <v>17</v>
      </c>
      <c r="C173" s="2" t="s">
        <v>369</v>
      </c>
      <c r="D173" s="2" t="str">
        <f>VLOOKUP(C173,Locality_Reference!A:C,2,)</f>
        <v>Western Line</v>
      </c>
      <c r="E173" s="2" t="str">
        <f>VLOOKUP(C173,Locality_Reference!A:C,3,)</f>
        <v>Outer Periphery</v>
      </c>
      <c r="F173" s="2" t="s">
        <v>378</v>
      </c>
      <c r="G173" s="8">
        <v>13000</v>
      </c>
      <c r="H173">
        <v>1</v>
      </c>
      <c r="I173">
        <v>2</v>
      </c>
      <c r="J173">
        <v>6</v>
      </c>
      <c r="K173">
        <v>15</v>
      </c>
      <c r="L173">
        <v>450</v>
      </c>
      <c r="M173" t="s">
        <v>36</v>
      </c>
      <c r="N173" t="s">
        <v>15</v>
      </c>
      <c r="O173" t="s">
        <v>16</v>
      </c>
      <c r="P173" t="s">
        <v>31</v>
      </c>
      <c r="Q173" t="str">
        <f t="shared" si="17"/>
        <v>3</v>
      </c>
      <c r="R173" s="5">
        <v>46193</v>
      </c>
      <c r="S173" s="8">
        <f t="shared" si="18"/>
        <v>28.888888888888889</v>
      </c>
      <c r="T173">
        <f t="shared" si="19"/>
        <v>156000</v>
      </c>
      <c r="U173" t="str">
        <f t="shared" si="20"/>
        <v>Budget</v>
      </c>
      <c r="V173" t="str">
        <f t="shared" si="21"/>
        <v>Compact</v>
      </c>
      <c r="W173" t="str">
        <f>IF(S173 &lt; VLOOKUP(E173, Locality_Tier_Benchmarks!A:B, 2, FALSE) * 0.7, "Below Tier Range", "Normal")</f>
        <v>Normal</v>
      </c>
      <c r="X173" t="str">
        <f t="shared" si="22"/>
        <v>Normal</v>
      </c>
      <c r="Y173" t="str">
        <f t="shared" si="23"/>
        <v>Normal</v>
      </c>
      <c r="Z173" t="str">
        <f t="shared" si="16"/>
        <v>Pass</v>
      </c>
    </row>
    <row r="174" spans="1:26" x14ac:dyDescent="0.25">
      <c r="A174" s="2" t="s">
        <v>409</v>
      </c>
      <c r="B174" s="2" t="s">
        <v>17</v>
      </c>
      <c r="C174" s="2" t="s">
        <v>369</v>
      </c>
      <c r="D174" s="2" t="str">
        <f>VLOOKUP(C174,Locality_Reference!A:C,2,)</f>
        <v>Western Line</v>
      </c>
      <c r="E174" s="2" t="str">
        <f>VLOOKUP(C174,Locality_Reference!A:C,3,)</f>
        <v>Outer Periphery</v>
      </c>
      <c r="F174" s="2" t="s">
        <v>379</v>
      </c>
      <c r="G174" s="8">
        <v>11500</v>
      </c>
      <c r="H174">
        <v>1</v>
      </c>
      <c r="I174">
        <v>2</v>
      </c>
      <c r="J174">
        <v>10</v>
      </c>
      <c r="K174">
        <v>15</v>
      </c>
      <c r="L174">
        <v>431</v>
      </c>
      <c r="M174" t="s">
        <v>33</v>
      </c>
      <c r="N174" t="s">
        <v>15</v>
      </c>
      <c r="O174" t="s">
        <v>16</v>
      </c>
      <c r="P174" t="s">
        <v>31</v>
      </c>
      <c r="Q174" t="str">
        <f t="shared" si="17"/>
        <v>3</v>
      </c>
      <c r="R174" s="5">
        <v>46196</v>
      </c>
      <c r="S174" s="8">
        <f t="shared" si="18"/>
        <v>26.682134570765662</v>
      </c>
      <c r="T174">
        <f t="shared" si="19"/>
        <v>138000</v>
      </c>
      <c r="U174" t="str">
        <f t="shared" si="20"/>
        <v>Budget</v>
      </c>
      <c r="V174" t="str">
        <f t="shared" si="21"/>
        <v>Compact</v>
      </c>
      <c r="W174" t="str">
        <f>IF(S174 &lt; VLOOKUP(E174, Locality_Tier_Benchmarks!A:B, 2, FALSE) * 0.7, "Below Tier Range", "Normal")</f>
        <v>Normal</v>
      </c>
      <c r="X174" t="str">
        <f t="shared" si="22"/>
        <v>Normal</v>
      </c>
      <c r="Y174" t="str">
        <f t="shared" si="23"/>
        <v>Normal</v>
      </c>
      <c r="Z174" t="str">
        <f t="shared" si="16"/>
        <v>Pass</v>
      </c>
    </row>
    <row r="175" spans="1:26" x14ac:dyDescent="0.25">
      <c r="A175" s="2" t="s">
        <v>410</v>
      </c>
      <c r="B175" s="2" t="s">
        <v>17</v>
      </c>
      <c r="C175" s="2" t="s">
        <v>369</v>
      </c>
      <c r="D175" s="2" t="str">
        <f>VLOOKUP(C175,Locality_Reference!A:C,2,)</f>
        <v>Western Line</v>
      </c>
      <c r="E175" s="2" t="str">
        <f>VLOOKUP(C175,Locality_Reference!A:C,3,)</f>
        <v>Outer Periphery</v>
      </c>
      <c r="F175" s="2" t="s">
        <v>380</v>
      </c>
      <c r="G175" s="8">
        <v>11000</v>
      </c>
      <c r="H175">
        <v>2</v>
      </c>
      <c r="I175">
        <v>2</v>
      </c>
      <c r="J175">
        <v>2</v>
      </c>
      <c r="K175">
        <v>15</v>
      </c>
      <c r="L175">
        <v>565</v>
      </c>
      <c r="M175" t="s">
        <v>36</v>
      </c>
      <c r="N175" t="s">
        <v>15</v>
      </c>
      <c r="O175" t="s">
        <v>16</v>
      </c>
      <c r="P175" t="s">
        <v>34</v>
      </c>
      <c r="Q175" t="str">
        <f t="shared" si="17"/>
        <v/>
      </c>
      <c r="R175" s="5">
        <v>46187</v>
      </c>
      <c r="S175" s="8">
        <f t="shared" si="18"/>
        <v>19.469026548672566</v>
      </c>
      <c r="T175">
        <f t="shared" si="19"/>
        <v>132000</v>
      </c>
      <c r="U175" t="str">
        <f t="shared" si="20"/>
        <v>Budget</v>
      </c>
      <c r="V175" t="str">
        <f t="shared" si="21"/>
        <v>Medium</v>
      </c>
      <c r="W175" t="str">
        <f>IF(S175 &lt; VLOOKUP(E175, Locality_Tier_Benchmarks!A:B, 2, FALSE) * 0.7, "Below Tier Range", "Normal")</f>
        <v>Normal</v>
      </c>
      <c r="X175" t="str">
        <f t="shared" si="22"/>
        <v>Normal</v>
      </c>
      <c r="Y175" t="str">
        <f t="shared" si="23"/>
        <v>Normal</v>
      </c>
      <c r="Z175" t="str">
        <f t="shared" si="16"/>
        <v>Pass</v>
      </c>
    </row>
    <row r="176" spans="1:26" x14ac:dyDescent="0.25">
      <c r="A176" s="2" t="s">
        <v>411</v>
      </c>
      <c r="B176" s="2" t="s">
        <v>17</v>
      </c>
      <c r="C176" s="2" t="s">
        <v>369</v>
      </c>
      <c r="D176" s="2" t="str">
        <f>VLOOKUP(C176,Locality_Reference!A:C,2,)</f>
        <v>Western Line</v>
      </c>
      <c r="E176" s="2" t="str">
        <f>VLOOKUP(C176,Locality_Reference!A:C,3,)</f>
        <v>Outer Periphery</v>
      </c>
      <c r="F176" s="2" t="s">
        <v>381</v>
      </c>
      <c r="G176" s="8">
        <v>11000</v>
      </c>
      <c r="H176">
        <v>2</v>
      </c>
      <c r="I176">
        <v>2</v>
      </c>
      <c r="J176">
        <v>3</v>
      </c>
      <c r="K176">
        <v>15</v>
      </c>
      <c r="L176">
        <v>664</v>
      </c>
      <c r="M176" t="s">
        <v>33</v>
      </c>
      <c r="N176" t="s">
        <v>15</v>
      </c>
      <c r="O176" t="s">
        <v>16</v>
      </c>
      <c r="P176" t="s">
        <v>31</v>
      </c>
      <c r="Q176" t="str">
        <f t="shared" si="17"/>
        <v>3</v>
      </c>
      <c r="R176" s="5">
        <v>46183</v>
      </c>
      <c r="S176" s="8">
        <f t="shared" si="18"/>
        <v>16.566265060240966</v>
      </c>
      <c r="T176">
        <f t="shared" si="19"/>
        <v>132000</v>
      </c>
      <c r="U176" t="str">
        <f t="shared" si="20"/>
        <v>Budget</v>
      </c>
      <c r="V176" t="str">
        <f t="shared" si="21"/>
        <v>Medium</v>
      </c>
      <c r="W176" t="str">
        <f>IF(S176 &lt; VLOOKUP(E176, Locality_Tier_Benchmarks!A:B, 2, FALSE) * 0.7, "Below Tier Range", "Normal")</f>
        <v>Normal</v>
      </c>
      <c r="X176" t="str">
        <f t="shared" si="22"/>
        <v>Normal</v>
      </c>
      <c r="Y176" t="str">
        <f t="shared" si="23"/>
        <v>Normal</v>
      </c>
      <c r="Z176" t="str">
        <f t="shared" si="16"/>
        <v>Pass</v>
      </c>
    </row>
    <row r="177" spans="1:26" x14ac:dyDescent="0.25">
      <c r="A177" s="2" t="s">
        <v>412</v>
      </c>
      <c r="B177" s="2" t="s">
        <v>17</v>
      </c>
      <c r="C177" s="2" t="s">
        <v>369</v>
      </c>
      <c r="D177" s="2" t="str">
        <f>VLOOKUP(C177,Locality_Reference!A:C,2,)</f>
        <v>Western Line</v>
      </c>
      <c r="E177" s="2" t="str">
        <f>VLOOKUP(C177,Locality_Reference!A:C,3,)</f>
        <v>Outer Periphery</v>
      </c>
      <c r="F177" s="2" t="s">
        <v>375</v>
      </c>
      <c r="G177" s="8">
        <v>18000</v>
      </c>
      <c r="H177">
        <v>2</v>
      </c>
      <c r="I177">
        <v>2</v>
      </c>
      <c r="J177">
        <v>1</v>
      </c>
      <c r="K177">
        <v>14</v>
      </c>
      <c r="L177">
        <v>625</v>
      </c>
      <c r="M177" t="s">
        <v>33</v>
      </c>
      <c r="N177" t="s">
        <v>15</v>
      </c>
      <c r="O177" t="s">
        <v>16</v>
      </c>
      <c r="P177" t="s">
        <v>31</v>
      </c>
      <c r="Q177" t="str">
        <f t="shared" si="17"/>
        <v>3</v>
      </c>
      <c r="R177" s="5">
        <v>46183</v>
      </c>
      <c r="S177" s="8">
        <f t="shared" si="18"/>
        <v>28.8</v>
      </c>
      <c r="T177">
        <f t="shared" si="19"/>
        <v>216000</v>
      </c>
      <c r="U177" t="str">
        <f t="shared" si="20"/>
        <v>Budget</v>
      </c>
      <c r="V177" t="str">
        <f t="shared" si="21"/>
        <v>Medium</v>
      </c>
      <c r="W177" t="str">
        <f>IF(S177 &lt; VLOOKUP(E177, Locality_Tier_Benchmarks!A:B, 2, FALSE) * 0.7, "Below Tier Range", "Normal")</f>
        <v>Normal</v>
      </c>
      <c r="X177" t="str">
        <f t="shared" si="22"/>
        <v>Normal</v>
      </c>
      <c r="Y177" t="str">
        <f t="shared" si="23"/>
        <v>Normal</v>
      </c>
      <c r="Z177" t="str">
        <f t="shared" si="16"/>
        <v>Pass</v>
      </c>
    </row>
    <row r="178" spans="1:26" x14ac:dyDescent="0.25">
      <c r="A178" s="2" t="s">
        <v>413</v>
      </c>
      <c r="B178" s="2" t="s">
        <v>17</v>
      </c>
      <c r="C178" s="2" t="s">
        <v>369</v>
      </c>
      <c r="D178" s="2" t="str">
        <f>VLOOKUP(C178,Locality_Reference!A:C,2,)</f>
        <v>Western Line</v>
      </c>
      <c r="E178" s="2" t="str">
        <f>VLOOKUP(C178,Locality_Reference!A:C,3,)</f>
        <v>Outer Periphery</v>
      </c>
      <c r="F178" s="2" t="s">
        <v>382</v>
      </c>
      <c r="G178" s="8">
        <v>11000</v>
      </c>
      <c r="H178">
        <v>2</v>
      </c>
      <c r="I178">
        <v>2</v>
      </c>
      <c r="J178">
        <v>7</v>
      </c>
      <c r="K178">
        <v>12</v>
      </c>
      <c r="L178">
        <v>650</v>
      </c>
      <c r="M178" t="s">
        <v>33</v>
      </c>
      <c r="N178" t="s">
        <v>15</v>
      </c>
      <c r="O178" t="s">
        <v>16</v>
      </c>
      <c r="P178" t="s">
        <v>31</v>
      </c>
      <c r="Q178" t="str">
        <f t="shared" si="17"/>
        <v>3</v>
      </c>
      <c r="R178" s="5">
        <v>46183</v>
      </c>
      <c r="S178" s="8">
        <f t="shared" si="18"/>
        <v>16.923076923076923</v>
      </c>
      <c r="T178">
        <f t="shared" si="19"/>
        <v>132000</v>
      </c>
      <c r="U178" t="str">
        <f t="shared" si="20"/>
        <v>Budget</v>
      </c>
      <c r="V178" t="str">
        <f t="shared" si="21"/>
        <v>Medium</v>
      </c>
      <c r="W178" t="str">
        <f>IF(S178 &lt; VLOOKUP(E178, Locality_Tier_Benchmarks!A:B, 2, FALSE) * 0.7, "Below Tier Range", "Normal")</f>
        <v>Normal</v>
      </c>
      <c r="X178" t="str">
        <f t="shared" si="22"/>
        <v>Normal</v>
      </c>
      <c r="Y178" t="str">
        <f t="shared" si="23"/>
        <v>Normal</v>
      </c>
      <c r="Z178" t="str">
        <f t="shared" si="16"/>
        <v>Pass</v>
      </c>
    </row>
    <row r="179" spans="1:26" x14ac:dyDescent="0.25">
      <c r="A179" s="2" t="s">
        <v>414</v>
      </c>
      <c r="B179" s="2" t="s">
        <v>17</v>
      </c>
      <c r="C179" s="2" t="s">
        <v>369</v>
      </c>
      <c r="D179" s="2" t="str">
        <f>VLOOKUP(C179,Locality_Reference!A:C,2,)</f>
        <v>Western Line</v>
      </c>
      <c r="E179" s="2" t="str">
        <f>VLOOKUP(C179,Locality_Reference!A:C,3,)</f>
        <v>Outer Periphery</v>
      </c>
      <c r="F179" s="2" t="s">
        <v>377</v>
      </c>
      <c r="G179" s="8">
        <v>19000</v>
      </c>
      <c r="H179">
        <v>2</v>
      </c>
      <c r="I179">
        <v>2</v>
      </c>
      <c r="J179">
        <v>2</v>
      </c>
      <c r="K179">
        <v>14</v>
      </c>
      <c r="L179">
        <v>640</v>
      </c>
      <c r="M179" t="s">
        <v>33</v>
      </c>
      <c r="N179" t="s">
        <v>15</v>
      </c>
      <c r="O179" t="s">
        <v>16</v>
      </c>
      <c r="P179" t="s">
        <v>31</v>
      </c>
      <c r="Q179" t="str">
        <f t="shared" si="17"/>
        <v>3</v>
      </c>
      <c r="R179" s="5">
        <v>46183</v>
      </c>
      <c r="S179" s="8">
        <f t="shared" si="18"/>
        <v>29.6875</v>
      </c>
      <c r="T179">
        <f t="shared" si="19"/>
        <v>228000</v>
      </c>
      <c r="U179" t="str">
        <f t="shared" si="20"/>
        <v>Budget</v>
      </c>
      <c r="V179" t="str">
        <f t="shared" si="21"/>
        <v>Medium</v>
      </c>
      <c r="W179" t="str">
        <f>IF(S179 &lt; VLOOKUP(E179, Locality_Tier_Benchmarks!A:B, 2, FALSE) * 0.7, "Below Tier Range", "Normal")</f>
        <v>Normal</v>
      </c>
      <c r="X179" t="str">
        <f t="shared" si="22"/>
        <v>Normal</v>
      </c>
      <c r="Y179" t="str">
        <f t="shared" si="23"/>
        <v>Normal</v>
      </c>
      <c r="Z179" t="str">
        <f t="shared" si="16"/>
        <v>Pass</v>
      </c>
    </row>
    <row r="180" spans="1:26" x14ac:dyDescent="0.25">
      <c r="A180" s="2" t="s">
        <v>415</v>
      </c>
      <c r="B180" s="2" t="s">
        <v>17</v>
      </c>
      <c r="C180" s="2" t="s">
        <v>369</v>
      </c>
      <c r="D180" s="2" t="str">
        <f>VLOOKUP(C180,Locality_Reference!A:C,2,)</f>
        <v>Western Line</v>
      </c>
      <c r="E180" s="2" t="str">
        <f>VLOOKUP(C180,Locality_Reference!A:C,3,)</f>
        <v>Outer Periphery</v>
      </c>
      <c r="F180" s="2" t="s">
        <v>389</v>
      </c>
      <c r="G180" s="8">
        <v>30000</v>
      </c>
      <c r="H180">
        <v>3</v>
      </c>
      <c r="I180">
        <v>3</v>
      </c>
      <c r="J180">
        <v>14</v>
      </c>
      <c r="K180">
        <v>14</v>
      </c>
      <c r="L180">
        <v>909</v>
      </c>
      <c r="M180" t="s">
        <v>36</v>
      </c>
      <c r="N180" t="s">
        <v>15</v>
      </c>
      <c r="O180" t="s">
        <v>16</v>
      </c>
      <c r="P180" t="s">
        <v>34</v>
      </c>
      <c r="Q180" t="str">
        <f t="shared" si="17"/>
        <v/>
      </c>
      <c r="R180" s="5">
        <v>46181</v>
      </c>
      <c r="S180" s="8">
        <f t="shared" si="18"/>
        <v>33.003300330033007</v>
      </c>
      <c r="T180">
        <f t="shared" si="19"/>
        <v>360000</v>
      </c>
      <c r="U180" t="str">
        <f t="shared" si="20"/>
        <v>Budget</v>
      </c>
      <c r="V180" t="str">
        <f t="shared" si="21"/>
        <v>Large</v>
      </c>
      <c r="W180" t="str">
        <f>IF(S180 &lt; VLOOKUP(E180, Locality_Tier_Benchmarks!A:B, 2, FALSE) * 0.7, "Below Tier Range", "Normal")</f>
        <v>Normal</v>
      </c>
      <c r="X180" t="str">
        <f t="shared" si="22"/>
        <v>Normal</v>
      </c>
      <c r="Y180" t="str">
        <f t="shared" si="23"/>
        <v>Normal</v>
      </c>
      <c r="Z180" t="str">
        <f t="shared" si="16"/>
        <v>Pass</v>
      </c>
    </row>
    <row r="181" spans="1:26" x14ac:dyDescent="0.25">
      <c r="A181" s="2" t="s">
        <v>416</v>
      </c>
      <c r="B181" s="2" t="s">
        <v>17</v>
      </c>
      <c r="C181" s="2" t="s">
        <v>369</v>
      </c>
      <c r="D181" s="2" t="str">
        <f>VLOOKUP(C181,Locality_Reference!A:C,2,)</f>
        <v>Western Line</v>
      </c>
      <c r="E181" s="2" t="str">
        <f>VLOOKUP(C181,Locality_Reference!A:C,3,)</f>
        <v>Outer Periphery</v>
      </c>
      <c r="F181" s="2" t="s">
        <v>381</v>
      </c>
      <c r="G181" s="8">
        <v>22000</v>
      </c>
      <c r="H181">
        <v>3</v>
      </c>
      <c r="I181">
        <v>3</v>
      </c>
      <c r="J181">
        <v>4</v>
      </c>
      <c r="K181">
        <v>15</v>
      </c>
      <c r="L181">
        <v>800</v>
      </c>
      <c r="M181" t="s">
        <v>36</v>
      </c>
      <c r="N181" t="s">
        <v>15</v>
      </c>
      <c r="O181" t="s">
        <v>16</v>
      </c>
      <c r="P181" t="s">
        <v>34</v>
      </c>
      <c r="Q181" t="str">
        <f t="shared" si="17"/>
        <v/>
      </c>
      <c r="R181" s="5">
        <v>46183</v>
      </c>
      <c r="S181" s="8">
        <f t="shared" si="18"/>
        <v>27.5</v>
      </c>
      <c r="T181">
        <f t="shared" si="19"/>
        <v>264000</v>
      </c>
      <c r="U181" t="str">
        <f t="shared" si="20"/>
        <v>Budget</v>
      </c>
      <c r="V181" t="str">
        <f t="shared" si="21"/>
        <v>Medium</v>
      </c>
      <c r="W181" t="str">
        <f>IF(S181 &lt; VLOOKUP(E181, Locality_Tier_Benchmarks!A:B, 2, FALSE) * 0.7, "Below Tier Range", "Normal")</f>
        <v>Normal</v>
      </c>
      <c r="X181" t="str">
        <f t="shared" si="22"/>
        <v>Normal</v>
      </c>
      <c r="Y181" t="str">
        <f t="shared" si="23"/>
        <v>Normal</v>
      </c>
      <c r="Z181" t="str">
        <f t="shared" si="16"/>
        <v>Pass</v>
      </c>
    </row>
    <row r="182" spans="1:26" x14ac:dyDescent="0.25">
      <c r="A182" s="2" t="s">
        <v>417</v>
      </c>
      <c r="B182" s="2" t="s">
        <v>17</v>
      </c>
      <c r="C182" s="2" t="s">
        <v>369</v>
      </c>
      <c r="D182" s="2" t="str">
        <f>VLOOKUP(C182,Locality_Reference!A:C,2,)</f>
        <v>Western Line</v>
      </c>
      <c r="E182" s="2" t="str">
        <f>VLOOKUP(C182,Locality_Reference!A:C,3,)</f>
        <v>Outer Periphery</v>
      </c>
      <c r="F182" s="2" t="s">
        <v>390</v>
      </c>
      <c r="G182" s="8">
        <v>25000</v>
      </c>
      <c r="H182">
        <v>3</v>
      </c>
      <c r="I182">
        <v>2</v>
      </c>
      <c r="J182">
        <v>16</v>
      </c>
      <c r="K182">
        <v>22</v>
      </c>
      <c r="L182">
        <v>1235</v>
      </c>
      <c r="M182" t="s">
        <v>36</v>
      </c>
      <c r="N182" t="s">
        <v>15</v>
      </c>
      <c r="O182" t="s">
        <v>16</v>
      </c>
      <c r="P182" t="s">
        <v>34</v>
      </c>
      <c r="Q182" t="str">
        <f t="shared" si="17"/>
        <v/>
      </c>
      <c r="R182" s="5">
        <v>46185</v>
      </c>
      <c r="S182" s="8">
        <f t="shared" si="18"/>
        <v>20.242914979757085</v>
      </c>
      <c r="T182">
        <f t="shared" si="19"/>
        <v>300000</v>
      </c>
      <c r="U182" t="str">
        <f t="shared" si="20"/>
        <v>Budget</v>
      </c>
      <c r="V182" t="str">
        <f t="shared" si="21"/>
        <v>Spacious</v>
      </c>
      <c r="W182" t="str">
        <f>IF(S182 &lt; VLOOKUP(E182, Locality_Tier_Benchmarks!A:B, 2, FALSE) * 0.7, "Below Tier Range", "Normal")</f>
        <v>Normal</v>
      </c>
      <c r="X182" t="str">
        <f t="shared" si="22"/>
        <v>Normal</v>
      </c>
      <c r="Y182" t="str">
        <f t="shared" si="23"/>
        <v>Normal</v>
      </c>
      <c r="Z182" t="str">
        <f t="shared" si="16"/>
        <v>Pass</v>
      </c>
    </row>
    <row r="183" spans="1:26" x14ac:dyDescent="0.25">
      <c r="A183" s="2" t="s">
        <v>418</v>
      </c>
      <c r="B183" s="2" t="s">
        <v>17</v>
      </c>
      <c r="C183" s="2" t="s">
        <v>369</v>
      </c>
      <c r="D183" s="2" t="str">
        <f>VLOOKUP(C183,Locality_Reference!A:C,2,)</f>
        <v>Western Line</v>
      </c>
      <c r="E183" s="2" t="str">
        <f>VLOOKUP(C183,Locality_Reference!A:C,3,)</f>
        <v>Outer Periphery</v>
      </c>
      <c r="F183" s="2" t="s">
        <v>391</v>
      </c>
      <c r="G183" s="8">
        <v>25000</v>
      </c>
      <c r="H183">
        <v>3</v>
      </c>
      <c r="I183">
        <v>3</v>
      </c>
      <c r="J183">
        <v>4</v>
      </c>
      <c r="K183">
        <v>14</v>
      </c>
      <c r="L183">
        <v>739</v>
      </c>
      <c r="M183" t="s">
        <v>36</v>
      </c>
      <c r="N183" t="s">
        <v>29</v>
      </c>
      <c r="O183" t="s">
        <v>16</v>
      </c>
      <c r="P183" t="s">
        <v>31</v>
      </c>
      <c r="Q183" t="str">
        <f t="shared" si="17"/>
        <v>3</v>
      </c>
      <c r="R183" s="5">
        <v>46194</v>
      </c>
      <c r="S183" s="8">
        <f t="shared" si="18"/>
        <v>33.829499323410012</v>
      </c>
      <c r="T183">
        <f t="shared" si="19"/>
        <v>300000</v>
      </c>
      <c r="U183" t="str">
        <f t="shared" si="20"/>
        <v>Budget</v>
      </c>
      <c r="V183" t="str">
        <f t="shared" si="21"/>
        <v>Medium</v>
      </c>
      <c r="W183" t="str">
        <f>IF(S183 &lt; VLOOKUP(E183, Locality_Tier_Benchmarks!A:B, 2, FALSE) * 0.7, "Below Tier Range", "Normal")</f>
        <v>Normal</v>
      </c>
      <c r="X183" t="str">
        <f t="shared" si="22"/>
        <v>Normal</v>
      </c>
      <c r="Y183" t="str">
        <f t="shared" si="23"/>
        <v>Normal</v>
      </c>
      <c r="Z183" t="str">
        <f t="shared" si="16"/>
        <v>Pass</v>
      </c>
    </row>
    <row r="184" spans="1:26" x14ac:dyDescent="0.25">
      <c r="A184" s="2" t="s">
        <v>419</v>
      </c>
      <c r="B184" s="2" t="s">
        <v>17</v>
      </c>
      <c r="C184" s="2" t="s">
        <v>369</v>
      </c>
      <c r="D184" s="2" t="str">
        <f>VLOOKUP(C184,Locality_Reference!A:C,2,)</f>
        <v>Western Line</v>
      </c>
      <c r="E184" s="2" t="str">
        <f>VLOOKUP(C184,Locality_Reference!A:C,3,)</f>
        <v>Outer Periphery</v>
      </c>
      <c r="F184" s="2" t="s">
        <v>392</v>
      </c>
      <c r="G184" s="8">
        <v>28000</v>
      </c>
      <c r="H184">
        <v>3</v>
      </c>
      <c r="I184">
        <v>3</v>
      </c>
      <c r="J184">
        <v>1</v>
      </c>
      <c r="K184">
        <v>4</v>
      </c>
      <c r="L184">
        <v>850</v>
      </c>
      <c r="M184" t="s">
        <v>14</v>
      </c>
      <c r="N184" t="s">
        <v>15</v>
      </c>
      <c r="O184" t="s">
        <v>16</v>
      </c>
      <c r="P184" t="s">
        <v>23</v>
      </c>
      <c r="Q184" t="str">
        <f t="shared" si="17"/>
        <v>10</v>
      </c>
      <c r="R184" s="5">
        <v>46187</v>
      </c>
      <c r="S184" s="8">
        <f t="shared" si="18"/>
        <v>32.941176470588232</v>
      </c>
      <c r="T184">
        <f t="shared" si="19"/>
        <v>336000</v>
      </c>
      <c r="U184" t="str">
        <f t="shared" si="20"/>
        <v>Budget</v>
      </c>
      <c r="V184" t="str">
        <f t="shared" si="21"/>
        <v>Large</v>
      </c>
      <c r="W184" t="str">
        <f>IF(S184 &lt; VLOOKUP(E184, Locality_Tier_Benchmarks!A:B, 2, FALSE) * 0.7, "Below Tier Range", "Normal")</f>
        <v>Normal</v>
      </c>
      <c r="X184" t="str">
        <f t="shared" si="22"/>
        <v>Normal</v>
      </c>
      <c r="Y184" t="str">
        <f t="shared" si="23"/>
        <v>Normal</v>
      </c>
      <c r="Z184" t="str">
        <f t="shared" si="16"/>
        <v>Pass</v>
      </c>
    </row>
    <row r="185" spans="1:26" x14ac:dyDescent="0.25">
      <c r="A185" s="2" t="s">
        <v>420</v>
      </c>
      <c r="B185" s="2" t="s">
        <v>17</v>
      </c>
      <c r="C185" s="2" t="s">
        <v>393</v>
      </c>
      <c r="D185" s="2" t="str">
        <f>VLOOKUP(C185,Locality_Reference!A:C,2,)</f>
        <v>Western Line</v>
      </c>
      <c r="E185" s="2" t="str">
        <f>VLOOKUP(C185,Locality_Reference!A:C,3,)</f>
        <v>Mid Suburb</v>
      </c>
      <c r="F185" s="2" t="s">
        <v>395</v>
      </c>
      <c r="G185" s="8">
        <v>30000</v>
      </c>
      <c r="H185">
        <v>1</v>
      </c>
      <c r="I185">
        <v>1</v>
      </c>
      <c r="J185">
        <v>4</v>
      </c>
      <c r="K185">
        <v>6</v>
      </c>
      <c r="L185">
        <v>520</v>
      </c>
      <c r="M185" t="s">
        <v>36</v>
      </c>
      <c r="N185" t="s">
        <v>15</v>
      </c>
      <c r="O185" t="s">
        <v>16</v>
      </c>
      <c r="P185" t="s">
        <v>34</v>
      </c>
      <c r="Q185" t="str">
        <f t="shared" si="17"/>
        <v/>
      </c>
      <c r="R185" s="5">
        <v>46191</v>
      </c>
      <c r="S185" s="8">
        <f t="shared" si="18"/>
        <v>57.692307692307693</v>
      </c>
      <c r="T185">
        <f t="shared" si="19"/>
        <v>360000</v>
      </c>
      <c r="U185" t="str">
        <f t="shared" si="20"/>
        <v>Budget</v>
      </c>
      <c r="V185" t="str">
        <f t="shared" si="21"/>
        <v>Medium</v>
      </c>
      <c r="W185" t="str">
        <f>IF(S185 &lt; VLOOKUP(E185, Locality_Tier_Benchmarks!A:B, 2, FALSE) * 0.7, "Below Tier Range", "Normal")</f>
        <v>Normal</v>
      </c>
      <c r="X185" t="str">
        <f t="shared" si="22"/>
        <v>Normal</v>
      </c>
      <c r="Y185" t="str">
        <f t="shared" si="23"/>
        <v>Normal</v>
      </c>
      <c r="Z185" t="str">
        <f t="shared" si="16"/>
        <v>Pass</v>
      </c>
    </row>
    <row r="186" spans="1:26" x14ac:dyDescent="0.25">
      <c r="A186" s="2" t="s">
        <v>421</v>
      </c>
      <c r="B186" s="2" t="s">
        <v>17</v>
      </c>
      <c r="C186" s="2" t="s">
        <v>393</v>
      </c>
      <c r="D186" s="2" t="str">
        <f>VLOOKUP(C186,Locality_Reference!A:C,2,)</f>
        <v>Western Line</v>
      </c>
      <c r="E186" s="2" t="str">
        <f>VLOOKUP(C186,Locality_Reference!A:C,3,)</f>
        <v>Mid Suburb</v>
      </c>
      <c r="F186" s="2" t="s">
        <v>396</v>
      </c>
      <c r="G186" s="8">
        <v>30000</v>
      </c>
      <c r="H186">
        <v>1</v>
      </c>
      <c r="I186">
        <v>2</v>
      </c>
      <c r="J186">
        <v>7</v>
      </c>
      <c r="K186">
        <v>7</v>
      </c>
      <c r="L186">
        <v>476</v>
      </c>
      <c r="M186" t="s">
        <v>14</v>
      </c>
      <c r="N186" t="s">
        <v>15</v>
      </c>
      <c r="O186" t="s">
        <v>16</v>
      </c>
      <c r="P186" t="s">
        <v>31</v>
      </c>
      <c r="Q186" t="str">
        <f t="shared" si="17"/>
        <v>3</v>
      </c>
      <c r="R186" s="5">
        <v>46197</v>
      </c>
      <c r="S186" s="8">
        <f t="shared" si="18"/>
        <v>63.025210084033617</v>
      </c>
      <c r="T186">
        <f t="shared" si="19"/>
        <v>360000</v>
      </c>
      <c r="U186" t="str">
        <f t="shared" si="20"/>
        <v>Budget</v>
      </c>
      <c r="V186" t="str">
        <f t="shared" si="21"/>
        <v>Compact</v>
      </c>
      <c r="W186" t="str">
        <f>IF(S186 &lt; VLOOKUP(E186, Locality_Tier_Benchmarks!A:B, 2, FALSE) * 0.7, "Below Tier Range", "Normal")</f>
        <v>Normal</v>
      </c>
      <c r="X186" t="str">
        <f t="shared" si="22"/>
        <v>Normal</v>
      </c>
      <c r="Y186" t="str">
        <f t="shared" si="23"/>
        <v>Normal</v>
      </c>
      <c r="Z186" t="str">
        <f t="shared" si="16"/>
        <v>Pass</v>
      </c>
    </row>
    <row r="187" spans="1:26" x14ac:dyDescent="0.25">
      <c r="A187" s="2" t="s">
        <v>422</v>
      </c>
      <c r="B187" s="2" t="s">
        <v>17</v>
      </c>
      <c r="C187" s="2" t="s">
        <v>393</v>
      </c>
      <c r="D187" s="2" t="str">
        <f>VLOOKUP(C187,Locality_Reference!A:C,2,)</f>
        <v>Western Line</v>
      </c>
      <c r="E187" s="2" t="str">
        <f>VLOOKUP(C187,Locality_Reference!A:C,3,)</f>
        <v>Mid Suburb</v>
      </c>
      <c r="F187" s="2" t="s">
        <v>397</v>
      </c>
      <c r="G187" s="8">
        <v>30000</v>
      </c>
      <c r="H187">
        <v>1</v>
      </c>
      <c r="I187">
        <v>1</v>
      </c>
      <c r="J187">
        <v>2</v>
      </c>
      <c r="K187">
        <v>6</v>
      </c>
      <c r="L187">
        <v>505</v>
      </c>
      <c r="M187" t="s">
        <v>14</v>
      </c>
      <c r="N187" t="s">
        <v>29</v>
      </c>
      <c r="O187" t="s">
        <v>16</v>
      </c>
      <c r="P187" t="s">
        <v>23</v>
      </c>
      <c r="Q187" t="str">
        <f t="shared" si="17"/>
        <v>10</v>
      </c>
      <c r="R187" s="5">
        <v>46196</v>
      </c>
      <c r="S187" s="8">
        <f t="shared" si="18"/>
        <v>59.405940594059409</v>
      </c>
      <c r="T187">
        <f t="shared" si="19"/>
        <v>360000</v>
      </c>
      <c r="U187" t="str">
        <f t="shared" si="20"/>
        <v>Budget</v>
      </c>
      <c r="V187" t="str">
        <f t="shared" si="21"/>
        <v>Medium</v>
      </c>
      <c r="W187" t="str">
        <f>IF(S187 &lt; VLOOKUP(E187, Locality_Tier_Benchmarks!A:B, 2, FALSE) * 0.7, "Below Tier Range", "Normal")</f>
        <v>Normal</v>
      </c>
      <c r="X187" t="str">
        <f t="shared" si="22"/>
        <v>Normal</v>
      </c>
      <c r="Y187" t="str">
        <f t="shared" si="23"/>
        <v>Normal</v>
      </c>
      <c r="Z187" t="str">
        <f t="shared" si="16"/>
        <v>Pass</v>
      </c>
    </row>
    <row r="188" spans="1:26" x14ac:dyDescent="0.25">
      <c r="A188" s="2" t="s">
        <v>423</v>
      </c>
      <c r="B188" s="2" t="s">
        <v>17</v>
      </c>
      <c r="C188" s="2" t="s">
        <v>393</v>
      </c>
      <c r="D188" s="2" t="str">
        <f>VLOOKUP(C188,Locality_Reference!A:C,2,)</f>
        <v>Western Line</v>
      </c>
      <c r="E188" s="2" t="str">
        <f>VLOOKUP(C188,Locality_Reference!A:C,3,)</f>
        <v>Mid Suburb</v>
      </c>
      <c r="F188" s="2" t="s">
        <v>398</v>
      </c>
      <c r="G188" s="8">
        <v>24000</v>
      </c>
      <c r="H188">
        <v>1</v>
      </c>
      <c r="I188">
        <v>1</v>
      </c>
      <c r="J188">
        <v>0</v>
      </c>
      <c r="K188">
        <v>3</v>
      </c>
      <c r="L188">
        <v>440</v>
      </c>
      <c r="M188" t="s">
        <v>36</v>
      </c>
      <c r="N188" t="s">
        <v>15</v>
      </c>
      <c r="O188" t="s">
        <v>16</v>
      </c>
      <c r="P188" t="s">
        <v>34</v>
      </c>
      <c r="Q188" t="str">
        <f t="shared" si="17"/>
        <v/>
      </c>
      <c r="R188" s="5">
        <v>46193</v>
      </c>
      <c r="S188" s="8">
        <f t="shared" si="18"/>
        <v>54.545454545454547</v>
      </c>
      <c r="T188">
        <f t="shared" si="19"/>
        <v>288000</v>
      </c>
      <c r="U188" t="str">
        <f t="shared" si="20"/>
        <v>Budget</v>
      </c>
      <c r="V188" t="str">
        <f t="shared" si="21"/>
        <v>Compact</v>
      </c>
      <c r="W188" t="str">
        <f>IF(S188 &lt; VLOOKUP(E188, Locality_Tier_Benchmarks!A:B, 2, FALSE) * 0.7, "Below Tier Range", "Normal")</f>
        <v>Normal</v>
      </c>
      <c r="X188" t="str">
        <f t="shared" si="22"/>
        <v>Normal</v>
      </c>
      <c r="Y188" t="str">
        <f t="shared" si="23"/>
        <v>Normal</v>
      </c>
      <c r="Z188" t="str">
        <f t="shared" si="16"/>
        <v>Pass</v>
      </c>
    </row>
    <row r="189" spans="1:26" x14ac:dyDescent="0.25">
      <c r="A189" s="2" t="s">
        <v>424</v>
      </c>
      <c r="B189" t="s">
        <v>366</v>
      </c>
      <c r="C189" s="2" t="s">
        <v>393</v>
      </c>
      <c r="D189" s="2" t="str">
        <f>VLOOKUP(C189,Locality_Reference!A:C,2,)</f>
        <v>Western Line</v>
      </c>
      <c r="E189" s="2" t="str">
        <f>VLOOKUP(C189,Locality_Reference!A:C,3,)</f>
        <v>Mid Suburb</v>
      </c>
      <c r="F189" s="2" t="s">
        <v>399</v>
      </c>
      <c r="G189" s="8">
        <v>27000</v>
      </c>
      <c r="H189">
        <v>1</v>
      </c>
      <c r="I189">
        <v>1</v>
      </c>
      <c r="J189">
        <v>4</v>
      </c>
      <c r="K189">
        <v>16</v>
      </c>
      <c r="L189">
        <v>435</v>
      </c>
      <c r="M189" t="s">
        <v>14</v>
      </c>
      <c r="N189" t="s">
        <v>34</v>
      </c>
      <c r="O189" t="s">
        <v>16</v>
      </c>
      <c r="P189" t="s">
        <v>34</v>
      </c>
      <c r="Q189" t="str">
        <f t="shared" si="17"/>
        <v/>
      </c>
      <c r="R189" s="5">
        <v>46192</v>
      </c>
      <c r="S189" s="8">
        <f t="shared" si="18"/>
        <v>62.068965517241381</v>
      </c>
      <c r="T189">
        <f t="shared" si="19"/>
        <v>324000</v>
      </c>
      <c r="U189" t="str">
        <f t="shared" si="20"/>
        <v>Budget</v>
      </c>
      <c r="V189" t="str">
        <f t="shared" si="21"/>
        <v>Compact</v>
      </c>
      <c r="W189" t="str">
        <f>IF(S189 &lt; VLOOKUP(E189, Locality_Tier_Benchmarks!A:B, 2, FALSE) * 0.7, "Below Tier Range", "Normal")</f>
        <v>Normal</v>
      </c>
      <c r="X189" t="str">
        <f t="shared" si="22"/>
        <v>Normal</v>
      </c>
      <c r="Y189" t="str">
        <f t="shared" si="23"/>
        <v>Normal</v>
      </c>
      <c r="Z189" t="str">
        <f t="shared" si="16"/>
        <v>Pass</v>
      </c>
    </row>
    <row r="190" spans="1:26" x14ac:dyDescent="0.25">
      <c r="A190" s="2" t="s">
        <v>425</v>
      </c>
      <c r="B190" s="2" t="s">
        <v>17</v>
      </c>
      <c r="C190" s="2" t="s">
        <v>393</v>
      </c>
      <c r="D190" s="2" t="str">
        <f>VLOOKUP(C190,Locality_Reference!A:C,2,)</f>
        <v>Western Line</v>
      </c>
      <c r="E190" s="2" t="str">
        <f>VLOOKUP(C190,Locality_Reference!A:C,3,)</f>
        <v>Mid Suburb</v>
      </c>
      <c r="F190" s="2" t="s">
        <v>515</v>
      </c>
      <c r="G190" s="8">
        <v>40000</v>
      </c>
      <c r="H190">
        <v>2</v>
      </c>
      <c r="I190">
        <v>2</v>
      </c>
      <c r="J190">
        <v>7</v>
      </c>
      <c r="K190">
        <v>7</v>
      </c>
      <c r="L190">
        <v>570</v>
      </c>
      <c r="M190" t="s">
        <v>36</v>
      </c>
      <c r="N190" t="s">
        <v>15</v>
      </c>
      <c r="O190" t="s">
        <v>16</v>
      </c>
      <c r="P190" t="s">
        <v>23</v>
      </c>
      <c r="Q190" t="str">
        <f t="shared" si="17"/>
        <v>10</v>
      </c>
      <c r="R190" s="5">
        <v>46185</v>
      </c>
      <c r="S190" s="8">
        <f t="shared" si="18"/>
        <v>70.175438596491233</v>
      </c>
      <c r="T190">
        <f t="shared" si="19"/>
        <v>480000</v>
      </c>
      <c r="U190" t="str">
        <f t="shared" si="20"/>
        <v>Mid</v>
      </c>
      <c r="V190" t="str">
        <f t="shared" si="21"/>
        <v>Medium</v>
      </c>
      <c r="W190" t="str">
        <f>IF(S190 &lt; VLOOKUP(E190, Locality_Tier_Benchmarks!A:B, 2, FALSE) * 0.7, "Below Tier Range", "Normal")</f>
        <v>Normal</v>
      </c>
      <c r="X190" t="str">
        <f t="shared" si="22"/>
        <v>Normal</v>
      </c>
      <c r="Y190" t="str">
        <f t="shared" si="23"/>
        <v>Normal</v>
      </c>
      <c r="Z190" t="str">
        <f t="shared" si="16"/>
        <v>Pass</v>
      </c>
    </row>
    <row r="191" spans="1:26" x14ac:dyDescent="0.25">
      <c r="A191" s="2" t="s">
        <v>426</v>
      </c>
      <c r="B191" s="2" t="s">
        <v>17</v>
      </c>
      <c r="C191" s="2" t="s">
        <v>393</v>
      </c>
      <c r="D191" s="2" t="str">
        <f>VLOOKUP(C191,Locality_Reference!A:C,2,)</f>
        <v>Western Line</v>
      </c>
      <c r="E191" s="2" t="str">
        <f>VLOOKUP(C191,Locality_Reference!A:C,3,)</f>
        <v>Mid Suburb</v>
      </c>
      <c r="F191" s="2" t="s">
        <v>516</v>
      </c>
      <c r="G191" s="8">
        <v>45000</v>
      </c>
      <c r="H191">
        <v>2</v>
      </c>
      <c r="I191">
        <v>2</v>
      </c>
      <c r="J191">
        <v>18</v>
      </c>
      <c r="K191">
        <v>23</v>
      </c>
      <c r="L191">
        <v>583</v>
      </c>
      <c r="M191" t="s">
        <v>33</v>
      </c>
      <c r="N191" t="s">
        <v>29</v>
      </c>
      <c r="O191" t="s">
        <v>16</v>
      </c>
      <c r="P191" t="s">
        <v>31</v>
      </c>
      <c r="Q191" t="str">
        <f t="shared" si="17"/>
        <v>3</v>
      </c>
      <c r="R191" s="5">
        <v>46172</v>
      </c>
      <c r="S191" s="8">
        <f t="shared" si="18"/>
        <v>77.186963979416817</v>
      </c>
      <c r="T191">
        <f t="shared" si="19"/>
        <v>540000</v>
      </c>
      <c r="U191" t="str">
        <f t="shared" si="20"/>
        <v>Mid</v>
      </c>
      <c r="V191" t="str">
        <f t="shared" si="21"/>
        <v>Medium</v>
      </c>
      <c r="W191" t="str">
        <f>IF(S191 &lt; VLOOKUP(E191, Locality_Tier_Benchmarks!A:B, 2, FALSE) * 0.7, "Below Tier Range", "Normal")</f>
        <v>Normal</v>
      </c>
      <c r="X191" t="str">
        <f t="shared" si="22"/>
        <v>Normal</v>
      </c>
      <c r="Y191" t="str">
        <f t="shared" si="23"/>
        <v>Normal</v>
      </c>
      <c r="Z191" t="str">
        <f t="shared" si="16"/>
        <v>Pass</v>
      </c>
    </row>
    <row r="192" spans="1:26" x14ac:dyDescent="0.25">
      <c r="A192" s="2" t="s">
        <v>427</v>
      </c>
      <c r="B192" s="2" t="s">
        <v>17</v>
      </c>
      <c r="C192" s="2" t="s">
        <v>393</v>
      </c>
      <c r="D192" s="2" t="str">
        <f>VLOOKUP(C192,Locality_Reference!A:C,2,)</f>
        <v>Western Line</v>
      </c>
      <c r="E192" s="2" t="str">
        <f>VLOOKUP(C192,Locality_Reference!A:C,3,)</f>
        <v>Mid Suburb</v>
      </c>
      <c r="F192" s="2" t="s">
        <v>517</v>
      </c>
      <c r="G192" s="8">
        <v>45000</v>
      </c>
      <c r="H192">
        <v>2</v>
      </c>
      <c r="I192">
        <v>2</v>
      </c>
      <c r="J192">
        <v>3</v>
      </c>
      <c r="K192">
        <v>8</v>
      </c>
      <c r="L192">
        <v>650</v>
      </c>
      <c r="M192" t="s">
        <v>36</v>
      </c>
      <c r="N192" t="s">
        <v>15</v>
      </c>
      <c r="O192" t="s">
        <v>16</v>
      </c>
      <c r="P192" t="s">
        <v>23</v>
      </c>
      <c r="Q192" t="str">
        <f t="shared" si="17"/>
        <v>10</v>
      </c>
      <c r="R192" s="5">
        <v>46195</v>
      </c>
      <c r="S192" s="8">
        <f t="shared" si="18"/>
        <v>69.230769230769226</v>
      </c>
      <c r="T192">
        <f t="shared" si="19"/>
        <v>540000</v>
      </c>
      <c r="U192" t="str">
        <f t="shared" si="20"/>
        <v>Mid</v>
      </c>
      <c r="V192" t="str">
        <f t="shared" si="21"/>
        <v>Medium</v>
      </c>
      <c r="W192" t="str">
        <f>IF(S192 &lt; VLOOKUP(E192, Locality_Tier_Benchmarks!A:B, 2, FALSE) * 0.7, "Below Tier Range", "Normal")</f>
        <v>Normal</v>
      </c>
      <c r="X192" t="str">
        <f t="shared" si="22"/>
        <v>Normal</v>
      </c>
      <c r="Y192" t="str">
        <f t="shared" si="23"/>
        <v>Normal</v>
      </c>
      <c r="Z192" t="str">
        <f t="shared" si="16"/>
        <v>Pass</v>
      </c>
    </row>
    <row r="193" spans="1:26" x14ac:dyDescent="0.25">
      <c r="A193" s="2" t="s">
        <v>428</v>
      </c>
      <c r="B193" s="2" t="s">
        <v>366</v>
      </c>
      <c r="C193" s="2" t="s">
        <v>393</v>
      </c>
      <c r="D193" s="2" t="str">
        <f>VLOOKUP(C193,Locality_Reference!A:C,2,)</f>
        <v>Western Line</v>
      </c>
      <c r="E193" s="2" t="str">
        <f>VLOOKUP(C193,Locality_Reference!A:C,3,)</f>
        <v>Mid Suburb</v>
      </c>
      <c r="F193" s="2" t="s">
        <v>518</v>
      </c>
      <c r="G193" s="8">
        <v>27000</v>
      </c>
      <c r="H193">
        <v>2</v>
      </c>
      <c r="I193">
        <v>2</v>
      </c>
      <c r="J193">
        <v>14</v>
      </c>
      <c r="K193">
        <v>20</v>
      </c>
      <c r="L193">
        <v>650</v>
      </c>
      <c r="M193" t="s">
        <v>33</v>
      </c>
      <c r="N193" t="s">
        <v>34</v>
      </c>
      <c r="O193" t="s">
        <v>16</v>
      </c>
      <c r="P193" t="s">
        <v>52</v>
      </c>
      <c r="Q193" t="str">
        <f t="shared" si="17"/>
        <v>7.5</v>
      </c>
      <c r="R193" s="5">
        <v>46197</v>
      </c>
      <c r="S193" s="8">
        <f t="shared" si="18"/>
        <v>41.53846153846154</v>
      </c>
      <c r="T193">
        <f t="shared" si="19"/>
        <v>324000</v>
      </c>
      <c r="U193" t="str">
        <f t="shared" si="20"/>
        <v>Budget</v>
      </c>
      <c r="V193" t="str">
        <f t="shared" si="21"/>
        <v>Medium</v>
      </c>
      <c r="W193" t="str">
        <f>IF(S193 &lt; VLOOKUP(E193, Locality_Tier_Benchmarks!A:B, 2, FALSE) * 0.7, "Below Tier Range", "Normal")</f>
        <v>Normal</v>
      </c>
      <c r="X193" t="str">
        <f t="shared" si="22"/>
        <v>Normal</v>
      </c>
      <c r="Y193" t="str">
        <f t="shared" si="23"/>
        <v>Normal</v>
      </c>
      <c r="Z193" t="str">
        <f t="shared" si="16"/>
        <v>Pass</v>
      </c>
    </row>
    <row r="194" spans="1:26" x14ac:dyDescent="0.25">
      <c r="A194" s="2" t="s">
        <v>429</v>
      </c>
      <c r="B194" s="2" t="s">
        <v>366</v>
      </c>
      <c r="C194" s="2" t="s">
        <v>393</v>
      </c>
      <c r="D194" s="2" t="str">
        <f>VLOOKUP(C194,Locality_Reference!A:C,2,)</f>
        <v>Western Line</v>
      </c>
      <c r="E194" s="2" t="str">
        <f>VLOOKUP(C194,Locality_Reference!A:C,3,)</f>
        <v>Mid Suburb</v>
      </c>
      <c r="F194" s="2" t="s">
        <v>519</v>
      </c>
      <c r="G194" s="8">
        <v>42000</v>
      </c>
      <c r="H194">
        <v>2</v>
      </c>
      <c r="I194">
        <v>2</v>
      </c>
      <c r="J194">
        <v>7</v>
      </c>
      <c r="K194">
        <v>18</v>
      </c>
      <c r="L194">
        <v>500</v>
      </c>
      <c r="M194" t="s">
        <v>33</v>
      </c>
      <c r="N194" t="s">
        <v>34</v>
      </c>
      <c r="O194" t="s">
        <v>16</v>
      </c>
      <c r="P194" t="s">
        <v>47</v>
      </c>
      <c r="Q194" t="str">
        <f t="shared" si="17"/>
        <v>1</v>
      </c>
      <c r="R194" s="5">
        <v>46197</v>
      </c>
      <c r="S194" s="8">
        <f t="shared" si="18"/>
        <v>84</v>
      </c>
      <c r="T194">
        <f t="shared" si="19"/>
        <v>504000</v>
      </c>
      <c r="U194" t="str">
        <f t="shared" si="20"/>
        <v>Mid</v>
      </c>
      <c r="V194" t="str">
        <f t="shared" si="21"/>
        <v>Compact</v>
      </c>
      <c r="W194" t="str">
        <f>IF(S194 &lt; VLOOKUP(E194, Locality_Tier_Benchmarks!A:B, 2, FALSE) * 0.7, "Below Tier Range", "Normal")</f>
        <v>Normal</v>
      </c>
      <c r="X194" t="str">
        <f t="shared" si="22"/>
        <v>Normal</v>
      </c>
      <c r="Y194" t="str">
        <f t="shared" si="23"/>
        <v>Normal</v>
      </c>
      <c r="Z194" t="str">
        <f t="shared" ref="Z194:Z257" si="24">IF(OR(W194&lt;&gt;"Normal",X194&lt;&gt;"Normal",Y194&lt;&gt;"Normal"),"Review","Pass")</f>
        <v>Pass</v>
      </c>
    </row>
    <row r="195" spans="1:26" x14ac:dyDescent="0.25">
      <c r="A195" s="2" t="s">
        <v>430</v>
      </c>
      <c r="B195" s="2" t="s">
        <v>17</v>
      </c>
      <c r="C195" s="2" t="s">
        <v>393</v>
      </c>
      <c r="D195" s="2" t="str">
        <f>VLOOKUP(C195,Locality_Reference!A:C,2,)</f>
        <v>Western Line</v>
      </c>
      <c r="E195" s="2" t="str">
        <f>VLOOKUP(C195,Locality_Reference!A:C,3,)</f>
        <v>Mid Suburb</v>
      </c>
      <c r="F195" s="2" t="s">
        <v>529</v>
      </c>
      <c r="G195" s="8">
        <v>80000</v>
      </c>
      <c r="H195">
        <v>3</v>
      </c>
      <c r="I195">
        <v>3</v>
      </c>
      <c r="J195">
        <v>7</v>
      </c>
      <c r="K195">
        <v>49</v>
      </c>
      <c r="L195">
        <v>1106</v>
      </c>
      <c r="M195" t="s">
        <v>14</v>
      </c>
      <c r="N195" t="s">
        <v>15</v>
      </c>
      <c r="O195" t="s">
        <v>16</v>
      </c>
      <c r="P195" t="s">
        <v>52</v>
      </c>
      <c r="Q195" t="str">
        <f t="shared" ref="Q195:Q258" si="25">IF(P195="20+ Years","20",IF(P195="15-20 Years","17.5",IF(P195="10+ Years","10",IF(P195="5-10 Years","7.5",IF(P195="1-5 Years","3",IF(P195="0-1 Year","1",""))))))</f>
        <v>7.5</v>
      </c>
      <c r="R195" s="5">
        <v>46192</v>
      </c>
      <c r="S195" s="8">
        <f t="shared" ref="S195:S258" si="26">G195/L195</f>
        <v>72.332730560578668</v>
      </c>
      <c r="T195">
        <f t="shared" ref="T195:T258" si="27">G195*12</f>
        <v>960000</v>
      </c>
      <c r="U195" t="str">
        <f t="shared" ref="U195:U258" si="28">IF(G195&lt;=30000,"Budget",IF(G195&lt;=60000,"Mid",IF(G195&lt;=100000,"Premium","Luxury")))</f>
        <v>Premium</v>
      </c>
      <c r="V195" t="str">
        <f t="shared" ref="V195:V258" si="29">IF(L195&lt;=500,"Compact",IF(L195&lt;=800,"Medium",IF(L195&lt;=1200,"Large","Spacious")))</f>
        <v>Large</v>
      </c>
      <c r="W195" t="str">
        <f>IF(S195 &lt; VLOOKUP(E195, Locality_Tier_Benchmarks!A:B, 2, FALSE) * 0.7, "Below Tier Range", "Normal")</f>
        <v>Normal</v>
      </c>
      <c r="X195" t="str">
        <f t="shared" ref="X195:X258" si="30">IF(G195&lt;7000,"Below Absolute Floor","Normal")</f>
        <v>Normal</v>
      </c>
      <c r="Y195" t="str">
        <f t="shared" ref="Y195:Y258" si="31">IF(S195&gt;500,"Possible Typo - Check Zero","Normal")</f>
        <v>Normal</v>
      </c>
      <c r="Z195" t="str">
        <f t="shared" si="24"/>
        <v>Pass</v>
      </c>
    </row>
    <row r="196" spans="1:26" x14ac:dyDescent="0.25">
      <c r="A196" s="2" t="s">
        <v>431</v>
      </c>
      <c r="B196" s="2" t="s">
        <v>17</v>
      </c>
      <c r="C196" s="2" t="s">
        <v>393</v>
      </c>
      <c r="D196" s="2" t="str">
        <f>VLOOKUP(C196,Locality_Reference!A:C,2,)</f>
        <v>Western Line</v>
      </c>
      <c r="E196" s="2" t="str">
        <f>VLOOKUP(C196,Locality_Reference!A:C,3,)</f>
        <v>Mid Suburb</v>
      </c>
      <c r="F196" s="2" t="s">
        <v>530</v>
      </c>
      <c r="G196" s="8">
        <v>55000</v>
      </c>
      <c r="H196">
        <v>3</v>
      </c>
      <c r="I196">
        <v>3</v>
      </c>
      <c r="J196">
        <v>25</v>
      </c>
      <c r="K196">
        <v>35</v>
      </c>
      <c r="L196">
        <v>750</v>
      </c>
      <c r="M196" t="s">
        <v>33</v>
      </c>
      <c r="N196" t="s">
        <v>15</v>
      </c>
      <c r="O196" t="s">
        <v>16</v>
      </c>
      <c r="P196" t="s">
        <v>47</v>
      </c>
      <c r="Q196" t="str">
        <f t="shared" si="25"/>
        <v>1</v>
      </c>
      <c r="R196" s="5">
        <v>46180</v>
      </c>
      <c r="S196" s="8">
        <f t="shared" si="26"/>
        <v>73.333333333333329</v>
      </c>
      <c r="T196">
        <f t="shared" si="27"/>
        <v>660000</v>
      </c>
      <c r="U196" t="str">
        <f t="shared" si="28"/>
        <v>Mid</v>
      </c>
      <c r="V196" t="str">
        <f t="shared" si="29"/>
        <v>Medium</v>
      </c>
      <c r="W196" t="str">
        <f>IF(S196 &lt; VLOOKUP(E196, Locality_Tier_Benchmarks!A:B, 2, FALSE) * 0.7, "Below Tier Range", "Normal")</f>
        <v>Normal</v>
      </c>
      <c r="X196" t="str">
        <f t="shared" si="30"/>
        <v>Normal</v>
      </c>
      <c r="Y196" t="str">
        <f t="shared" si="31"/>
        <v>Normal</v>
      </c>
      <c r="Z196" t="str">
        <f t="shared" si="24"/>
        <v>Pass</v>
      </c>
    </row>
    <row r="197" spans="1:26" x14ac:dyDescent="0.25">
      <c r="A197" s="2" t="s">
        <v>432</v>
      </c>
      <c r="B197" s="2" t="s">
        <v>366</v>
      </c>
      <c r="C197" s="2" t="s">
        <v>393</v>
      </c>
      <c r="D197" s="2" t="str">
        <f>VLOOKUP(C197,Locality_Reference!A:C,2,)</f>
        <v>Western Line</v>
      </c>
      <c r="E197" s="2" t="str">
        <f>VLOOKUP(C197,Locality_Reference!A:C,3,)</f>
        <v>Mid Suburb</v>
      </c>
      <c r="F197" s="2" t="s">
        <v>399</v>
      </c>
      <c r="G197" s="8">
        <v>65000</v>
      </c>
      <c r="H197">
        <v>3</v>
      </c>
      <c r="I197">
        <v>3</v>
      </c>
      <c r="J197">
        <v>4</v>
      </c>
      <c r="K197">
        <v>16</v>
      </c>
      <c r="L197">
        <v>900</v>
      </c>
      <c r="M197" t="s">
        <v>14</v>
      </c>
      <c r="N197" t="s">
        <v>34</v>
      </c>
      <c r="O197" t="s">
        <v>16</v>
      </c>
      <c r="P197" t="s">
        <v>34</v>
      </c>
      <c r="Q197" t="str">
        <f t="shared" si="25"/>
        <v/>
      </c>
      <c r="R197" s="5">
        <v>46174</v>
      </c>
      <c r="S197" s="8">
        <f t="shared" si="26"/>
        <v>72.222222222222229</v>
      </c>
      <c r="T197">
        <f t="shared" si="27"/>
        <v>780000</v>
      </c>
      <c r="U197" t="str">
        <f t="shared" si="28"/>
        <v>Premium</v>
      </c>
      <c r="V197" t="str">
        <f t="shared" si="29"/>
        <v>Large</v>
      </c>
      <c r="W197" t="str">
        <f>IF(S197 &lt; VLOOKUP(E197, Locality_Tier_Benchmarks!A:B, 2, FALSE) * 0.7, "Below Tier Range", "Normal")</f>
        <v>Normal</v>
      </c>
      <c r="X197" t="str">
        <f t="shared" si="30"/>
        <v>Normal</v>
      </c>
      <c r="Y197" t="str">
        <f t="shared" si="31"/>
        <v>Normal</v>
      </c>
      <c r="Z197" t="str">
        <f t="shared" si="24"/>
        <v>Pass</v>
      </c>
    </row>
    <row r="198" spans="1:26" x14ac:dyDescent="0.25">
      <c r="A198" s="2" t="s">
        <v>433</v>
      </c>
      <c r="B198" s="2" t="s">
        <v>366</v>
      </c>
      <c r="C198" s="2" t="s">
        <v>393</v>
      </c>
      <c r="D198" s="2" t="str">
        <f>VLOOKUP(C198,Locality_Reference!A:C,2,)</f>
        <v>Western Line</v>
      </c>
      <c r="E198" s="2" t="str">
        <f>VLOOKUP(C198,Locality_Reference!A:C,3,)</f>
        <v>Mid Suburb</v>
      </c>
      <c r="F198" s="2" t="s">
        <v>531</v>
      </c>
      <c r="G198" s="8">
        <v>63000</v>
      </c>
      <c r="H198">
        <v>3</v>
      </c>
      <c r="I198">
        <v>3</v>
      </c>
      <c r="J198">
        <v>12</v>
      </c>
      <c r="K198">
        <v>24</v>
      </c>
      <c r="L198">
        <v>990</v>
      </c>
      <c r="M198" t="s">
        <v>36</v>
      </c>
      <c r="N198" t="s">
        <v>34</v>
      </c>
      <c r="O198" t="s">
        <v>16</v>
      </c>
      <c r="P198" t="s">
        <v>52</v>
      </c>
      <c r="Q198" t="str">
        <f t="shared" si="25"/>
        <v>7.5</v>
      </c>
      <c r="R198" s="5">
        <v>46191</v>
      </c>
      <c r="S198" s="8">
        <f t="shared" si="26"/>
        <v>63.636363636363633</v>
      </c>
      <c r="T198">
        <f t="shared" si="27"/>
        <v>756000</v>
      </c>
      <c r="U198" t="str">
        <f t="shared" si="28"/>
        <v>Premium</v>
      </c>
      <c r="V198" t="str">
        <f t="shared" si="29"/>
        <v>Large</v>
      </c>
      <c r="W198" t="str">
        <f>IF(S198 &lt; VLOOKUP(E198, Locality_Tier_Benchmarks!A:B, 2, FALSE) * 0.7, "Below Tier Range", "Normal")</f>
        <v>Normal</v>
      </c>
      <c r="X198" t="str">
        <f t="shared" si="30"/>
        <v>Normal</v>
      </c>
      <c r="Y198" t="str">
        <f t="shared" si="31"/>
        <v>Normal</v>
      </c>
      <c r="Z198" t="str">
        <f t="shared" si="24"/>
        <v>Pass</v>
      </c>
    </row>
    <row r="199" spans="1:26" x14ac:dyDescent="0.25">
      <c r="A199" s="2" t="s">
        <v>434</v>
      </c>
      <c r="B199" s="2" t="s">
        <v>17</v>
      </c>
      <c r="C199" s="2" t="s">
        <v>394</v>
      </c>
      <c r="D199" s="2" t="str">
        <f>VLOOKUP(C199,Locality_Reference!A:C,2,)</f>
        <v>Western Line</v>
      </c>
      <c r="E199" s="2" t="str">
        <f>VLOOKUP(C199,Locality_Reference!A:C,3,)</f>
        <v>Mid Suburb</v>
      </c>
      <c r="F199" s="2" t="s">
        <v>400</v>
      </c>
      <c r="G199" s="8">
        <v>35000</v>
      </c>
      <c r="H199">
        <v>1</v>
      </c>
      <c r="I199">
        <v>2</v>
      </c>
      <c r="J199">
        <v>10</v>
      </c>
      <c r="K199">
        <v>13</v>
      </c>
      <c r="L199">
        <v>450</v>
      </c>
      <c r="M199" t="s">
        <v>36</v>
      </c>
      <c r="N199" t="s">
        <v>29</v>
      </c>
      <c r="O199" t="s">
        <v>16</v>
      </c>
      <c r="P199" t="s">
        <v>34</v>
      </c>
      <c r="Q199" t="str">
        <f t="shared" si="25"/>
        <v/>
      </c>
      <c r="R199" s="5">
        <v>46192</v>
      </c>
      <c r="S199" s="8">
        <f t="shared" si="26"/>
        <v>77.777777777777771</v>
      </c>
      <c r="T199">
        <f t="shared" si="27"/>
        <v>420000</v>
      </c>
      <c r="U199" t="str">
        <f t="shared" si="28"/>
        <v>Mid</v>
      </c>
      <c r="V199" t="str">
        <f t="shared" si="29"/>
        <v>Compact</v>
      </c>
      <c r="W199" t="str">
        <f>IF(S199 &lt; VLOOKUP(E199, Locality_Tier_Benchmarks!A:B, 2, FALSE) * 0.7, "Below Tier Range", "Normal")</f>
        <v>Normal</v>
      </c>
      <c r="X199" t="str">
        <f t="shared" si="30"/>
        <v>Normal</v>
      </c>
      <c r="Y199" t="str">
        <f t="shared" si="31"/>
        <v>Normal</v>
      </c>
      <c r="Z199" t="str">
        <f t="shared" si="24"/>
        <v>Pass</v>
      </c>
    </row>
    <row r="200" spans="1:26" x14ac:dyDescent="0.25">
      <c r="A200" s="2" t="s">
        <v>435</v>
      </c>
      <c r="B200" s="2" t="s">
        <v>17</v>
      </c>
      <c r="C200" s="2" t="s">
        <v>394</v>
      </c>
      <c r="D200" s="2" t="str">
        <f>VLOOKUP(C200,Locality_Reference!A:C,2,)</f>
        <v>Western Line</v>
      </c>
      <c r="E200" s="2" t="str">
        <f>VLOOKUP(C200,Locality_Reference!A:C,3,)</f>
        <v>Mid Suburb</v>
      </c>
      <c r="F200" s="2" t="s">
        <v>401</v>
      </c>
      <c r="G200" s="8">
        <v>33000</v>
      </c>
      <c r="H200">
        <v>1</v>
      </c>
      <c r="I200">
        <v>1</v>
      </c>
      <c r="J200">
        <v>2</v>
      </c>
      <c r="K200">
        <v>7</v>
      </c>
      <c r="L200">
        <v>400</v>
      </c>
      <c r="M200" t="s">
        <v>14</v>
      </c>
      <c r="N200" t="s">
        <v>29</v>
      </c>
      <c r="O200" t="s">
        <v>16</v>
      </c>
      <c r="P200" t="s">
        <v>52</v>
      </c>
      <c r="Q200" t="str">
        <f t="shared" si="25"/>
        <v>7.5</v>
      </c>
      <c r="R200" s="5">
        <v>46193</v>
      </c>
      <c r="S200" s="8">
        <f t="shared" si="26"/>
        <v>82.5</v>
      </c>
      <c r="T200">
        <f t="shared" si="27"/>
        <v>396000</v>
      </c>
      <c r="U200" t="str">
        <f t="shared" si="28"/>
        <v>Mid</v>
      </c>
      <c r="V200" t="str">
        <f t="shared" si="29"/>
        <v>Compact</v>
      </c>
      <c r="W200" t="str">
        <f>IF(S200 &lt; VLOOKUP(E200, Locality_Tier_Benchmarks!A:B, 2, FALSE) * 0.7, "Below Tier Range", "Normal")</f>
        <v>Normal</v>
      </c>
      <c r="X200" t="str">
        <f t="shared" si="30"/>
        <v>Normal</v>
      </c>
      <c r="Y200" t="str">
        <f t="shared" si="31"/>
        <v>Normal</v>
      </c>
      <c r="Z200" t="str">
        <f t="shared" si="24"/>
        <v>Pass</v>
      </c>
    </row>
    <row r="201" spans="1:26" x14ac:dyDescent="0.25">
      <c r="A201" s="2" t="s">
        <v>436</v>
      </c>
      <c r="B201" s="2" t="s">
        <v>17</v>
      </c>
      <c r="C201" s="2" t="s">
        <v>394</v>
      </c>
      <c r="D201" s="2" t="str">
        <f>VLOOKUP(C201,Locality_Reference!A:C,2,)</f>
        <v>Western Line</v>
      </c>
      <c r="E201" s="2" t="str">
        <f>VLOOKUP(C201,Locality_Reference!A:C,3,)</f>
        <v>Mid Suburb</v>
      </c>
      <c r="F201" s="2" t="s">
        <v>402</v>
      </c>
      <c r="G201" s="8">
        <v>34000</v>
      </c>
      <c r="H201">
        <v>1</v>
      </c>
      <c r="I201">
        <v>2</v>
      </c>
      <c r="J201">
        <v>2</v>
      </c>
      <c r="K201">
        <v>10</v>
      </c>
      <c r="L201">
        <v>400</v>
      </c>
      <c r="M201" t="s">
        <v>14</v>
      </c>
      <c r="N201" t="s">
        <v>15</v>
      </c>
      <c r="O201" t="s">
        <v>16</v>
      </c>
      <c r="P201" t="s">
        <v>52</v>
      </c>
      <c r="Q201" t="str">
        <f t="shared" si="25"/>
        <v>7.5</v>
      </c>
      <c r="R201" s="5">
        <v>46190</v>
      </c>
      <c r="S201" s="8">
        <f t="shared" si="26"/>
        <v>85</v>
      </c>
      <c r="T201">
        <f t="shared" si="27"/>
        <v>408000</v>
      </c>
      <c r="U201" t="str">
        <f t="shared" si="28"/>
        <v>Mid</v>
      </c>
      <c r="V201" t="str">
        <f t="shared" si="29"/>
        <v>Compact</v>
      </c>
      <c r="W201" t="str">
        <f>IF(S201 &lt; VLOOKUP(E201, Locality_Tier_Benchmarks!A:B, 2, FALSE) * 0.7, "Below Tier Range", "Normal")</f>
        <v>Normal</v>
      </c>
      <c r="X201" t="str">
        <f t="shared" si="30"/>
        <v>Normal</v>
      </c>
      <c r="Y201" t="str">
        <f t="shared" si="31"/>
        <v>Normal</v>
      </c>
      <c r="Z201" t="str">
        <f t="shared" si="24"/>
        <v>Pass</v>
      </c>
    </row>
    <row r="202" spans="1:26" x14ac:dyDescent="0.25">
      <c r="A202" s="2" t="s">
        <v>437</v>
      </c>
      <c r="B202" t="s">
        <v>366</v>
      </c>
      <c r="C202" s="2" t="s">
        <v>394</v>
      </c>
      <c r="D202" s="2" t="str">
        <f>VLOOKUP(C202,Locality_Reference!A:C,2,)</f>
        <v>Western Line</v>
      </c>
      <c r="E202" s="2" t="str">
        <f>VLOOKUP(C202,Locality_Reference!A:C,3,)</f>
        <v>Mid Suburb</v>
      </c>
      <c r="F202" s="2" t="s">
        <v>403</v>
      </c>
      <c r="G202" s="8">
        <v>29000</v>
      </c>
      <c r="H202">
        <v>1</v>
      </c>
      <c r="I202">
        <v>2</v>
      </c>
      <c r="J202">
        <v>4</v>
      </c>
      <c r="K202">
        <v>7</v>
      </c>
      <c r="L202">
        <v>440</v>
      </c>
      <c r="M202" t="s">
        <v>36</v>
      </c>
      <c r="N202" t="s">
        <v>34</v>
      </c>
      <c r="O202" t="s">
        <v>16</v>
      </c>
      <c r="P202" t="s">
        <v>34</v>
      </c>
      <c r="Q202" t="str">
        <f t="shared" si="25"/>
        <v/>
      </c>
      <c r="R202" s="5">
        <v>46197</v>
      </c>
      <c r="S202" s="8">
        <f t="shared" si="26"/>
        <v>65.909090909090907</v>
      </c>
      <c r="T202">
        <f t="shared" si="27"/>
        <v>348000</v>
      </c>
      <c r="U202" t="str">
        <f t="shared" si="28"/>
        <v>Budget</v>
      </c>
      <c r="V202" t="str">
        <f t="shared" si="29"/>
        <v>Compact</v>
      </c>
      <c r="W202" t="str">
        <f>IF(S202 &lt; VLOOKUP(E202, Locality_Tier_Benchmarks!A:B, 2, FALSE) * 0.7, "Below Tier Range", "Normal")</f>
        <v>Normal</v>
      </c>
      <c r="X202" t="str">
        <f t="shared" si="30"/>
        <v>Normal</v>
      </c>
      <c r="Y202" t="str">
        <f t="shared" si="31"/>
        <v>Normal</v>
      </c>
      <c r="Z202" t="str">
        <f t="shared" si="24"/>
        <v>Pass</v>
      </c>
    </row>
    <row r="203" spans="1:26" x14ac:dyDescent="0.25">
      <c r="A203" s="2" t="s">
        <v>438</v>
      </c>
      <c r="B203" t="s">
        <v>366</v>
      </c>
      <c r="C203" s="2" t="s">
        <v>394</v>
      </c>
      <c r="D203" s="2" t="str">
        <f>VLOOKUP(C203,Locality_Reference!A:C,2,)</f>
        <v>Western Line</v>
      </c>
      <c r="E203" s="2" t="str">
        <f>VLOOKUP(C203,Locality_Reference!A:C,3,)</f>
        <v>Mid Suburb</v>
      </c>
      <c r="F203" s="2" t="s">
        <v>404</v>
      </c>
      <c r="G203" s="8">
        <v>35000</v>
      </c>
      <c r="H203">
        <v>1</v>
      </c>
      <c r="I203">
        <v>1</v>
      </c>
      <c r="J203">
        <v>3</v>
      </c>
      <c r="K203">
        <v>7</v>
      </c>
      <c r="L203">
        <v>450</v>
      </c>
      <c r="M203" t="s">
        <v>14</v>
      </c>
      <c r="N203" t="s">
        <v>34</v>
      </c>
      <c r="O203" t="s">
        <v>16</v>
      </c>
      <c r="P203" t="s">
        <v>405</v>
      </c>
      <c r="Q203" t="str">
        <f t="shared" si="25"/>
        <v>17.5</v>
      </c>
      <c r="R203" s="5">
        <v>46197</v>
      </c>
      <c r="S203" s="8">
        <f t="shared" si="26"/>
        <v>77.777777777777771</v>
      </c>
      <c r="T203">
        <f t="shared" si="27"/>
        <v>420000</v>
      </c>
      <c r="U203" t="str">
        <f t="shared" si="28"/>
        <v>Mid</v>
      </c>
      <c r="V203" t="str">
        <f t="shared" si="29"/>
        <v>Compact</v>
      </c>
      <c r="W203" t="str">
        <f>IF(S203 &lt; VLOOKUP(E203, Locality_Tier_Benchmarks!A:B, 2, FALSE) * 0.7, "Below Tier Range", "Normal")</f>
        <v>Normal</v>
      </c>
      <c r="X203" t="str">
        <f t="shared" si="30"/>
        <v>Normal</v>
      </c>
      <c r="Y203" t="str">
        <f t="shared" si="31"/>
        <v>Normal</v>
      </c>
      <c r="Z203" t="str">
        <f t="shared" si="24"/>
        <v>Pass</v>
      </c>
    </row>
    <row r="204" spans="1:26" x14ac:dyDescent="0.25">
      <c r="A204" s="2" t="s">
        <v>439</v>
      </c>
      <c r="B204" s="2" t="s">
        <v>17</v>
      </c>
      <c r="C204" s="2" t="s">
        <v>394</v>
      </c>
      <c r="D204" s="2" t="str">
        <f>VLOOKUP(C204,Locality_Reference!A:C,2,)</f>
        <v>Western Line</v>
      </c>
      <c r="E204" s="2" t="str">
        <f>VLOOKUP(C204,Locality_Reference!A:C,3,)</f>
        <v>Mid Suburb</v>
      </c>
      <c r="F204" s="2" t="s">
        <v>520</v>
      </c>
      <c r="G204" s="8">
        <v>40000</v>
      </c>
      <c r="H204">
        <v>2</v>
      </c>
      <c r="I204">
        <v>2</v>
      </c>
      <c r="J204">
        <v>2</v>
      </c>
      <c r="K204">
        <v>3</v>
      </c>
      <c r="L204">
        <v>700</v>
      </c>
      <c r="M204" t="s">
        <v>36</v>
      </c>
      <c r="N204" t="s">
        <v>29</v>
      </c>
      <c r="O204" t="s">
        <v>16</v>
      </c>
      <c r="P204" t="s">
        <v>23</v>
      </c>
      <c r="Q204" t="str">
        <f t="shared" si="25"/>
        <v>10</v>
      </c>
      <c r="R204" s="5">
        <v>46188</v>
      </c>
      <c r="S204" s="8">
        <f t="shared" si="26"/>
        <v>57.142857142857146</v>
      </c>
      <c r="T204">
        <f t="shared" si="27"/>
        <v>480000</v>
      </c>
      <c r="U204" t="str">
        <f t="shared" si="28"/>
        <v>Mid</v>
      </c>
      <c r="V204" t="str">
        <f t="shared" si="29"/>
        <v>Medium</v>
      </c>
      <c r="W204" t="str">
        <f>IF(S204 &lt; VLOOKUP(E204, Locality_Tier_Benchmarks!A:B, 2, FALSE) * 0.7, "Below Tier Range", "Normal")</f>
        <v>Normal</v>
      </c>
      <c r="X204" t="str">
        <f t="shared" si="30"/>
        <v>Normal</v>
      </c>
      <c r="Y204" t="str">
        <f t="shared" si="31"/>
        <v>Normal</v>
      </c>
      <c r="Z204" t="str">
        <f t="shared" si="24"/>
        <v>Pass</v>
      </c>
    </row>
    <row r="205" spans="1:26" x14ac:dyDescent="0.25">
      <c r="A205" s="2" t="s">
        <v>440</v>
      </c>
      <c r="B205" s="2" t="s">
        <v>17</v>
      </c>
      <c r="C205" s="2" t="s">
        <v>394</v>
      </c>
      <c r="D205" s="2" t="str">
        <f>VLOOKUP(C205,Locality_Reference!A:C,2,)</f>
        <v>Western Line</v>
      </c>
      <c r="E205" s="2" t="str">
        <f>VLOOKUP(C205,Locality_Reference!A:C,3,)</f>
        <v>Mid Suburb</v>
      </c>
      <c r="F205" s="2" t="s">
        <v>521</v>
      </c>
      <c r="G205" s="8">
        <v>55000</v>
      </c>
      <c r="H205">
        <v>2</v>
      </c>
      <c r="I205">
        <v>2</v>
      </c>
      <c r="J205">
        <v>4</v>
      </c>
      <c r="K205">
        <v>7</v>
      </c>
      <c r="L205">
        <v>650</v>
      </c>
      <c r="M205" t="s">
        <v>14</v>
      </c>
      <c r="N205" t="s">
        <v>15</v>
      </c>
      <c r="O205" t="s">
        <v>16</v>
      </c>
      <c r="P205" t="s">
        <v>23</v>
      </c>
      <c r="Q205" t="str">
        <f t="shared" si="25"/>
        <v>10</v>
      </c>
      <c r="R205" s="5">
        <v>46188</v>
      </c>
      <c r="S205" s="8">
        <f t="shared" si="26"/>
        <v>84.615384615384613</v>
      </c>
      <c r="T205">
        <f t="shared" si="27"/>
        <v>660000</v>
      </c>
      <c r="U205" t="str">
        <f t="shared" si="28"/>
        <v>Mid</v>
      </c>
      <c r="V205" t="str">
        <f t="shared" si="29"/>
        <v>Medium</v>
      </c>
      <c r="W205" t="str">
        <f>IF(S205 &lt; VLOOKUP(E205, Locality_Tier_Benchmarks!A:B, 2, FALSE) * 0.7, "Below Tier Range", "Normal")</f>
        <v>Normal</v>
      </c>
      <c r="X205" t="str">
        <f t="shared" si="30"/>
        <v>Normal</v>
      </c>
      <c r="Y205" t="str">
        <f t="shared" si="31"/>
        <v>Normal</v>
      </c>
      <c r="Z205" t="str">
        <f t="shared" si="24"/>
        <v>Pass</v>
      </c>
    </row>
    <row r="206" spans="1:26" x14ac:dyDescent="0.25">
      <c r="A206" s="2" t="s">
        <v>441</v>
      </c>
      <c r="B206" s="2" t="s">
        <v>366</v>
      </c>
      <c r="C206" s="2" t="s">
        <v>394</v>
      </c>
      <c r="D206" s="2" t="str">
        <f>VLOOKUP(C206,Locality_Reference!A:C,2,)</f>
        <v>Western Line</v>
      </c>
      <c r="E206" s="2" t="str">
        <f>VLOOKUP(C206,Locality_Reference!A:C,3,)</f>
        <v>Mid Suburb</v>
      </c>
      <c r="F206" s="2" t="s">
        <v>522</v>
      </c>
      <c r="G206" s="8">
        <v>60000</v>
      </c>
      <c r="H206">
        <v>2</v>
      </c>
      <c r="I206">
        <v>2</v>
      </c>
      <c r="J206">
        <v>16</v>
      </c>
      <c r="K206">
        <v>22</v>
      </c>
      <c r="L206">
        <v>780</v>
      </c>
      <c r="M206" t="s">
        <v>33</v>
      </c>
      <c r="N206" t="s">
        <v>34</v>
      </c>
      <c r="O206" t="s">
        <v>16</v>
      </c>
      <c r="P206" t="s">
        <v>34</v>
      </c>
      <c r="Q206" t="str">
        <f t="shared" si="25"/>
        <v/>
      </c>
      <c r="R206" s="5">
        <v>46197</v>
      </c>
      <c r="S206" s="8">
        <f t="shared" si="26"/>
        <v>76.92307692307692</v>
      </c>
      <c r="T206">
        <f t="shared" si="27"/>
        <v>720000</v>
      </c>
      <c r="U206" t="str">
        <f t="shared" si="28"/>
        <v>Mid</v>
      </c>
      <c r="V206" t="str">
        <f t="shared" si="29"/>
        <v>Medium</v>
      </c>
      <c r="W206" t="str">
        <f>IF(S206 &lt; VLOOKUP(E206, Locality_Tier_Benchmarks!A:B, 2, FALSE) * 0.7, "Below Tier Range", "Normal")</f>
        <v>Normal</v>
      </c>
      <c r="X206" t="str">
        <f t="shared" si="30"/>
        <v>Normal</v>
      </c>
      <c r="Y206" t="str">
        <f t="shared" si="31"/>
        <v>Normal</v>
      </c>
      <c r="Z206" t="str">
        <f t="shared" si="24"/>
        <v>Pass</v>
      </c>
    </row>
    <row r="207" spans="1:26" x14ac:dyDescent="0.25">
      <c r="A207" s="2" t="s">
        <v>442</v>
      </c>
      <c r="B207" s="2" t="s">
        <v>366</v>
      </c>
      <c r="C207" s="2" t="s">
        <v>394</v>
      </c>
      <c r="D207" s="2" t="str">
        <f>VLOOKUP(C207,Locality_Reference!A:C,2,)</f>
        <v>Western Line</v>
      </c>
      <c r="E207" s="2" t="str">
        <f>VLOOKUP(C207,Locality_Reference!A:C,3,)</f>
        <v>Mid Suburb</v>
      </c>
      <c r="F207" s="2" t="s">
        <v>523</v>
      </c>
      <c r="G207" s="8">
        <v>42000</v>
      </c>
      <c r="H207">
        <v>2</v>
      </c>
      <c r="I207">
        <v>2</v>
      </c>
      <c r="J207">
        <v>6</v>
      </c>
      <c r="K207">
        <v>7</v>
      </c>
      <c r="L207">
        <v>650</v>
      </c>
      <c r="M207" t="s">
        <v>36</v>
      </c>
      <c r="N207" t="s">
        <v>34</v>
      </c>
      <c r="O207" t="s">
        <v>16</v>
      </c>
      <c r="P207" t="s">
        <v>34</v>
      </c>
      <c r="Q207" t="str">
        <f t="shared" si="25"/>
        <v/>
      </c>
      <c r="R207" s="5">
        <v>46154</v>
      </c>
      <c r="S207" s="8">
        <f t="shared" si="26"/>
        <v>64.615384615384613</v>
      </c>
      <c r="T207">
        <f t="shared" si="27"/>
        <v>504000</v>
      </c>
      <c r="U207" t="str">
        <f t="shared" si="28"/>
        <v>Mid</v>
      </c>
      <c r="V207" t="str">
        <f t="shared" si="29"/>
        <v>Medium</v>
      </c>
      <c r="W207" t="str">
        <f>IF(S207 &lt; VLOOKUP(E207, Locality_Tier_Benchmarks!A:B, 2, FALSE) * 0.7, "Below Tier Range", "Normal")</f>
        <v>Normal</v>
      </c>
      <c r="X207" t="str">
        <f t="shared" si="30"/>
        <v>Normal</v>
      </c>
      <c r="Y207" t="str">
        <f t="shared" si="31"/>
        <v>Normal</v>
      </c>
      <c r="Z207" t="str">
        <f t="shared" si="24"/>
        <v>Pass</v>
      </c>
    </row>
    <row r="208" spans="1:26" x14ac:dyDescent="0.25">
      <c r="A208" s="2" t="s">
        <v>443</v>
      </c>
      <c r="B208" s="2" t="s">
        <v>17</v>
      </c>
      <c r="C208" s="2" t="s">
        <v>394</v>
      </c>
      <c r="D208" s="2" t="str">
        <f>VLOOKUP(C208,Locality_Reference!A:C,2,)</f>
        <v>Western Line</v>
      </c>
      <c r="E208" s="2" t="str">
        <f>VLOOKUP(C208,Locality_Reference!A:C,3,)</f>
        <v>Mid Suburb</v>
      </c>
      <c r="F208" s="2" t="s">
        <v>524</v>
      </c>
      <c r="G208" s="8">
        <v>45000</v>
      </c>
      <c r="H208">
        <v>2</v>
      </c>
      <c r="I208">
        <v>2</v>
      </c>
      <c r="J208">
        <v>6</v>
      </c>
      <c r="K208">
        <v>7</v>
      </c>
      <c r="L208">
        <v>580</v>
      </c>
      <c r="M208" t="s">
        <v>36</v>
      </c>
      <c r="N208" t="s">
        <v>29</v>
      </c>
      <c r="O208" t="s">
        <v>16</v>
      </c>
      <c r="P208" t="s">
        <v>34</v>
      </c>
      <c r="Q208" t="str">
        <f t="shared" si="25"/>
        <v/>
      </c>
      <c r="R208" s="5">
        <v>46170</v>
      </c>
      <c r="S208" s="8">
        <f t="shared" si="26"/>
        <v>77.58620689655173</v>
      </c>
      <c r="T208">
        <f t="shared" si="27"/>
        <v>540000</v>
      </c>
      <c r="U208" t="str">
        <f t="shared" si="28"/>
        <v>Mid</v>
      </c>
      <c r="V208" t="str">
        <f t="shared" si="29"/>
        <v>Medium</v>
      </c>
      <c r="W208" t="str">
        <f>IF(S208 &lt; VLOOKUP(E208, Locality_Tier_Benchmarks!A:B, 2, FALSE) * 0.7, "Below Tier Range", "Normal")</f>
        <v>Normal</v>
      </c>
      <c r="X208" t="str">
        <f t="shared" si="30"/>
        <v>Normal</v>
      </c>
      <c r="Y208" t="str">
        <f t="shared" si="31"/>
        <v>Normal</v>
      </c>
      <c r="Z208" t="str">
        <f t="shared" si="24"/>
        <v>Pass</v>
      </c>
    </row>
    <row r="209" spans="1:26" x14ac:dyDescent="0.25">
      <c r="A209" s="2" t="s">
        <v>444</v>
      </c>
      <c r="B209" s="2" t="s">
        <v>366</v>
      </c>
      <c r="C209" s="2" t="s">
        <v>394</v>
      </c>
      <c r="D209" s="2" t="str">
        <f>VLOOKUP(C209,Locality_Reference!A:C,2,)</f>
        <v>Western Line</v>
      </c>
      <c r="E209" s="2" t="str">
        <f>VLOOKUP(C209,Locality_Reference!A:C,3,)</f>
        <v>Mid Suburb</v>
      </c>
      <c r="F209" s="2" t="s">
        <v>525</v>
      </c>
      <c r="G209" s="8">
        <v>70000</v>
      </c>
      <c r="H209">
        <v>3</v>
      </c>
      <c r="I209">
        <v>3</v>
      </c>
      <c r="J209">
        <v>3</v>
      </c>
      <c r="K209">
        <v>7</v>
      </c>
      <c r="L209">
        <v>900</v>
      </c>
      <c r="M209" t="s">
        <v>14</v>
      </c>
      <c r="N209" t="s">
        <v>34</v>
      </c>
      <c r="O209" t="s">
        <v>16</v>
      </c>
      <c r="P209" t="s">
        <v>405</v>
      </c>
      <c r="Q209" t="str">
        <f t="shared" si="25"/>
        <v>17.5</v>
      </c>
      <c r="R209" s="5">
        <v>46198</v>
      </c>
      <c r="S209" s="8">
        <f t="shared" si="26"/>
        <v>77.777777777777771</v>
      </c>
      <c r="T209">
        <f t="shared" si="27"/>
        <v>840000</v>
      </c>
      <c r="U209" t="str">
        <f t="shared" si="28"/>
        <v>Premium</v>
      </c>
      <c r="V209" t="str">
        <f t="shared" si="29"/>
        <v>Large</v>
      </c>
      <c r="W209" t="str">
        <f>IF(S209 &lt; VLOOKUP(E209, Locality_Tier_Benchmarks!A:B, 2, FALSE) * 0.7, "Below Tier Range", "Normal")</f>
        <v>Normal</v>
      </c>
      <c r="X209" t="str">
        <f t="shared" si="30"/>
        <v>Normal</v>
      </c>
      <c r="Y209" t="str">
        <f t="shared" si="31"/>
        <v>Normal</v>
      </c>
      <c r="Z209" t="str">
        <f t="shared" si="24"/>
        <v>Pass</v>
      </c>
    </row>
    <row r="210" spans="1:26" x14ac:dyDescent="0.25">
      <c r="A210" s="2" t="s">
        <v>445</v>
      </c>
      <c r="B210" s="2" t="s">
        <v>366</v>
      </c>
      <c r="C210" s="2" t="s">
        <v>394</v>
      </c>
      <c r="D210" s="2" t="str">
        <f>VLOOKUP(C210,Locality_Reference!A:C,2,)</f>
        <v>Western Line</v>
      </c>
      <c r="E210" s="2" t="str">
        <f>VLOOKUP(C210,Locality_Reference!A:C,3,)</f>
        <v>Mid Suburb</v>
      </c>
      <c r="F210" s="2" t="s">
        <v>526</v>
      </c>
      <c r="G210" s="8">
        <v>250000</v>
      </c>
      <c r="H210">
        <v>3</v>
      </c>
      <c r="I210">
        <v>3</v>
      </c>
      <c r="J210">
        <v>17</v>
      </c>
      <c r="K210">
        <v>22</v>
      </c>
      <c r="L210">
        <v>1300</v>
      </c>
      <c r="M210" t="s">
        <v>36</v>
      </c>
      <c r="N210" t="s">
        <v>34</v>
      </c>
      <c r="O210" t="s">
        <v>16</v>
      </c>
      <c r="P210" t="s">
        <v>47</v>
      </c>
      <c r="Q210" t="str">
        <f t="shared" si="25"/>
        <v>1</v>
      </c>
      <c r="R210" s="5">
        <v>46198</v>
      </c>
      <c r="S210" s="8">
        <f t="shared" si="26"/>
        <v>192.30769230769232</v>
      </c>
      <c r="T210">
        <f t="shared" si="27"/>
        <v>3000000</v>
      </c>
      <c r="U210" t="str">
        <f t="shared" si="28"/>
        <v>Luxury</v>
      </c>
      <c r="V210" t="str">
        <f t="shared" si="29"/>
        <v>Spacious</v>
      </c>
      <c r="W210" t="str">
        <f>IF(S210 &lt; VLOOKUP(E210, Locality_Tier_Benchmarks!A:B, 2, FALSE) * 0.7, "Below Tier Range", "Normal")</f>
        <v>Normal</v>
      </c>
      <c r="X210" t="str">
        <f t="shared" si="30"/>
        <v>Normal</v>
      </c>
      <c r="Y210" t="str">
        <f t="shared" si="31"/>
        <v>Normal</v>
      </c>
      <c r="Z210" t="str">
        <f t="shared" si="24"/>
        <v>Pass</v>
      </c>
    </row>
    <row r="211" spans="1:26" x14ac:dyDescent="0.25">
      <c r="A211" s="2" t="s">
        <v>446</v>
      </c>
      <c r="B211" s="2" t="s">
        <v>17</v>
      </c>
      <c r="C211" s="2" t="s">
        <v>394</v>
      </c>
      <c r="D211" s="2" t="str">
        <f>VLOOKUP(C211,Locality_Reference!A:C,2,)</f>
        <v>Western Line</v>
      </c>
      <c r="E211" s="2" t="str">
        <f>VLOOKUP(C211,Locality_Reference!A:C,3,)</f>
        <v>Mid Suburb</v>
      </c>
      <c r="F211" s="2" t="s">
        <v>527</v>
      </c>
      <c r="G211" s="8">
        <v>53000</v>
      </c>
      <c r="H211">
        <v>3</v>
      </c>
      <c r="I211">
        <v>3</v>
      </c>
      <c r="J211">
        <v>8</v>
      </c>
      <c r="K211">
        <v>14</v>
      </c>
      <c r="L211">
        <v>840</v>
      </c>
      <c r="M211" t="s">
        <v>36</v>
      </c>
      <c r="N211" t="s">
        <v>29</v>
      </c>
      <c r="O211" t="s">
        <v>16</v>
      </c>
      <c r="P211" t="s">
        <v>34</v>
      </c>
      <c r="Q211" t="str">
        <f t="shared" si="25"/>
        <v/>
      </c>
      <c r="R211" s="5">
        <v>46191</v>
      </c>
      <c r="S211" s="8">
        <f t="shared" si="26"/>
        <v>63.095238095238095</v>
      </c>
      <c r="T211">
        <f t="shared" si="27"/>
        <v>636000</v>
      </c>
      <c r="U211" t="str">
        <f t="shared" si="28"/>
        <v>Mid</v>
      </c>
      <c r="V211" t="str">
        <f t="shared" si="29"/>
        <v>Large</v>
      </c>
      <c r="W211" t="str">
        <f>IF(S211 &lt; VLOOKUP(E211, Locality_Tier_Benchmarks!A:B, 2, FALSE) * 0.7, "Below Tier Range", "Normal")</f>
        <v>Normal</v>
      </c>
      <c r="X211" t="str">
        <f t="shared" si="30"/>
        <v>Normal</v>
      </c>
      <c r="Y211" t="str">
        <f t="shared" si="31"/>
        <v>Normal</v>
      </c>
      <c r="Z211" t="str">
        <f t="shared" si="24"/>
        <v>Pass</v>
      </c>
    </row>
    <row r="212" spans="1:26" x14ac:dyDescent="0.25">
      <c r="A212" s="2" t="s">
        <v>447</v>
      </c>
      <c r="B212" s="2" t="s">
        <v>17</v>
      </c>
      <c r="C212" s="2" t="s">
        <v>394</v>
      </c>
      <c r="D212" s="2" t="str">
        <f>VLOOKUP(C212,Locality_Reference!A:C,2,)</f>
        <v>Western Line</v>
      </c>
      <c r="E212" s="2" t="str">
        <f>VLOOKUP(C212,Locality_Reference!A:C,3,)</f>
        <v>Mid Suburb</v>
      </c>
      <c r="F212" s="2" t="s">
        <v>528</v>
      </c>
      <c r="G212" s="8">
        <v>85000</v>
      </c>
      <c r="H212">
        <v>3</v>
      </c>
      <c r="I212">
        <v>3</v>
      </c>
      <c r="J212">
        <v>18</v>
      </c>
      <c r="K212">
        <v>20</v>
      </c>
      <c r="L212">
        <v>995</v>
      </c>
      <c r="M212" t="s">
        <v>14</v>
      </c>
      <c r="N212" t="s">
        <v>15</v>
      </c>
      <c r="O212" t="s">
        <v>16</v>
      </c>
      <c r="P212" t="s">
        <v>31</v>
      </c>
      <c r="Q212" t="str">
        <f t="shared" si="25"/>
        <v>3</v>
      </c>
      <c r="R212" s="5">
        <v>46173</v>
      </c>
      <c r="S212" s="8">
        <f t="shared" si="26"/>
        <v>85.427135678391963</v>
      </c>
      <c r="T212">
        <f t="shared" si="27"/>
        <v>1020000</v>
      </c>
      <c r="U212" t="str">
        <f t="shared" si="28"/>
        <v>Premium</v>
      </c>
      <c r="V212" t="str">
        <f t="shared" si="29"/>
        <v>Large</v>
      </c>
      <c r="W212" t="str">
        <f>IF(S212 &lt; VLOOKUP(E212, Locality_Tier_Benchmarks!A:B, 2, FALSE) * 0.7, "Below Tier Range", "Normal")</f>
        <v>Normal</v>
      </c>
      <c r="X212" t="str">
        <f t="shared" si="30"/>
        <v>Normal</v>
      </c>
      <c r="Y212" t="str">
        <f t="shared" si="31"/>
        <v>Normal</v>
      </c>
      <c r="Z212" t="str">
        <f t="shared" si="24"/>
        <v>Pass</v>
      </c>
    </row>
    <row r="213" spans="1:26" x14ac:dyDescent="0.25">
      <c r="A213" s="2" t="s">
        <v>448</v>
      </c>
      <c r="B213" s="2" t="s">
        <v>17</v>
      </c>
      <c r="C213" t="s">
        <v>479</v>
      </c>
      <c r="D213" s="2" t="str">
        <f>VLOOKUP(C213,Locality_Reference!A:C,2,)</f>
        <v>Western Line</v>
      </c>
      <c r="E213" s="2" t="str">
        <f>VLOOKUP(C213,Locality_Reference!A:C,3,)</f>
        <v>Mid Suburb</v>
      </c>
      <c r="F213" s="2" t="s">
        <v>560</v>
      </c>
      <c r="G213" s="8">
        <v>51000</v>
      </c>
      <c r="H213">
        <v>1</v>
      </c>
      <c r="I213">
        <v>1</v>
      </c>
      <c r="J213">
        <v>3</v>
      </c>
      <c r="K213">
        <v>8</v>
      </c>
      <c r="L213">
        <v>585</v>
      </c>
      <c r="M213" t="s">
        <v>36</v>
      </c>
      <c r="N213" t="s">
        <v>15</v>
      </c>
      <c r="O213" t="s">
        <v>16</v>
      </c>
      <c r="P213" t="s">
        <v>34</v>
      </c>
      <c r="Q213" t="str">
        <f t="shared" si="25"/>
        <v/>
      </c>
      <c r="R213" s="5">
        <v>46191</v>
      </c>
      <c r="S213" s="8">
        <f t="shared" si="26"/>
        <v>87.179487179487182</v>
      </c>
      <c r="T213">
        <f t="shared" si="27"/>
        <v>612000</v>
      </c>
      <c r="U213" t="str">
        <f t="shared" si="28"/>
        <v>Mid</v>
      </c>
      <c r="V213" t="str">
        <f t="shared" si="29"/>
        <v>Medium</v>
      </c>
      <c r="W213" t="str">
        <f>IF(S213 &lt; VLOOKUP(E213, Locality_Tier_Benchmarks!A:B, 2, FALSE) * 0.7, "Below Tier Range", "Normal")</f>
        <v>Normal</v>
      </c>
      <c r="X213" t="str">
        <f t="shared" si="30"/>
        <v>Normal</v>
      </c>
      <c r="Y213" t="str">
        <f t="shared" si="31"/>
        <v>Normal</v>
      </c>
      <c r="Z213" t="str">
        <f t="shared" si="24"/>
        <v>Pass</v>
      </c>
    </row>
    <row r="214" spans="1:26" x14ac:dyDescent="0.25">
      <c r="A214" s="2" t="s">
        <v>449</v>
      </c>
      <c r="B214" s="2" t="s">
        <v>17</v>
      </c>
      <c r="C214" t="s">
        <v>479</v>
      </c>
      <c r="D214" s="2" t="str">
        <f>VLOOKUP(C214,Locality_Reference!A:C,2,)</f>
        <v>Western Line</v>
      </c>
      <c r="E214" s="2" t="str">
        <f>VLOOKUP(C214,Locality_Reference!A:C,3,)</f>
        <v>Mid Suburb</v>
      </c>
      <c r="F214" s="2" t="s">
        <v>561</v>
      </c>
      <c r="G214" s="8">
        <v>35500</v>
      </c>
      <c r="H214">
        <v>1</v>
      </c>
      <c r="I214">
        <v>1</v>
      </c>
      <c r="J214">
        <v>4</v>
      </c>
      <c r="K214">
        <v>8</v>
      </c>
      <c r="L214">
        <v>430</v>
      </c>
      <c r="M214" t="s">
        <v>36</v>
      </c>
      <c r="N214" t="s">
        <v>15</v>
      </c>
      <c r="O214" t="s">
        <v>16</v>
      </c>
      <c r="P214" t="s">
        <v>34</v>
      </c>
      <c r="Q214" t="str">
        <f t="shared" si="25"/>
        <v/>
      </c>
      <c r="R214" s="5">
        <v>46184</v>
      </c>
      <c r="S214" s="8">
        <f t="shared" si="26"/>
        <v>82.558139534883722</v>
      </c>
      <c r="T214">
        <f t="shared" si="27"/>
        <v>426000</v>
      </c>
      <c r="U214" t="str">
        <f t="shared" si="28"/>
        <v>Mid</v>
      </c>
      <c r="V214" t="str">
        <f t="shared" si="29"/>
        <v>Compact</v>
      </c>
      <c r="W214" t="str">
        <f>IF(S214 &lt; VLOOKUP(E214, Locality_Tier_Benchmarks!A:B, 2, FALSE) * 0.7, "Below Tier Range", "Normal")</f>
        <v>Normal</v>
      </c>
      <c r="X214" t="str">
        <f t="shared" si="30"/>
        <v>Normal</v>
      </c>
      <c r="Y214" t="str">
        <f t="shared" si="31"/>
        <v>Normal</v>
      </c>
      <c r="Z214" t="str">
        <f t="shared" si="24"/>
        <v>Pass</v>
      </c>
    </row>
    <row r="215" spans="1:26" x14ac:dyDescent="0.25">
      <c r="A215" s="2" t="s">
        <v>532</v>
      </c>
      <c r="B215" s="2" t="s">
        <v>17</v>
      </c>
      <c r="C215" t="s">
        <v>479</v>
      </c>
      <c r="D215" s="2" t="str">
        <f>VLOOKUP(C215,Locality_Reference!A:C,2,)</f>
        <v>Western Line</v>
      </c>
      <c r="E215" s="2" t="str">
        <f>VLOOKUP(C215,Locality_Reference!A:C,3,)</f>
        <v>Mid Suburb</v>
      </c>
      <c r="F215" s="2" t="s">
        <v>562</v>
      </c>
      <c r="G215" s="8">
        <v>37000</v>
      </c>
      <c r="H215">
        <v>1</v>
      </c>
      <c r="I215">
        <v>2</v>
      </c>
      <c r="J215">
        <v>4</v>
      </c>
      <c r="K215">
        <v>8</v>
      </c>
      <c r="L215">
        <v>450</v>
      </c>
      <c r="M215" t="s">
        <v>36</v>
      </c>
      <c r="N215" t="s">
        <v>15</v>
      </c>
      <c r="O215" t="s">
        <v>16</v>
      </c>
      <c r="P215" t="s">
        <v>23</v>
      </c>
      <c r="Q215" t="str">
        <f t="shared" si="25"/>
        <v>10</v>
      </c>
      <c r="R215" s="5">
        <v>46189</v>
      </c>
      <c r="S215" s="8">
        <f t="shared" si="26"/>
        <v>82.222222222222229</v>
      </c>
      <c r="T215">
        <f t="shared" si="27"/>
        <v>444000</v>
      </c>
      <c r="U215" t="str">
        <f t="shared" si="28"/>
        <v>Mid</v>
      </c>
      <c r="V215" t="str">
        <f t="shared" si="29"/>
        <v>Compact</v>
      </c>
      <c r="W215" t="str">
        <f>IF(S215 &lt; VLOOKUP(E215, Locality_Tier_Benchmarks!A:B, 2, FALSE) * 0.7, "Below Tier Range", "Normal")</f>
        <v>Normal</v>
      </c>
      <c r="X215" t="str">
        <f t="shared" si="30"/>
        <v>Normal</v>
      </c>
      <c r="Y215" t="str">
        <f t="shared" si="31"/>
        <v>Normal</v>
      </c>
      <c r="Z215" t="str">
        <f t="shared" si="24"/>
        <v>Pass</v>
      </c>
    </row>
    <row r="216" spans="1:26" x14ac:dyDescent="0.25">
      <c r="A216" s="2" t="s">
        <v>533</v>
      </c>
      <c r="B216" s="2" t="s">
        <v>17</v>
      </c>
      <c r="C216" t="s">
        <v>479</v>
      </c>
      <c r="D216" s="2" t="str">
        <f>VLOOKUP(C216,Locality_Reference!A:C,2,)</f>
        <v>Western Line</v>
      </c>
      <c r="E216" s="2" t="str">
        <f>VLOOKUP(C216,Locality_Reference!A:C,3,)</f>
        <v>Mid Suburb</v>
      </c>
      <c r="F216" s="2" t="s">
        <v>563</v>
      </c>
      <c r="G216" s="8">
        <v>35500</v>
      </c>
      <c r="H216">
        <v>1</v>
      </c>
      <c r="I216">
        <v>2</v>
      </c>
      <c r="J216">
        <v>5</v>
      </c>
      <c r="K216">
        <v>21</v>
      </c>
      <c r="L216">
        <v>421</v>
      </c>
      <c r="M216" t="s">
        <v>36</v>
      </c>
      <c r="N216" t="s">
        <v>15</v>
      </c>
      <c r="O216" t="s">
        <v>16</v>
      </c>
      <c r="P216" t="s">
        <v>52</v>
      </c>
      <c r="Q216" t="str">
        <f t="shared" si="25"/>
        <v>7.5</v>
      </c>
      <c r="R216" s="5">
        <v>46180</v>
      </c>
      <c r="S216" s="8">
        <f t="shared" si="26"/>
        <v>84.323040380047502</v>
      </c>
      <c r="T216">
        <f t="shared" si="27"/>
        <v>426000</v>
      </c>
      <c r="U216" t="str">
        <f t="shared" si="28"/>
        <v>Mid</v>
      </c>
      <c r="V216" t="str">
        <f t="shared" si="29"/>
        <v>Compact</v>
      </c>
      <c r="W216" t="str">
        <f>IF(S216 &lt; VLOOKUP(E216, Locality_Tier_Benchmarks!A:B, 2, FALSE) * 0.7, "Below Tier Range", "Normal")</f>
        <v>Normal</v>
      </c>
      <c r="X216" t="str">
        <f t="shared" si="30"/>
        <v>Normal</v>
      </c>
      <c r="Y216" t="str">
        <f t="shared" si="31"/>
        <v>Normal</v>
      </c>
      <c r="Z216" t="str">
        <f t="shared" si="24"/>
        <v>Pass</v>
      </c>
    </row>
    <row r="217" spans="1:26" x14ac:dyDescent="0.25">
      <c r="A217" s="2" t="s">
        <v>534</v>
      </c>
      <c r="B217" s="2" t="s">
        <v>17</v>
      </c>
      <c r="C217" t="s">
        <v>479</v>
      </c>
      <c r="D217" s="2" t="str">
        <f>VLOOKUP(C217,Locality_Reference!A:C,2,)</f>
        <v>Western Line</v>
      </c>
      <c r="E217" s="2" t="str">
        <f>VLOOKUP(C217,Locality_Reference!A:C,3,)</f>
        <v>Mid Suburb</v>
      </c>
      <c r="F217" s="2" t="s">
        <v>564</v>
      </c>
      <c r="G217" s="8">
        <v>30000</v>
      </c>
      <c r="H217">
        <v>1</v>
      </c>
      <c r="I217">
        <v>1</v>
      </c>
      <c r="J217">
        <v>4</v>
      </c>
      <c r="K217">
        <v>4</v>
      </c>
      <c r="L217">
        <v>587</v>
      </c>
      <c r="M217" t="s">
        <v>36</v>
      </c>
      <c r="N217" t="s">
        <v>29</v>
      </c>
      <c r="O217" t="s">
        <v>16</v>
      </c>
      <c r="P217" t="s">
        <v>23</v>
      </c>
      <c r="Q217" t="str">
        <f t="shared" si="25"/>
        <v>10</v>
      </c>
      <c r="R217" s="5">
        <v>46192</v>
      </c>
      <c r="S217" s="8">
        <f t="shared" si="26"/>
        <v>51.107325383304939</v>
      </c>
      <c r="T217">
        <f t="shared" si="27"/>
        <v>360000</v>
      </c>
      <c r="U217" t="str">
        <f t="shared" si="28"/>
        <v>Budget</v>
      </c>
      <c r="V217" t="str">
        <f t="shared" si="29"/>
        <v>Medium</v>
      </c>
      <c r="W217" t="str">
        <f>IF(S217 &lt; VLOOKUP(E217, Locality_Tier_Benchmarks!A:B, 2, FALSE) * 0.7, "Below Tier Range", "Normal")</f>
        <v>Normal</v>
      </c>
      <c r="X217" t="str">
        <f t="shared" si="30"/>
        <v>Normal</v>
      </c>
      <c r="Y217" t="str">
        <f t="shared" si="31"/>
        <v>Normal</v>
      </c>
      <c r="Z217" t="str">
        <f t="shared" si="24"/>
        <v>Pass</v>
      </c>
    </row>
    <row r="218" spans="1:26" x14ac:dyDescent="0.25">
      <c r="A218" s="2" t="s">
        <v>535</v>
      </c>
      <c r="B218" s="2" t="s">
        <v>17</v>
      </c>
      <c r="C218" t="s">
        <v>479</v>
      </c>
      <c r="D218" s="2" t="str">
        <f>VLOOKUP(C218,Locality_Reference!A:C,2,)</f>
        <v>Western Line</v>
      </c>
      <c r="E218" s="2" t="str">
        <f>VLOOKUP(C218,Locality_Reference!A:C,3,)</f>
        <v>Mid Suburb</v>
      </c>
      <c r="F218" s="2" t="s">
        <v>575</v>
      </c>
      <c r="G218" s="8">
        <v>60000</v>
      </c>
      <c r="H218">
        <v>2</v>
      </c>
      <c r="I218">
        <v>2</v>
      </c>
      <c r="J218">
        <v>9</v>
      </c>
      <c r="K218">
        <v>21</v>
      </c>
      <c r="L218">
        <v>761</v>
      </c>
      <c r="M218" t="s">
        <v>36</v>
      </c>
      <c r="N218" t="s">
        <v>15</v>
      </c>
      <c r="O218" t="s">
        <v>16</v>
      </c>
      <c r="P218" t="s">
        <v>31</v>
      </c>
      <c r="Q218" t="str">
        <f t="shared" si="25"/>
        <v>3</v>
      </c>
      <c r="R218" s="5">
        <v>46189</v>
      </c>
      <c r="S218" s="8">
        <f t="shared" si="26"/>
        <v>78.843626806833115</v>
      </c>
      <c r="T218">
        <f t="shared" si="27"/>
        <v>720000</v>
      </c>
      <c r="U218" t="str">
        <f t="shared" si="28"/>
        <v>Mid</v>
      </c>
      <c r="V218" t="str">
        <f t="shared" si="29"/>
        <v>Medium</v>
      </c>
      <c r="W218" t="str">
        <f>IF(S218 &lt; VLOOKUP(E218, Locality_Tier_Benchmarks!A:B, 2, FALSE) * 0.7, "Below Tier Range", "Normal")</f>
        <v>Normal</v>
      </c>
      <c r="X218" t="str">
        <f t="shared" si="30"/>
        <v>Normal</v>
      </c>
      <c r="Y218" t="str">
        <f t="shared" si="31"/>
        <v>Normal</v>
      </c>
      <c r="Z218" t="str">
        <f t="shared" si="24"/>
        <v>Pass</v>
      </c>
    </row>
    <row r="219" spans="1:26" x14ac:dyDescent="0.25">
      <c r="A219" s="2" t="s">
        <v>536</v>
      </c>
      <c r="B219" s="2" t="s">
        <v>17</v>
      </c>
      <c r="C219" t="s">
        <v>479</v>
      </c>
      <c r="D219" s="2" t="str">
        <f>VLOOKUP(C219,Locality_Reference!A:C,2,)</f>
        <v>Western Line</v>
      </c>
      <c r="E219" s="2" t="str">
        <f>VLOOKUP(C219,Locality_Reference!A:C,3,)</f>
        <v>Mid Suburb</v>
      </c>
      <c r="F219" s="2" t="s">
        <v>562</v>
      </c>
      <c r="G219" s="8">
        <v>49000</v>
      </c>
      <c r="H219">
        <v>2</v>
      </c>
      <c r="I219">
        <v>2</v>
      </c>
      <c r="J219">
        <v>3</v>
      </c>
      <c r="K219">
        <v>8</v>
      </c>
      <c r="L219">
        <v>700</v>
      </c>
      <c r="M219" t="s">
        <v>36</v>
      </c>
      <c r="N219" t="s">
        <v>15</v>
      </c>
      <c r="O219" t="s">
        <v>16</v>
      </c>
      <c r="P219" t="s">
        <v>23</v>
      </c>
      <c r="Q219" t="str">
        <f t="shared" si="25"/>
        <v>10</v>
      </c>
      <c r="R219" s="5">
        <v>46155</v>
      </c>
      <c r="S219" s="8">
        <f t="shared" si="26"/>
        <v>70</v>
      </c>
      <c r="T219">
        <f t="shared" si="27"/>
        <v>588000</v>
      </c>
      <c r="U219" t="str">
        <f t="shared" si="28"/>
        <v>Mid</v>
      </c>
      <c r="V219" t="str">
        <f t="shared" si="29"/>
        <v>Medium</v>
      </c>
      <c r="W219" t="str">
        <f>IF(S219 &lt; VLOOKUP(E219, Locality_Tier_Benchmarks!A:B, 2, FALSE) * 0.7, "Below Tier Range", "Normal")</f>
        <v>Normal</v>
      </c>
      <c r="X219" t="str">
        <f t="shared" si="30"/>
        <v>Normal</v>
      </c>
      <c r="Y219" t="str">
        <f t="shared" si="31"/>
        <v>Normal</v>
      </c>
      <c r="Z219" t="str">
        <f t="shared" si="24"/>
        <v>Pass</v>
      </c>
    </row>
    <row r="220" spans="1:26" x14ac:dyDescent="0.25">
      <c r="A220" s="2" t="s">
        <v>537</v>
      </c>
      <c r="B220" s="2" t="s">
        <v>17</v>
      </c>
      <c r="C220" t="s">
        <v>479</v>
      </c>
      <c r="D220" s="2" t="str">
        <f>VLOOKUP(C220,Locality_Reference!A:C,2,)</f>
        <v>Western Line</v>
      </c>
      <c r="E220" s="2" t="str">
        <f>VLOOKUP(C220,Locality_Reference!A:C,3,)</f>
        <v>Mid Suburb</v>
      </c>
      <c r="F220" s="2" t="s">
        <v>576</v>
      </c>
      <c r="G220" s="8">
        <v>50000</v>
      </c>
      <c r="H220">
        <v>2</v>
      </c>
      <c r="I220">
        <v>2</v>
      </c>
      <c r="J220">
        <v>19</v>
      </c>
      <c r="K220">
        <v>22</v>
      </c>
      <c r="L220">
        <v>680</v>
      </c>
      <c r="M220" t="s">
        <v>36</v>
      </c>
      <c r="N220" t="s">
        <v>15</v>
      </c>
      <c r="O220" t="s">
        <v>16</v>
      </c>
      <c r="P220" t="s">
        <v>34</v>
      </c>
      <c r="Q220" t="str">
        <f t="shared" si="25"/>
        <v/>
      </c>
      <c r="R220" s="5">
        <v>46184</v>
      </c>
      <c r="S220" s="8">
        <f t="shared" si="26"/>
        <v>73.529411764705884</v>
      </c>
      <c r="T220">
        <f t="shared" si="27"/>
        <v>600000</v>
      </c>
      <c r="U220" t="str">
        <f t="shared" si="28"/>
        <v>Mid</v>
      </c>
      <c r="V220" t="str">
        <f t="shared" si="29"/>
        <v>Medium</v>
      </c>
      <c r="W220" t="str">
        <f>IF(S220 &lt; VLOOKUP(E220, Locality_Tier_Benchmarks!A:B, 2, FALSE) * 0.7, "Below Tier Range", "Normal")</f>
        <v>Normal</v>
      </c>
      <c r="X220" t="str">
        <f t="shared" si="30"/>
        <v>Normal</v>
      </c>
      <c r="Y220" t="str">
        <f t="shared" si="31"/>
        <v>Normal</v>
      </c>
      <c r="Z220" t="str">
        <f t="shared" si="24"/>
        <v>Pass</v>
      </c>
    </row>
    <row r="221" spans="1:26" x14ac:dyDescent="0.25">
      <c r="A221" s="2" t="s">
        <v>538</v>
      </c>
      <c r="B221" s="2" t="s">
        <v>17</v>
      </c>
      <c r="C221" t="s">
        <v>479</v>
      </c>
      <c r="D221" s="2" t="str">
        <f>VLOOKUP(C221,Locality_Reference!A:C,2,)</f>
        <v>Western Line</v>
      </c>
      <c r="E221" s="2" t="str">
        <f>VLOOKUP(C221,Locality_Reference!A:C,3,)</f>
        <v>Mid Suburb</v>
      </c>
      <c r="F221" s="2" t="s">
        <v>577</v>
      </c>
      <c r="G221" s="8">
        <v>50000</v>
      </c>
      <c r="H221">
        <v>2</v>
      </c>
      <c r="I221">
        <v>2</v>
      </c>
      <c r="J221">
        <v>5</v>
      </c>
      <c r="K221">
        <v>23</v>
      </c>
      <c r="L221">
        <v>614</v>
      </c>
      <c r="M221" t="s">
        <v>33</v>
      </c>
      <c r="N221" t="s">
        <v>15</v>
      </c>
      <c r="O221" t="s">
        <v>16</v>
      </c>
      <c r="P221" t="s">
        <v>47</v>
      </c>
      <c r="Q221" t="str">
        <f t="shared" si="25"/>
        <v>1</v>
      </c>
      <c r="R221" s="5">
        <v>46189</v>
      </c>
      <c r="S221" s="8">
        <f t="shared" si="26"/>
        <v>81.433224755700323</v>
      </c>
      <c r="T221">
        <f t="shared" si="27"/>
        <v>600000</v>
      </c>
      <c r="U221" t="str">
        <f t="shared" si="28"/>
        <v>Mid</v>
      </c>
      <c r="V221" t="str">
        <f t="shared" si="29"/>
        <v>Medium</v>
      </c>
      <c r="W221" t="str">
        <f>IF(S221 &lt; VLOOKUP(E221, Locality_Tier_Benchmarks!A:B, 2, FALSE) * 0.7, "Below Tier Range", "Normal")</f>
        <v>Normal</v>
      </c>
      <c r="X221" t="str">
        <f t="shared" si="30"/>
        <v>Normal</v>
      </c>
      <c r="Y221" t="str">
        <f t="shared" si="31"/>
        <v>Normal</v>
      </c>
      <c r="Z221" t="str">
        <f t="shared" si="24"/>
        <v>Pass</v>
      </c>
    </row>
    <row r="222" spans="1:26" x14ac:dyDescent="0.25">
      <c r="A222" s="2" t="s">
        <v>539</v>
      </c>
      <c r="B222" s="2" t="s">
        <v>17</v>
      </c>
      <c r="C222" t="s">
        <v>479</v>
      </c>
      <c r="D222" s="2" t="str">
        <f>VLOOKUP(C222,Locality_Reference!A:C,2,)</f>
        <v>Western Line</v>
      </c>
      <c r="E222" s="2" t="str">
        <f>VLOOKUP(C222,Locality_Reference!A:C,3,)</f>
        <v>Mid Suburb</v>
      </c>
      <c r="F222" s="2" t="s">
        <v>578</v>
      </c>
      <c r="G222" s="8">
        <v>55000</v>
      </c>
      <c r="H222">
        <v>2</v>
      </c>
      <c r="I222">
        <v>2</v>
      </c>
      <c r="J222">
        <v>12</v>
      </c>
      <c r="K222">
        <v>15</v>
      </c>
      <c r="L222">
        <v>740</v>
      </c>
      <c r="M222" t="s">
        <v>33</v>
      </c>
      <c r="N222" t="s">
        <v>15</v>
      </c>
      <c r="O222" t="s">
        <v>16</v>
      </c>
      <c r="P222" t="s">
        <v>23</v>
      </c>
      <c r="Q222" t="str">
        <f t="shared" si="25"/>
        <v>10</v>
      </c>
      <c r="R222" s="5">
        <v>46182</v>
      </c>
      <c r="S222" s="8">
        <f t="shared" si="26"/>
        <v>74.324324324324323</v>
      </c>
      <c r="T222">
        <f t="shared" si="27"/>
        <v>660000</v>
      </c>
      <c r="U222" t="str">
        <f t="shared" si="28"/>
        <v>Mid</v>
      </c>
      <c r="V222" t="str">
        <f t="shared" si="29"/>
        <v>Medium</v>
      </c>
      <c r="W222" t="str">
        <f>IF(S222 &lt; VLOOKUP(E222, Locality_Tier_Benchmarks!A:B, 2, FALSE) * 0.7, "Below Tier Range", "Normal")</f>
        <v>Normal</v>
      </c>
      <c r="X222" t="str">
        <f t="shared" si="30"/>
        <v>Normal</v>
      </c>
      <c r="Y222" t="str">
        <f t="shared" si="31"/>
        <v>Normal</v>
      </c>
      <c r="Z222" t="str">
        <f t="shared" si="24"/>
        <v>Pass</v>
      </c>
    </row>
    <row r="223" spans="1:26" x14ac:dyDescent="0.25">
      <c r="A223" s="2" t="s">
        <v>540</v>
      </c>
      <c r="B223" s="2" t="s">
        <v>17</v>
      </c>
      <c r="C223" t="s">
        <v>479</v>
      </c>
      <c r="D223" s="2" t="str">
        <f>VLOOKUP(C223,Locality_Reference!A:C,2,)</f>
        <v>Western Line</v>
      </c>
      <c r="E223" s="2" t="str">
        <f>VLOOKUP(C223,Locality_Reference!A:C,3,)</f>
        <v>Mid Suburb</v>
      </c>
      <c r="F223" s="2" t="s">
        <v>579</v>
      </c>
      <c r="G223" s="8">
        <v>180000</v>
      </c>
      <c r="H223">
        <v>3</v>
      </c>
      <c r="I223">
        <v>3</v>
      </c>
      <c r="J223">
        <v>31</v>
      </c>
      <c r="K223">
        <v>61</v>
      </c>
      <c r="L223">
        <v>1034</v>
      </c>
      <c r="M223" t="s">
        <v>14</v>
      </c>
      <c r="N223" t="s">
        <v>29</v>
      </c>
      <c r="O223" t="s">
        <v>16</v>
      </c>
      <c r="P223" t="s">
        <v>34</v>
      </c>
      <c r="Q223" t="str">
        <f t="shared" si="25"/>
        <v/>
      </c>
      <c r="R223" s="5">
        <v>46178</v>
      </c>
      <c r="S223" s="8">
        <f t="shared" si="26"/>
        <v>174.08123791102514</v>
      </c>
      <c r="T223">
        <f t="shared" si="27"/>
        <v>2160000</v>
      </c>
      <c r="U223" t="str">
        <f t="shared" si="28"/>
        <v>Luxury</v>
      </c>
      <c r="V223" t="str">
        <f t="shared" si="29"/>
        <v>Large</v>
      </c>
      <c r="W223" t="str">
        <f>IF(S223 &lt; VLOOKUP(E223, Locality_Tier_Benchmarks!A:B, 2, FALSE) * 0.7, "Below Tier Range", "Normal")</f>
        <v>Normal</v>
      </c>
      <c r="X223" t="str">
        <f t="shared" si="30"/>
        <v>Normal</v>
      </c>
      <c r="Y223" t="str">
        <f t="shared" si="31"/>
        <v>Normal</v>
      </c>
      <c r="Z223" t="str">
        <f t="shared" si="24"/>
        <v>Pass</v>
      </c>
    </row>
    <row r="224" spans="1:26" x14ac:dyDescent="0.25">
      <c r="A224" s="2" t="s">
        <v>541</v>
      </c>
      <c r="B224" s="2" t="s">
        <v>17</v>
      </c>
      <c r="C224" t="s">
        <v>479</v>
      </c>
      <c r="D224" s="2" t="str">
        <f>VLOOKUP(C224,Locality_Reference!A:C,2,)</f>
        <v>Western Line</v>
      </c>
      <c r="E224" s="2" t="str">
        <f>VLOOKUP(C224,Locality_Reference!A:C,3,)</f>
        <v>Mid Suburb</v>
      </c>
      <c r="F224" s="2" t="s">
        <v>580</v>
      </c>
      <c r="G224" s="8">
        <v>52000</v>
      </c>
      <c r="H224">
        <v>3</v>
      </c>
      <c r="I224">
        <v>3</v>
      </c>
      <c r="J224">
        <v>7</v>
      </c>
      <c r="K224">
        <v>18</v>
      </c>
      <c r="L224">
        <v>800</v>
      </c>
      <c r="M224" t="s">
        <v>36</v>
      </c>
      <c r="N224" t="s">
        <v>15</v>
      </c>
      <c r="O224" t="s">
        <v>16</v>
      </c>
      <c r="P224" t="s">
        <v>31</v>
      </c>
      <c r="Q224" t="str">
        <f t="shared" si="25"/>
        <v>3</v>
      </c>
      <c r="R224" s="5">
        <v>46145</v>
      </c>
      <c r="S224" s="8">
        <f t="shared" si="26"/>
        <v>65</v>
      </c>
      <c r="T224">
        <f t="shared" si="27"/>
        <v>624000</v>
      </c>
      <c r="U224" t="str">
        <f t="shared" si="28"/>
        <v>Mid</v>
      </c>
      <c r="V224" t="str">
        <f t="shared" si="29"/>
        <v>Medium</v>
      </c>
      <c r="W224" t="str">
        <f>IF(S224 &lt; VLOOKUP(E224, Locality_Tier_Benchmarks!A:B, 2, FALSE) * 0.7, "Below Tier Range", "Normal")</f>
        <v>Normal</v>
      </c>
      <c r="X224" t="str">
        <f t="shared" si="30"/>
        <v>Normal</v>
      </c>
      <c r="Y224" t="str">
        <f t="shared" si="31"/>
        <v>Normal</v>
      </c>
      <c r="Z224" t="str">
        <f t="shared" si="24"/>
        <v>Pass</v>
      </c>
    </row>
    <row r="225" spans="1:26" x14ac:dyDescent="0.25">
      <c r="A225" s="2" t="s">
        <v>542</v>
      </c>
      <c r="B225" s="2" t="s">
        <v>17</v>
      </c>
      <c r="C225" t="s">
        <v>479</v>
      </c>
      <c r="D225" s="2" t="str">
        <f>VLOOKUP(C225,Locality_Reference!A:C,2,)</f>
        <v>Western Line</v>
      </c>
      <c r="E225" s="2" t="str">
        <f>VLOOKUP(C225,Locality_Reference!A:C,3,)</f>
        <v>Mid Suburb</v>
      </c>
      <c r="F225" s="2" t="s">
        <v>581</v>
      </c>
      <c r="G225" s="8">
        <v>93000</v>
      </c>
      <c r="H225">
        <v>3</v>
      </c>
      <c r="I225">
        <v>3</v>
      </c>
      <c r="J225">
        <v>7</v>
      </c>
      <c r="K225">
        <v>17</v>
      </c>
      <c r="L225">
        <v>1050</v>
      </c>
      <c r="M225" t="s">
        <v>14</v>
      </c>
      <c r="N225" t="s">
        <v>15</v>
      </c>
      <c r="O225" t="s">
        <v>16</v>
      </c>
      <c r="P225" t="s">
        <v>34</v>
      </c>
      <c r="Q225" t="str">
        <f t="shared" si="25"/>
        <v/>
      </c>
      <c r="R225" s="5">
        <v>46197</v>
      </c>
      <c r="S225" s="8">
        <f t="shared" si="26"/>
        <v>88.571428571428569</v>
      </c>
      <c r="T225">
        <f t="shared" si="27"/>
        <v>1116000</v>
      </c>
      <c r="U225" t="str">
        <f t="shared" si="28"/>
        <v>Premium</v>
      </c>
      <c r="V225" t="str">
        <f t="shared" si="29"/>
        <v>Large</v>
      </c>
      <c r="W225" t="str">
        <f>IF(S225 &lt; VLOOKUP(E225, Locality_Tier_Benchmarks!A:B, 2, FALSE) * 0.7, "Below Tier Range", "Normal")</f>
        <v>Normal</v>
      </c>
      <c r="X225" t="str">
        <f t="shared" si="30"/>
        <v>Normal</v>
      </c>
      <c r="Y225" t="str">
        <f t="shared" si="31"/>
        <v>Normal</v>
      </c>
      <c r="Z225" t="str">
        <f t="shared" si="24"/>
        <v>Pass</v>
      </c>
    </row>
    <row r="226" spans="1:26" x14ac:dyDescent="0.25">
      <c r="A226" s="2" t="s">
        <v>543</v>
      </c>
      <c r="B226" s="2" t="s">
        <v>17</v>
      </c>
      <c r="C226" t="s">
        <v>479</v>
      </c>
      <c r="D226" s="2" t="str">
        <f>VLOOKUP(C226,Locality_Reference!A:C,2,)</f>
        <v>Western Line</v>
      </c>
      <c r="E226" s="2" t="str">
        <f>VLOOKUP(C226,Locality_Reference!A:C,3,)</f>
        <v>Mid Suburb</v>
      </c>
      <c r="F226" s="2" t="s">
        <v>576</v>
      </c>
      <c r="G226" s="8">
        <v>60000</v>
      </c>
      <c r="H226">
        <v>3</v>
      </c>
      <c r="I226">
        <v>3</v>
      </c>
      <c r="J226">
        <v>13</v>
      </c>
      <c r="K226">
        <v>22</v>
      </c>
      <c r="L226">
        <v>690</v>
      </c>
      <c r="M226" t="s">
        <v>36</v>
      </c>
      <c r="N226" t="s">
        <v>15</v>
      </c>
      <c r="O226" t="s">
        <v>16</v>
      </c>
      <c r="P226" t="s">
        <v>34</v>
      </c>
      <c r="Q226" t="str">
        <f t="shared" si="25"/>
        <v/>
      </c>
      <c r="R226" s="5">
        <v>46185</v>
      </c>
      <c r="S226" s="8">
        <f t="shared" si="26"/>
        <v>86.956521739130437</v>
      </c>
      <c r="T226">
        <f t="shared" si="27"/>
        <v>720000</v>
      </c>
      <c r="U226" t="str">
        <f t="shared" si="28"/>
        <v>Mid</v>
      </c>
      <c r="V226" t="str">
        <f t="shared" si="29"/>
        <v>Medium</v>
      </c>
      <c r="W226" t="str">
        <f>IF(S226 &lt; VLOOKUP(E226, Locality_Tier_Benchmarks!A:B, 2, FALSE) * 0.7, "Below Tier Range", "Normal")</f>
        <v>Normal</v>
      </c>
      <c r="X226" t="str">
        <f t="shared" si="30"/>
        <v>Normal</v>
      </c>
      <c r="Y226" t="str">
        <f t="shared" si="31"/>
        <v>Normal</v>
      </c>
      <c r="Z226" t="str">
        <f t="shared" si="24"/>
        <v>Pass</v>
      </c>
    </row>
    <row r="227" spans="1:26" x14ac:dyDescent="0.25">
      <c r="A227" s="2" t="s">
        <v>544</v>
      </c>
      <c r="B227" s="2" t="s">
        <v>17</v>
      </c>
      <c r="C227" t="s">
        <v>479</v>
      </c>
      <c r="D227" s="2" t="str">
        <f>VLOOKUP(C227,Locality_Reference!A:C,2,)</f>
        <v>Western Line</v>
      </c>
      <c r="E227" s="2" t="str">
        <f>VLOOKUP(C227,Locality_Reference!A:C,3,)</f>
        <v>Mid Suburb</v>
      </c>
      <c r="F227" s="2" t="s">
        <v>582</v>
      </c>
      <c r="G227" s="8">
        <v>125000</v>
      </c>
      <c r="H227">
        <v>3</v>
      </c>
      <c r="I227">
        <v>3</v>
      </c>
      <c r="J227">
        <v>12</v>
      </c>
      <c r="K227">
        <v>35</v>
      </c>
      <c r="L227">
        <v>1240</v>
      </c>
      <c r="M227" t="s">
        <v>14</v>
      </c>
      <c r="N227" t="s">
        <v>15</v>
      </c>
      <c r="O227" t="s">
        <v>16</v>
      </c>
      <c r="P227" t="s">
        <v>23</v>
      </c>
      <c r="Q227" t="str">
        <f t="shared" si="25"/>
        <v>10</v>
      </c>
      <c r="R227" s="5">
        <v>46181</v>
      </c>
      <c r="S227" s="8">
        <f t="shared" si="26"/>
        <v>100.80645161290323</v>
      </c>
      <c r="T227">
        <f t="shared" si="27"/>
        <v>1500000</v>
      </c>
      <c r="U227" t="str">
        <f t="shared" si="28"/>
        <v>Luxury</v>
      </c>
      <c r="V227" t="str">
        <f t="shared" si="29"/>
        <v>Spacious</v>
      </c>
      <c r="W227" t="str">
        <f>IF(S227 &lt; VLOOKUP(E227, Locality_Tier_Benchmarks!A:B, 2, FALSE) * 0.7, "Below Tier Range", "Normal")</f>
        <v>Normal</v>
      </c>
      <c r="X227" t="str">
        <f t="shared" si="30"/>
        <v>Normal</v>
      </c>
      <c r="Y227" t="str">
        <f t="shared" si="31"/>
        <v>Normal</v>
      </c>
      <c r="Z227" t="str">
        <f t="shared" si="24"/>
        <v>Pass</v>
      </c>
    </row>
    <row r="228" spans="1:26" x14ac:dyDescent="0.25">
      <c r="A228" s="2" t="s">
        <v>545</v>
      </c>
      <c r="B228" s="2" t="s">
        <v>17</v>
      </c>
      <c r="C228" t="s">
        <v>478</v>
      </c>
      <c r="D228" s="2" t="str">
        <f>VLOOKUP(C228,Locality_Reference!A:C,2,)</f>
        <v>Western Line</v>
      </c>
      <c r="E228" s="2" t="str">
        <f>VLOOKUP(C228,Locality_Reference!A:C,3,)</f>
        <v>Mid Suburb</v>
      </c>
      <c r="F228" s="2" t="s">
        <v>565</v>
      </c>
      <c r="G228" s="8">
        <v>38000</v>
      </c>
      <c r="H228">
        <v>1</v>
      </c>
      <c r="I228">
        <v>2</v>
      </c>
      <c r="J228">
        <v>2</v>
      </c>
      <c r="K228">
        <v>7</v>
      </c>
      <c r="L228">
        <v>410</v>
      </c>
      <c r="M228" t="s">
        <v>14</v>
      </c>
      <c r="N228" t="s">
        <v>15</v>
      </c>
      <c r="O228" t="s">
        <v>16</v>
      </c>
      <c r="P228" t="s">
        <v>52</v>
      </c>
      <c r="Q228" t="str">
        <f t="shared" si="25"/>
        <v>7.5</v>
      </c>
      <c r="R228" s="5">
        <v>46186</v>
      </c>
      <c r="S228" s="8">
        <f t="shared" si="26"/>
        <v>92.682926829268297</v>
      </c>
      <c r="T228">
        <f t="shared" si="27"/>
        <v>456000</v>
      </c>
      <c r="U228" t="str">
        <f t="shared" si="28"/>
        <v>Mid</v>
      </c>
      <c r="V228" t="str">
        <f t="shared" si="29"/>
        <v>Compact</v>
      </c>
      <c r="W228" t="str">
        <f>IF(S228 &lt; VLOOKUP(E228, Locality_Tier_Benchmarks!A:B, 2, FALSE) * 0.7, "Below Tier Range", "Normal")</f>
        <v>Normal</v>
      </c>
      <c r="X228" t="str">
        <f t="shared" si="30"/>
        <v>Normal</v>
      </c>
      <c r="Y228" t="str">
        <f t="shared" si="31"/>
        <v>Normal</v>
      </c>
      <c r="Z228" t="str">
        <f t="shared" si="24"/>
        <v>Pass</v>
      </c>
    </row>
    <row r="229" spans="1:26" x14ac:dyDescent="0.25">
      <c r="A229" s="2" t="s">
        <v>546</v>
      </c>
      <c r="B229" s="2" t="s">
        <v>17</v>
      </c>
      <c r="C229" t="s">
        <v>478</v>
      </c>
      <c r="D229" s="2" t="str">
        <f>VLOOKUP(C229,Locality_Reference!A:C,2,)</f>
        <v>Western Line</v>
      </c>
      <c r="E229" s="2" t="str">
        <f>VLOOKUP(C229,Locality_Reference!A:C,3,)</f>
        <v>Mid Suburb</v>
      </c>
      <c r="F229" s="2" t="s">
        <v>566</v>
      </c>
      <c r="G229" s="8">
        <v>35999</v>
      </c>
      <c r="H229">
        <v>1</v>
      </c>
      <c r="I229">
        <v>2</v>
      </c>
      <c r="J229">
        <v>2</v>
      </c>
      <c r="K229">
        <v>3</v>
      </c>
      <c r="L229">
        <v>525</v>
      </c>
      <c r="M229" t="s">
        <v>14</v>
      </c>
      <c r="N229" t="s">
        <v>15</v>
      </c>
      <c r="O229" t="s">
        <v>16</v>
      </c>
      <c r="P229" t="s">
        <v>23</v>
      </c>
      <c r="Q229" t="str">
        <f t="shared" si="25"/>
        <v>10</v>
      </c>
      <c r="R229" s="5">
        <v>46195</v>
      </c>
      <c r="S229" s="8">
        <f t="shared" si="26"/>
        <v>68.569523809523815</v>
      </c>
      <c r="T229">
        <f t="shared" si="27"/>
        <v>431988</v>
      </c>
      <c r="U229" t="str">
        <f t="shared" si="28"/>
        <v>Mid</v>
      </c>
      <c r="V229" t="str">
        <f t="shared" si="29"/>
        <v>Medium</v>
      </c>
      <c r="W229" t="str">
        <f>IF(S229 &lt; VLOOKUP(E229, Locality_Tier_Benchmarks!A:B, 2, FALSE) * 0.7, "Below Tier Range", "Normal")</f>
        <v>Normal</v>
      </c>
      <c r="X229" t="str">
        <f t="shared" si="30"/>
        <v>Normal</v>
      </c>
      <c r="Y229" t="str">
        <f t="shared" si="31"/>
        <v>Normal</v>
      </c>
      <c r="Z229" t="str">
        <f t="shared" si="24"/>
        <v>Pass</v>
      </c>
    </row>
    <row r="230" spans="1:26" x14ac:dyDescent="0.25">
      <c r="A230" s="2" t="s">
        <v>547</v>
      </c>
      <c r="B230" s="2" t="s">
        <v>17</v>
      </c>
      <c r="C230" t="s">
        <v>478</v>
      </c>
      <c r="D230" s="2" t="str">
        <f>VLOOKUP(C230,Locality_Reference!A:C,2,)</f>
        <v>Western Line</v>
      </c>
      <c r="E230" s="2" t="str">
        <f>VLOOKUP(C230,Locality_Reference!A:C,3,)</f>
        <v>Mid Suburb</v>
      </c>
      <c r="F230" s="2" t="s">
        <v>567</v>
      </c>
      <c r="G230" s="8">
        <v>42000</v>
      </c>
      <c r="H230">
        <v>1</v>
      </c>
      <c r="I230">
        <v>1</v>
      </c>
      <c r="J230">
        <v>14</v>
      </c>
      <c r="K230">
        <v>18</v>
      </c>
      <c r="L230">
        <v>390</v>
      </c>
      <c r="M230" t="s">
        <v>36</v>
      </c>
      <c r="N230" t="s">
        <v>15</v>
      </c>
      <c r="O230" t="s">
        <v>16</v>
      </c>
      <c r="P230" t="s">
        <v>34</v>
      </c>
      <c r="Q230" t="str">
        <f t="shared" si="25"/>
        <v/>
      </c>
      <c r="R230" s="5">
        <v>46184</v>
      </c>
      <c r="S230" s="8">
        <f t="shared" si="26"/>
        <v>107.69230769230769</v>
      </c>
      <c r="T230">
        <f t="shared" si="27"/>
        <v>504000</v>
      </c>
      <c r="U230" t="str">
        <f t="shared" si="28"/>
        <v>Mid</v>
      </c>
      <c r="V230" t="str">
        <f t="shared" si="29"/>
        <v>Compact</v>
      </c>
      <c r="W230" t="str">
        <f>IF(S230 &lt; VLOOKUP(E230, Locality_Tier_Benchmarks!A:B, 2, FALSE) * 0.7, "Below Tier Range", "Normal")</f>
        <v>Normal</v>
      </c>
      <c r="X230" t="str">
        <f t="shared" si="30"/>
        <v>Normal</v>
      </c>
      <c r="Y230" t="str">
        <f t="shared" si="31"/>
        <v>Normal</v>
      </c>
      <c r="Z230" t="str">
        <f t="shared" si="24"/>
        <v>Pass</v>
      </c>
    </row>
    <row r="231" spans="1:26" x14ac:dyDescent="0.25">
      <c r="A231" s="2" t="s">
        <v>548</v>
      </c>
      <c r="B231" s="2" t="s">
        <v>17</v>
      </c>
      <c r="C231" t="s">
        <v>478</v>
      </c>
      <c r="D231" s="2" t="str">
        <f>VLOOKUP(C231,Locality_Reference!A:C,2,)</f>
        <v>Western Line</v>
      </c>
      <c r="E231" s="2" t="str">
        <f>VLOOKUP(C231,Locality_Reference!A:C,3,)</f>
        <v>Mid Suburb</v>
      </c>
      <c r="F231" s="2" t="s">
        <v>568</v>
      </c>
      <c r="G231" s="8">
        <v>30000</v>
      </c>
      <c r="H231">
        <v>1</v>
      </c>
      <c r="I231">
        <v>2</v>
      </c>
      <c r="J231">
        <v>2</v>
      </c>
      <c r="K231">
        <v>7</v>
      </c>
      <c r="L231">
        <v>400</v>
      </c>
      <c r="M231" t="s">
        <v>36</v>
      </c>
      <c r="N231" t="s">
        <v>15</v>
      </c>
      <c r="O231" t="s">
        <v>16</v>
      </c>
      <c r="P231" t="s">
        <v>34</v>
      </c>
      <c r="Q231" t="str">
        <f t="shared" si="25"/>
        <v/>
      </c>
      <c r="R231" s="5">
        <v>46195</v>
      </c>
      <c r="S231" s="8">
        <f t="shared" si="26"/>
        <v>75</v>
      </c>
      <c r="T231">
        <f t="shared" si="27"/>
        <v>360000</v>
      </c>
      <c r="U231" t="str">
        <f t="shared" si="28"/>
        <v>Budget</v>
      </c>
      <c r="V231" t="str">
        <f t="shared" si="29"/>
        <v>Compact</v>
      </c>
      <c r="W231" t="str">
        <f>IF(S231 &lt; VLOOKUP(E231, Locality_Tier_Benchmarks!A:B, 2, FALSE) * 0.7, "Below Tier Range", "Normal")</f>
        <v>Normal</v>
      </c>
      <c r="X231" t="str">
        <f t="shared" si="30"/>
        <v>Normal</v>
      </c>
      <c r="Y231" t="str">
        <f t="shared" si="31"/>
        <v>Normal</v>
      </c>
      <c r="Z231" t="str">
        <f t="shared" si="24"/>
        <v>Pass</v>
      </c>
    </row>
    <row r="232" spans="1:26" x14ac:dyDescent="0.25">
      <c r="A232" s="2" t="s">
        <v>549</v>
      </c>
      <c r="B232" s="2" t="s">
        <v>17</v>
      </c>
      <c r="C232" t="s">
        <v>478</v>
      </c>
      <c r="D232" s="2" t="str">
        <f>VLOOKUP(C232,Locality_Reference!A:C,2,)</f>
        <v>Western Line</v>
      </c>
      <c r="E232" s="2" t="str">
        <f>VLOOKUP(C232,Locality_Reference!A:C,3,)</f>
        <v>Mid Suburb</v>
      </c>
      <c r="F232" s="2" t="s">
        <v>569</v>
      </c>
      <c r="G232" s="8">
        <v>34000</v>
      </c>
      <c r="H232">
        <v>1</v>
      </c>
      <c r="I232">
        <v>2</v>
      </c>
      <c r="J232">
        <v>2</v>
      </c>
      <c r="K232">
        <v>7</v>
      </c>
      <c r="L232">
        <v>450</v>
      </c>
      <c r="M232" t="s">
        <v>33</v>
      </c>
      <c r="N232" t="s">
        <v>15</v>
      </c>
      <c r="O232" t="s">
        <v>16</v>
      </c>
      <c r="P232" t="s">
        <v>31</v>
      </c>
      <c r="Q232" t="str">
        <f t="shared" si="25"/>
        <v>3</v>
      </c>
      <c r="R232" s="5">
        <v>46187</v>
      </c>
      <c r="S232" s="8">
        <f t="shared" si="26"/>
        <v>75.555555555555557</v>
      </c>
      <c r="T232">
        <f t="shared" si="27"/>
        <v>408000</v>
      </c>
      <c r="U232" t="str">
        <f t="shared" si="28"/>
        <v>Mid</v>
      </c>
      <c r="V232" t="str">
        <f t="shared" si="29"/>
        <v>Compact</v>
      </c>
      <c r="W232" t="str">
        <f>IF(S232 &lt; VLOOKUP(E232, Locality_Tier_Benchmarks!A:B, 2, FALSE) * 0.7, "Below Tier Range", "Normal")</f>
        <v>Normal</v>
      </c>
      <c r="X232" t="str">
        <f t="shared" si="30"/>
        <v>Normal</v>
      </c>
      <c r="Y232" t="str">
        <f t="shared" si="31"/>
        <v>Normal</v>
      </c>
      <c r="Z232" t="str">
        <f t="shared" si="24"/>
        <v>Pass</v>
      </c>
    </row>
    <row r="233" spans="1:26" x14ac:dyDescent="0.25">
      <c r="A233" s="2" t="s">
        <v>550</v>
      </c>
      <c r="B233" s="2" t="s">
        <v>17</v>
      </c>
      <c r="C233" t="s">
        <v>478</v>
      </c>
      <c r="D233" s="2" t="str">
        <f>VLOOKUP(C233,Locality_Reference!A:C,2,)</f>
        <v>Western Line</v>
      </c>
      <c r="E233" s="2" t="str">
        <f>VLOOKUP(C233,Locality_Reference!A:C,3,)</f>
        <v>Mid Suburb</v>
      </c>
      <c r="F233" s="2" t="s">
        <v>570</v>
      </c>
      <c r="G233" s="8">
        <v>50000</v>
      </c>
      <c r="H233">
        <v>2</v>
      </c>
      <c r="I233">
        <v>2</v>
      </c>
      <c r="J233">
        <v>2</v>
      </c>
      <c r="K233">
        <v>7</v>
      </c>
      <c r="L233">
        <v>650</v>
      </c>
      <c r="M233" t="s">
        <v>14</v>
      </c>
      <c r="N233" t="s">
        <v>15</v>
      </c>
      <c r="O233" t="s">
        <v>16</v>
      </c>
      <c r="P233" t="s">
        <v>23</v>
      </c>
      <c r="Q233" t="str">
        <f t="shared" si="25"/>
        <v>10</v>
      </c>
      <c r="R233" s="5">
        <v>46150</v>
      </c>
      <c r="S233" s="8">
        <f t="shared" si="26"/>
        <v>76.92307692307692</v>
      </c>
      <c r="T233">
        <f t="shared" si="27"/>
        <v>600000</v>
      </c>
      <c r="U233" t="str">
        <f t="shared" si="28"/>
        <v>Mid</v>
      </c>
      <c r="V233" t="str">
        <f t="shared" si="29"/>
        <v>Medium</v>
      </c>
      <c r="W233" t="str">
        <f>IF(S233 &lt; VLOOKUP(E233, Locality_Tier_Benchmarks!A:B, 2, FALSE) * 0.7, "Below Tier Range", "Normal")</f>
        <v>Normal</v>
      </c>
      <c r="X233" t="str">
        <f t="shared" si="30"/>
        <v>Normal</v>
      </c>
      <c r="Y233" t="str">
        <f t="shared" si="31"/>
        <v>Normal</v>
      </c>
      <c r="Z233" t="str">
        <f t="shared" si="24"/>
        <v>Pass</v>
      </c>
    </row>
    <row r="234" spans="1:26" x14ac:dyDescent="0.25">
      <c r="A234" s="2" t="s">
        <v>551</v>
      </c>
      <c r="B234" s="2" t="s">
        <v>17</v>
      </c>
      <c r="C234" t="s">
        <v>478</v>
      </c>
      <c r="D234" s="2" t="str">
        <f>VLOOKUP(C234,Locality_Reference!A:C,2,)</f>
        <v>Western Line</v>
      </c>
      <c r="E234" s="2" t="str">
        <f>VLOOKUP(C234,Locality_Reference!A:C,3,)</f>
        <v>Mid Suburb</v>
      </c>
      <c r="F234" s="2" t="s">
        <v>571</v>
      </c>
      <c r="G234" s="8">
        <v>50000</v>
      </c>
      <c r="H234">
        <v>2</v>
      </c>
      <c r="I234">
        <v>2</v>
      </c>
      <c r="J234">
        <v>19</v>
      </c>
      <c r="K234">
        <v>20</v>
      </c>
      <c r="L234">
        <v>775</v>
      </c>
      <c r="M234" t="s">
        <v>33</v>
      </c>
      <c r="N234" t="s">
        <v>15</v>
      </c>
      <c r="O234" t="s">
        <v>16</v>
      </c>
      <c r="P234" t="s">
        <v>23</v>
      </c>
      <c r="Q234" t="str">
        <f t="shared" si="25"/>
        <v>10</v>
      </c>
      <c r="R234" s="5">
        <v>46182</v>
      </c>
      <c r="S234" s="8">
        <f t="shared" si="26"/>
        <v>64.516129032258064</v>
      </c>
      <c r="T234">
        <f t="shared" si="27"/>
        <v>600000</v>
      </c>
      <c r="U234" t="str">
        <f t="shared" si="28"/>
        <v>Mid</v>
      </c>
      <c r="V234" t="str">
        <f t="shared" si="29"/>
        <v>Medium</v>
      </c>
      <c r="W234" t="str">
        <f>IF(S234 &lt; VLOOKUP(E234, Locality_Tier_Benchmarks!A:B, 2, FALSE) * 0.7, "Below Tier Range", "Normal")</f>
        <v>Normal</v>
      </c>
      <c r="X234" t="str">
        <f t="shared" si="30"/>
        <v>Normal</v>
      </c>
      <c r="Y234" t="str">
        <f t="shared" si="31"/>
        <v>Normal</v>
      </c>
      <c r="Z234" t="str">
        <f t="shared" si="24"/>
        <v>Pass</v>
      </c>
    </row>
    <row r="235" spans="1:26" x14ac:dyDescent="0.25">
      <c r="A235" s="2" t="s">
        <v>552</v>
      </c>
      <c r="B235" s="2" t="s">
        <v>17</v>
      </c>
      <c r="C235" t="s">
        <v>478</v>
      </c>
      <c r="D235" s="2" t="str">
        <f>VLOOKUP(C235,Locality_Reference!A:C,2,)</f>
        <v>Western Line</v>
      </c>
      <c r="E235" s="2" t="str">
        <f>VLOOKUP(C235,Locality_Reference!A:C,3,)</f>
        <v>Mid Suburb</v>
      </c>
      <c r="F235" s="2" t="s">
        <v>572</v>
      </c>
      <c r="G235" s="8">
        <v>54000</v>
      </c>
      <c r="H235">
        <v>2</v>
      </c>
      <c r="I235">
        <v>2</v>
      </c>
      <c r="J235">
        <v>2</v>
      </c>
      <c r="K235">
        <v>8</v>
      </c>
      <c r="L235">
        <v>750</v>
      </c>
      <c r="M235" t="s">
        <v>36</v>
      </c>
      <c r="N235" t="s">
        <v>15</v>
      </c>
      <c r="O235" t="s">
        <v>16</v>
      </c>
      <c r="P235" t="s">
        <v>23</v>
      </c>
      <c r="Q235" t="str">
        <f t="shared" si="25"/>
        <v>10</v>
      </c>
      <c r="R235" s="5">
        <v>46190</v>
      </c>
      <c r="S235" s="8">
        <f t="shared" si="26"/>
        <v>72</v>
      </c>
      <c r="T235">
        <f t="shared" si="27"/>
        <v>648000</v>
      </c>
      <c r="U235" t="str">
        <f t="shared" si="28"/>
        <v>Mid</v>
      </c>
      <c r="V235" t="str">
        <f t="shared" si="29"/>
        <v>Medium</v>
      </c>
      <c r="W235" t="str">
        <f>IF(S235 &lt; VLOOKUP(E235, Locality_Tier_Benchmarks!A:B, 2, FALSE) * 0.7, "Below Tier Range", "Normal")</f>
        <v>Normal</v>
      </c>
      <c r="X235" t="str">
        <f t="shared" si="30"/>
        <v>Normal</v>
      </c>
      <c r="Y235" t="str">
        <f t="shared" si="31"/>
        <v>Normal</v>
      </c>
      <c r="Z235" t="str">
        <f t="shared" si="24"/>
        <v>Pass</v>
      </c>
    </row>
    <row r="236" spans="1:26" x14ac:dyDescent="0.25">
      <c r="A236" s="2" t="s">
        <v>553</v>
      </c>
      <c r="B236" s="2" t="s">
        <v>17</v>
      </c>
      <c r="C236" t="s">
        <v>478</v>
      </c>
      <c r="D236" s="2" t="str">
        <f>VLOOKUP(C236,Locality_Reference!A:C,2,)</f>
        <v>Western Line</v>
      </c>
      <c r="E236" s="2" t="str">
        <f>VLOOKUP(C236,Locality_Reference!A:C,3,)</f>
        <v>Mid Suburb</v>
      </c>
      <c r="F236" s="2" t="s">
        <v>573</v>
      </c>
      <c r="G236" s="8">
        <v>58000</v>
      </c>
      <c r="H236">
        <v>2</v>
      </c>
      <c r="I236">
        <v>2</v>
      </c>
      <c r="J236">
        <v>1</v>
      </c>
      <c r="K236">
        <v>7</v>
      </c>
      <c r="L236">
        <v>650</v>
      </c>
      <c r="M236" t="s">
        <v>36</v>
      </c>
      <c r="N236" t="s">
        <v>15</v>
      </c>
      <c r="O236" t="s">
        <v>16</v>
      </c>
      <c r="P236" t="s">
        <v>34</v>
      </c>
      <c r="Q236" t="str">
        <f t="shared" si="25"/>
        <v/>
      </c>
      <c r="R236" s="5">
        <v>46186</v>
      </c>
      <c r="S236" s="8">
        <f t="shared" si="26"/>
        <v>89.230769230769226</v>
      </c>
      <c r="T236">
        <f t="shared" si="27"/>
        <v>696000</v>
      </c>
      <c r="U236" t="str">
        <f t="shared" si="28"/>
        <v>Mid</v>
      </c>
      <c r="V236" t="str">
        <f t="shared" si="29"/>
        <v>Medium</v>
      </c>
      <c r="W236" t="str">
        <f>IF(S236 &lt; VLOOKUP(E236, Locality_Tier_Benchmarks!A:B, 2, FALSE) * 0.7, "Below Tier Range", "Normal")</f>
        <v>Normal</v>
      </c>
      <c r="X236" t="str">
        <f t="shared" si="30"/>
        <v>Normal</v>
      </c>
      <c r="Y236" t="str">
        <f t="shared" si="31"/>
        <v>Normal</v>
      </c>
      <c r="Z236" t="str">
        <f t="shared" si="24"/>
        <v>Pass</v>
      </c>
    </row>
    <row r="237" spans="1:26" x14ac:dyDescent="0.25">
      <c r="A237" s="2" t="s">
        <v>554</v>
      </c>
      <c r="B237" s="2" t="s">
        <v>17</v>
      </c>
      <c r="C237" t="s">
        <v>478</v>
      </c>
      <c r="D237" s="2" t="str">
        <f>VLOOKUP(C237,Locality_Reference!A:C,2,)</f>
        <v>Western Line</v>
      </c>
      <c r="E237" s="2" t="str">
        <f>VLOOKUP(C237,Locality_Reference!A:C,3,)</f>
        <v>Mid Suburb</v>
      </c>
      <c r="F237" s="2" t="s">
        <v>574</v>
      </c>
      <c r="G237" s="8">
        <v>70000</v>
      </c>
      <c r="H237">
        <v>2</v>
      </c>
      <c r="I237">
        <v>3</v>
      </c>
      <c r="J237">
        <v>9</v>
      </c>
      <c r="K237">
        <v>22</v>
      </c>
      <c r="L237">
        <v>678</v>
      </c>
      <c r="M237" t="s">
        <v>36</v>
      </c>
      <c r="N237" t="s">
        <v>15</v>
      </c>
      <c r="O237" t="s">
        <v>16</v>
      </c>
      <c r="P237" t="s">
        <v>31</v>
      </c>
      <c r="Q237" t="str">
        <f t="shared" si="25"/>
        <v>3</v>
      </c>
      <c r="R237" s="5">
        <v>46191</v>
      </c>
      <c r="S237" s="8">
        <f t="shared" si="26"/>
        <v>103.2448377581121</v>
      </c>
      <c r="T237">
        <f t="shared" si="27"/>
        <v>840000</v>
      </c>
      <c r="U237" t="str">
        <f t="shared" si="28"/>
        <v>Premium</v>
      </c>
      <c r="V237" t="str">
        <f t="shared" si="29"/>
        <v>Medium</v>
      </c>
      <c r="W237" t="str">
        <f>IF(S237 &lt; VLOOKUP(E237, Locality_Tier_Benchmarks!A:B, 2, FALSE) * 0.7, "Below Tier Range", "Normal")</f>
        <v>Normal</v>
      </c>
      <c r="X237" t="str">
        <f t="shared" si="30"/>
        <v>Normal</v>
      </c>
      <c r="Y237" t="str">
        <f t="shared" si="31"/>
        <v>Normal</v>
      </c>
      <c r="Z237" t="str">
        <f t="shared" si="24"/>
        <v>Pass</v>
      </c>
    </row>
    <row r="238" spans="1:26" x14ac:dyDescent="0.25">
      <c r="A238" s="2" t="s">
        <v>555</v>
      </c>
      <c r="B238" s="2" t="s">
        <v>17</v>
      </c>
      <c r="C238" t="s">
        <v>478</v>
      </c>
      <c r="D238" s="2" t="str">
        <f>VLOOKUP(C238,Locality_Reference!A:C,2,)</f>
        <v>Western Line</v>
      </c>
      <c r="E238" s="2" t="str">
        <f>VLOOKUP(C238,Locality_Reference!A:C,3,)</f>
        <v>Mid Suburb</v>
      </c>
      <c r="F238" s="2" t="s">
        <v>583</v>
      </c>
      <c r="G238" s="8">
        <v>80000</v>
      </c>
      <c r="H238">
        <v>3</v>
      </c>
      <c r="I238">
        <v>3</v>
      </c>
      <c r="J238">
        <v>5</v>
      </c>
      <c r="K238">
        <v>21</v>
      </c>
      <c r="L238">
        <v>786</v>
      </c>
      <c r="M238" t="s">
        <v>36</v>
      </c>
      <c r="N238" t="s">
        <v>15</v>
      </c>
      <c r="O238" t="s">
        <v>16</v>
      </c>
      <c r="P238" t="s">
        <v>47</v>
      </c>
      <c r="Q238" t="str">
        <f t="shared" si="25"/>
        <v>1</v>
      </c>
      <c r="R238" s="5">
        <v>46188</v>
      </c>
      <c r="S238" s="8">
        <f t="shared" si="26"/>
        <v>101.78117048346056</v>
      </c>
      <c r="T238">
        <f t="shared" si="27"/>
        <v>960000</v>
      </c>
      <c r="U238" t="str">
        <f t="shared" si="28"/>
        <v>Premium</v>
      </c>
      <c r="V238" t="str">
        <f t="shared" si="29"/>
        <v>Medium</v>
      </c>
      <c r="W238" t="str">
        <f>IF(S238 &lt; VLOOKUP(E238, Locality_Tier_Benchmarks!A:B, 2, FALSE) * 0.7, "Below Tier Range", "Normal")</f>
        <v>Normal</v>
      </c>
      <c r="X238" t="str">
        <f t="shared" si="30"/>
        <v>Normal</v>
      </c>
      <c r="Y238" t="str">
        <f t="shared" si="31"/>
        <v>Normal</v>
      </c>
      <c r="Z238" t="str">
        <f t="shared" si="24"/>
        <v>Pass</v>
      </c>
    </row>
    <row r="239" spans="1:26" x14ac:dyDescent="0.25">
      <c r="A239" s="2" t="s">
        <v>556</v>
      </c>
      <c r="B239" s="2" t="s">
        <v>17</v>
      </c>
      <c r="C239" t="s">
        <v>478</v>
      </c>
      <c r="D239" s="2" t="str">
        <f>VLOOKUP(C239,Locality_Reference!A:C,2,)</f>
        <v>Western Line</v>
      </c>
      <c r="E239" s="2" t="str">
        <f>VLOOKUP(C239,Locality_Reference!A:C,3,)</f>
        <v>Mid Suburb</v>
      </c>
      <c r="F239" s="2" t="s">
        <v>584</v>
      </c>
      <c r="G239" s="8">
        <v>75000</v>
      </c>
      <c r="H239">
        <v>3</v>
      </c>
      <c r="I239">
        <v>3</v>
      </c>
      <c r="J239">
        <v>6</v>
      </c>
      <c r="K239">
        <v>7</v>
      </c>
      <c r="L239">
        <v>930</v>
      </c>
      <c r="M239" t="s">
        <v>36</v>
      </c>
      <c r="N239" t="s">
        <v>15</v>
      </c>
      <c r="O239" t="s">
        <v>16</v>
      </c>
      <c r="P239" t="s">
        <v>31</v>
      </c>
      <c r="Q239" t="str">
        <f t="shared" si="25"/>
        <v>3</v>
      </c>
      <c r="R239" s="5">
        <v>46190</v>
      </c>
      <c r="S239" s="8">
        <f t="shared" si="26"/>
        <v>80.645161290322577</v>
      </c>
      <c r="T239">
        <f t="shared" si="27"/>
        <v>900000</v>
      </c>
      <c r="U239" t="str">
        <f t="shared" si="28"/>
        <v>Premium</v>
      </c>
      <c r="V239" t="str">
        <f t="shared" si="29"/>
        <v>Large</v>
      </c>
      <c r="W239" t="str">
        <f>IF(S239 &lt; VLOOKUP(E239, Locality_Tier_Benchmarks!A:B, 2, FALSE) * 0.7, "Below Tier Range", "Normal")</f>
        <v>Normal</v>
      </c>
      <c r="X239" t="str">
        <f t="shared" si="30"/>
        <v>Normal</v>
      </c>
      <c r="Y239" t="str">
        <f t="shared" si="31"/>
        <v>Normal</v>
      </c>
      <c r="Z239" t="str">
        <f t="shared" si="24"/>
        <v>Pass</v>
      </c>
    </row>
    <row r="240" spans="1:26" x14ac:dyDescent="0.25">
      <c r="A240" s="2" t="s">
        <v>557</v>
      </c>
      <c r="B240" s="2" t="s">
        <v>17</v>
      </c>
      <c r="C240" t="s">
        <v>478</v>
      </c>
      <c r="D240" s="2" t="str">
        <f>VLOOKUP(C240,Locality_Reference!A:C,2,)</f>
        <v>Western Line</v>
      </c>
      <c r="E240" s="2" t="str">
        <f>VLOOKUP(C240,Locality_Reference!A:C,3,)</f>
        <v>Mid Suburb</v>
      </c>
      <c r="F240" s="2" t="s">
        <v>585</v>
      </c>
      <c r="G240" s="8">
        <v>59000</v>
      </c>
      <c r="H240">
        <v>3</v>
      </c>
      <c r="I240">
        <v>3</v>
      </c>
      <c r="J240">
        <v>5</v>
      </c>
      <c r="K240">
        <v>7</v>
      </c>
      <c r="L240">
        <v>1050</v>
      </c>
      <c r="M240" t="s">
        <v>36</v>
      </c>
      <c r="N240" t="s">
        <v>15</v>
      </c>
      <c r="O240" t="s">
        <v>16</v>
      </c>
      <c r="P240" t="s">
        <v>52</v>
      </c>
      <c r="Q240" t="str">
        <f t="shared" si="25"/>
        <v>7.5</v>
      </c>
      <c r="R240" s="5">
        <v>46154</v>
      </c>
      <c r="S240" s="8">
        <f t="shared" si="26"/>
        <v>56.19047619047619</v>
      </c>
      <c r="T240">
        <f t="shared" si="27"/>
        <v>708000</v>
      </c>
      <c r="U240" t="str">
        <f t="shared" si="28"/>
        <v>Mid</v>
      </c>
      <c r="V240" t="str">
        <f t="shared" si="29"/>
        <v>Large</v>
      </c>
      <c r="W240" t="str">
        <f>IF(S240 &lt; VLOOKUP(E240, Locality_Tier_Benchmarks!A:B, 2, FALSE) * 0.7, "Below Tier Range", "Normal")</f>
        <v>Normal</v>
      </c>
      <c r="X240" t="str">
        <f t="shared" si="30"/>
        <v>Normal</v>
      </c>
      <c r="Y240" t="str">
        <f t="shared" si="31"/>
        <v>Normal</v>
      </c>
      <c r="Z240" t="str">
        <f t="shared" si="24"/>
        <v>Pass</v>
      </c>
    </row>
    <row r="241" spans="1:26" x14ac:dyDescent="0.25">
      <c r="A241" s="2" t="s">
        <v>558</v>
      </c>
      <c r="B241" s="2" t="s">
        <v>17</v>
      </c>
      <c r="C241" t="s">
        <v>478</v>
      </c>
      <c r="D241" s="2" t="str">
        <f>VLOOKUP(C241,Locality_Reference!A:C,2,)</f>
        <v>Western Line</v>
      </c>
      <c r="E241" s="2" t="str">
        <f>VLOOKUP(C241,Locality_Reference!A:C,3,)</f>
        <v>Mid Suburb</v>
      </c>
      <c r="F241" s="2" t="s">
        <v>586</v>
      </c>
      <c r="G241" s="8">
        <v>80000</v>
      </c>
      <c r="H241">
        <v>3</v>
      </c>
      <c r="I241">
        <v>3</v>
      </c>
      <c r="J241">
        <v>14</v>
      </c>
      <c r="K241">
        <v>19</v>
      </c>
      <c r="L241">
        <v>900</v>
      </c>
      <c r="M241" t="s">
        <v>36</v>
      </c>
      <c r="N241" t="s">
        <v>15</v>
      </c>
      <c r="O241" t="s">
        <v>16</v>
      </c>
      <c r="P241" t="s">
        <v>47</v>
      </c>
      <c r="Q241" t="str">
        <f t="shared" si="25"/>
        <v>1</v>
      </c>
      <c r="R241" s="5">
        <v>46197</v>
      </c>
      <c r="S241" s="8">
        <f t="shared" si="26"/>
        <v>88.888888888888886</v>
      </c>
      <c r="T241">
        <f t="shared" si="27"/>
        <v>960000</v>
      </c>
      <c r="U241" t="str">
        <f t="shared" si="28"/>
        <v>Premium</v>
      </c>
      <c r="V241" t="str">
        <f t="shared" si="29"/>
        <v>Large</v>
      </c>
      <c r="W241" t="str">
        <f>IF(S241 &lt; VLOOKUP(E241, Locality_Tier_Benchmarks!A:B, 2, FALSE) * 0.7, "Below Tier Range", "Normal")</f>
        <v>Normal</v>
      </c>
      <c r="X241" t="str">
        <f t="shared" si="30"/>
        <v>Normal</v>
      </c>
      <c r="Y241" t="str">
        <f t="shared" si="31"/>
        <v>Normal</v>
      </c>
      <c r="Z241" t="str">
        <f t="shared" si="24"/>
        <v>Pass</v>
      </c>
    </row>
    <row r="242" spans="1:26" x14ac:dyDescent="0.25">
      <c r="A242" s="2" t="s">
        <v>559</v>
      </c>
      <c r="B242" s="2" t="s">
        <v>17</v>
      </c>
      <c r="C242" t="s">
        <v>478</v>
      </c>
      <c r="D242" s="2" t="str">
        <f>VLOOKUP(C242,Locality_Reference!A:C,2,)</f>
        <v>Western Line</v>
      </c>
      <c r="E242" s="2" t="str">
        <f>VLOOKUP(C242,Locality_Reference!A:C,3,)</f>
        <v>Mid Suburb</v>
      </c>
      <c r="F242" s="2" t="s">
        <v>587</v>
      </c>
      <c r="G242" s="8">
        <v>75000</v>
      </c>
      <c r="H242">
        <v>3</v>
      </c>
      <c r="I242">
        <v>3</v>
      </c>
      <c r="J242">
        <v>16</v>
      </c>
      <c r="K242">
        <v>32</v>
      </c>
      <c r="L242">
        <v>868</v>
      </c>
      <c r="M242" t="s">
        <v>33</v>
      </c>
      <c r="N242" t="s">
        <v>15</v>
      </c>
      <c r="O242" t="s">
        <v>16</v>
      </c>
      <c r="P242" t="s">
        <v>47</v>
      </c>
      <c r="Q242" t="str">
        <f t="shared" si="25"/>
        <v>1</v>
      </c>
      <c r="R242" s="5">
        <v>46173</v>
      </c>
      <c r="S242" s="8">
        <f t="shared" si="26"/>
        <v>86.405529953917053</v>
      </c>
      <c r="T242">
        <f t="shared" si="27"/>
        <v>900000</v>
      </c>
      <c r="U242" t="str">
        <f t="shared" si="28"/>
        <v>Premium</v>
      </c>
      <c r="V242" t="str">
        <f t="shared" si="29"/>
        <v>Large</v>
      </c>
      <c r="W242" t="str">
        <f>IF(S242 &lt; VLOOKUP(E242, Locality_Tier_Benchmarks!A:B, 2, FALSE) * 0.7, "Below Tier Range", "Normal")</f>
        <v>Normal</v>
      </c>
      <c r="X242" t="str">
        <f t="shared" si="30"/>
        <v>Normal</v>
      </c>
      <c r="Y242" t="str">
        <f t="shared" si="31"/>
        <v>Normal</v>
      </c>
      <c r="Z242" t="str">
        <f t="shared" si="24"/>
        <v>Pass</v>
      </c>
    </row>
    <row r="243" spans="1:26" x14ac:dyDescent="0.25">
      <c r="A243" s="2" t="s">
        <v>644</v>
      </c>
      <c r="B243" s="2" t="s">
        <v>17</v>
      </c>
      <c r="C243" t="s">
        <v>477</v>
      </c>
      <c r="D243" s="2" t="str">
        <f>VLOOKUP(C243,Locality_Reference!A:C,2,)</f>
        <v>Western Line</v>
      </c>
      <c r="E243" s="2" t="str">
        <f>VLOOKUP(C243,Locality_Reference!A:C,3,)</f>
        <v>Mid Suburb</v>
      </c>
      <c r="F243" s="2" t="s">
        <v>588</v>
      </c>
      <c r="G243" s="8">
        <v>31000</v>
      </c>
      <c r="H243">
        <v>1</v>
      </c>
      <c r="I243">
        <v>1</v>
      </c>
      <c r="J243">
        <v>4</v>
      </c>
      <c r="K243">
        <v>7</v>
      </c>
      <c r="L243">
        <v>400</v>
      </c>
      <c r="M243" t="s">
        <v>33</v>
      </c>
      <c r="N243" t="s">
        <v>15</v>
      </c>
      <c r="O243" t="s">
        <v>16</v>
      </c>
      <c r="P243" t="s">
        <v>34</v>
      </c>
      <c r="Q243" t="str">
        <f t="shared" si="25"/>
        <v/>
      </c>
      <c r="R243" s="5">
        <v>46183</v>
      </c>
      <c r="S243" s="8">
        <f t="shared" si="26"/>
        <v>77.5</v>
      </c>
      <c r="T243">
        <f t="shared" si="27"/>
        <v>372000</v>
      </c>
      <c r="U243" t="str">
        <f t="shared" si="28"/>
        <v>Mid</v>
      </c>
      <c r="V243" t="str">
        <f t="shared" si="29"/>
        <v>Compact</v>
      </c>
      <c r="W243" t="str">
        <f>IF(S243 &lt; VLOOKUP(E243, Locality_Tier_Benchmarks!A:B, 2, FALSE) * 0.7, "Below Tier Range", "Normal")</f>
        <v>Normal</v>
      </c>
      <c r="X243" t="str">
        <f t="shared" si="30"/>
        <v>Normal</v>
      </c>
      <c r="Y243" t="str">
        <f t="shared" si="31"/>
        <v>Normal</v>
      </c>
      <c r="Z243" t="str">
        <f t="shared" si="24"/>
        <v>Pass</v>
      </c>
    </row>
    <row r="244" spans="1:26" x14ac:dyDescent="0.25">
      <c r="A244" s="2" t="s">
        <v>645</v>
      </c>
      <c r="B244" s="2" t="s">
        <v>17</v>
      </c>
      <c r="C244" t="s">
        <v>477</v>
      </c>
      <c r="D244" s="2" t="str">
        <f>VLOOKUP(C244,Locality_Reference!A:C,2,)</f>
        <v>Western Line</v>
      </c>
      <c r="E244" s="2" t="str">
        <f>VLOOKUP(C244,Locality_Reference!A:C,3,)</f>
        <v>Mid Suburb</v>
      </c>
      <c r="F244" s="2" t="s">
        <v>589</v>
      </c>
      <c r="G244" s="8">
        <v>30000</v>
      </c>
      <c r="H244">
        <v>1</v>
      </c>
      <c r="I244">
        <v>1</v>
      </c>
      <c r="J244">
        <v>3</v>
      </c>
      <c r="K244">
        <v>7</v>
      </c>
      <c r="L244">
        <v>420</v>
      </c>
      <c r="M244" t="s">
        <v>36</v>
      </c>
      <c r="N244" t="s">
        <v>15</v>
      </c>
      <c r="O244" t="s">
        <v>16</v>
      </c>
      <c r="P244" t="s">
        <v>34</v>
      </c>
      <c r="Q244" t="str">
        <f t="shared" si="25"/>
        <v/>
      </c>
      <c r="R244" s="5">
        <v>46176</v>
      </c>
      <c r="S244" s="8">
        <f t="shared" si="26"/>
        <v>71.428571428571431</v>
      </c>
      <c r="T244">
        <f t="shared" si="27"/>
        <v>360000</v>
      </c>
      <c r="U244" t="str">
        <f t="shared" si="28"/>
        <v>Budget</v>
      </c>
      <c r="V244" t="str">
        <f t="shared" si="29"/>
        <v>Compact</v>
      </c>
      <c r="W244" t="str">
        <f>IF(S244 &lt; VLOOKUP(E244, Locality_Tier_Benchmarks!A:B, 2, FALSE) * 0.7, "Below Tier Range", "Normal")</f>
        <v>Normal</v>
      </c>
      <c r="X244" t="str">
        <f t="shared" si="30"/>
        <v>Normal</v>
      </c>
      <c r="Y244" t="str">
        <f t="shared" si="31"/>
        <v>Normal</v>
      </c>
      <c r="Z244" t="str">
        <f t="shared" si="24"/>
        <v>Pass</v>
      </c>
    </row>
    <row r="245" spans="1:26" x14ac:dyDescent="0.25">
      <c r="A245" s="2" t="s">
        <v>646</v>
      </c>
      <c r="B245" s="2" t="s">
        <v>17</v>
      </c>
      <c r="C245" t="s">
        <v>477</v>
      </c>
      <c r="D245" s="2" t="str">
        <f>VLOOKUP(C245,Locality_Reference!A:C,2,)</f>
        <v>Western Line</v>
      </c>
      <c r="E245" s="2" t="str">
        <f>VLOOKUP(C245,Locality_Reference!A:C,3,)</f>
        <v>Mid Suburb</v>
      </c>
      <c r="F245" s="2" t="s">
        <v>590</v>
      </c>
      <c r="G245" s="8">
        <v>42000</v>
      </c>
      <c r="H245">
        <v>1</v>
      </c>
      <c r="I245">
        <v>2</v>
      </c>
      <c r="J245">
        <v>3</v>
      </c>
      <c r="K245">
        <v>41</v>
      </c>
      <c r="L245">
        <v>486.32</v>
      </c>
      <c r="M245" t="s">
        <v>36</v>
      </c>
      <c r="N245" t="s">
        <v>29</v>
      </c>
      <c r="O245" t="s">
        <v>16</v>
      </c>
      <c r="P245" t="s">
        <v>31</v>
      </c>
      <c r="Q245" t="str">
        <f t="shared" si="25"/>
        <v>3</v>
      </c>
      <c r="R245" s="5">
        <v>46169</v>
      </c>
      <c r="S245" s="8">
        <f t="shared" si="26"/>
        <v>86.362888632998846</v>
      </c>
      <c r="T245">
        <f t="shared" si="27"/>
        <v>504000</v>
      </c>
      <c r="U245" t="str">
        <f t="shared" si="28"/>
        <v>Mid</v>
      </c>
      <c r="V245" t="str">
        <f t="shared" si="29"/>
        <v>Compact</v>
      </c>
      <c r="W245" t="str">
        <f>IF(S245 &lt; VLOOKUP(E245, Locality_Tier_Benchmarks!A:B, 2, FALSE) * 0.7, "Below Tier Range", "Normal")</f>
        <v>Normal</v>
      </c>
      <c r="X245" t="str">
        <f t="shared" si="30"/>
        <v>Normal</v>
      </c>
      <c r="Y245" t="str">
        <f t="shared" si="31"/>
        <v>Normal</v>
      </c>
      <c r="Z245" t="str">
        <f t="shared" si="24"/>
        <v>Pass</v>
      </c>
    </row>
    <row r="246" spans="1:26" x14ac:dyDescent="0.25">
      <c r="A246" s="2" t="s">
        <v>647</v>
      </c>
      <c r="B246" s="2" t="s">
        <v>17</v>
      </c>
      <c r="C246" t="s">
        <v>477</v>
      </c>
      <c r="D246" s="2" t="str">
        <f>VLOOKUP(C246,Locality_Reference!A:C,2,)</f>
        <v>Western Line</v>
      </c>
      <c r="E246" s="2" t="str">
        <f>VLOOKUP(C246,Locality_Reference!A:C,3,)</f>
        <v>Mid Suburb</v>
      </c>
      <c r="F246" s="2" t="s">
        <v>591</v>
      </c>
      <c r="G246" s="8">
        <v>36000</v>
      </c>
      <c r="H246">
        <v>1</v>
      </c>
      <c r="I246">
        <v>2</v>
      </c>
      <c r="J246">
        <v>1</v>
      </c>
      <c r="K246">
        <v>7</v>
      </c>
      <c r="L246">
        <v>440</v>
      </c>
      <c r="M246" t="s">
        <v>36</v>
      </c>
      <c r="N246" t="s">
        <v>15</v>
      </c>
      <c r="O246" t="s">
        <v>16</v>
      </c>
      <c r="P246" t="s">
        <v>34</v>
      </c>
      <c r="Q246" t="str">
        <f t="shared" si="25"/>
        <v/>
      </c>
      <c r="R246" s="5">
        <v>46187</v>
      </c>
      <c r="S246" s="8">
        <f t="shared" si="26"/>
        <v>81.818181818181813</v>
      </c>
      <c r="T246">
        <f t="shared" si="27"/>
        <v>432000</v>
      </c>
      <c r="U246" t="str">
        <f t="shared" si="28"/>
        <v>Mid</v>
      </c>
      <c r="V246" t="str">
        <f t="shared" si="29"/>
        <v>Compact</v>
      </c>
      <c r="W246" t="str">
        <f>IF(S246 &lt; VLOOKUP(E246, Locality_Tier_Benchmarks!A:B, 2, FALSE) * 0.7, "Below Tier Range", "Normal")</f>
        <v>Normal</v>
      </c>
      <c r="X246" t="str">
        <f t="shared" si="30"/>
        <v>Normal</v>
      </c>
      <c r="Y246" t="str">
        <f t="shared" si="31"/>
        <v>Normal</v>
      </c>
      <c r="Z246" t="str">
        <f t="shared" si="24"/>
        <v>Pass</v>
      </c>
    </row>
    <row r="247" spans="1:26" x14ac:dyDescent="0.25">
      <c r="A247" s="2" t="s">
        <v>648</v>
      </c>
      <c r="B247" s="2" t="s">
        <v>17</v>
      </c>
      <c r="C247" t="s">
        <v>477</v>
      </c>
      <c r="D247" s="2" t="str">
        <f>VLOOKUP(C247,Locality_Reference!A:C,2,)</f>
        <v>Western Line</v>
      </c>
      <c r="E247" s="2" t="str">
        <f>VLOOKUP(C247,Locality_Reference!A:C,3,)</f>
        <v>Mid Suburb</v>
      </c>
      <c r="F247" s="2" t="s">
        <v>592</v>
      </c>
      <c r="G247" s="8">
        <v>36500</v>
      </c>
      <c r="H247">
        <v>1</v>
      </c>
      <c r="I247">
        <v>1</v>
      </c>
      <c r="J247">
        <v>15</v>
      </c>
      <c r="K247">
        <v>40</v>
      </c>
      <c r="L247">
        <v>428</v>
      </c>
      <c r="M247" t="s">
        <v>33</v>
      </c>
      <c r="N247" t="s">
        <v>29</v>
      </c>
      <c r="O247" t="s">
        <v>16</v>
      </c>
      <c r="P247" t="s">
        <v>31</v>
      </c>
      <c r="Q247" t="str">
        <f t="shared" si="25"/>
        <v>3</v>
      </c>
      <c r="R247" s="5">
        <v>46192</v>
      </c>
      <c r="S247" s="8">
        <f t="shared" si="26"/>
        <v>85.280373831775705</v>
      </c>
      <c r="T247">
        <f t="shared" si="27"/>
        <v>438000</v>
      </c>
      <c r="U247" t="str">
        <f t="shared" si="28"/>
        <v>Mid</v>
      </c>
      <c r="V247" t="str">
        <f t="shared" si="29"/>
        <v>Compact</v>
      </c>
      <c r="W247" t="str">
        <f>IF(S247 &lt; VLOOKUP(E247, Locality_Tier_Benchmarks!A:B, 2, FALSE) * 0.7, "Below Tier Range", "Normal")</f>
        <v>Normal</v>
      </c>
      <c r="X247" t="str">
        <f t="shared" si="30"/>
        <v>Normal</v>
      </c>
      <c r="Y247" t="str">
        <f t="shared" si="31"/>
        <v>Normal</v>
      </c>
      <c r="Z247" t="str">
        <f t="shared" si="24"/>
        <v>Pass</v>
      </c>
    </row>
    <row r="248" spans="1:26" x14ac:dyDescent="0.25">
      <c r="A248" s="2" t="s">
        <v>649</v>
      </c>
      <c r="B248" s="2" t="s">
        <v>17</v>
      </c>
      <c r="C248" t="s">
        <v>477</v>
      </c>
      <c r="D248" s="2" t="str">
        <f>VLOOKUP(C248,Locality_Reference!A:C,2,)</f>
        <v>Western Line</v>
      </c>
      <c r="E248" s="2" t="str">
        <f>VLOOKUP(C248,Locality_Reference!A:C,3,)</f>
        <v>Mid Suburb</v>
      </c>
      <c r="F248" s="2" t="s">
        <v>593</v>
      </c>
      <c r="G248" s="8">
        <v>66000</v>
      </c>
      <c r="H248">
        <v>2</v>
      </c>
      <c r="I248">
        <v>2</v>
      </c>
      <c r="J248">
        <v>11</v>
      </c>
      <c r="K248">
        <v>36</v>
      </c>
      <c r="L248">
        <v>624</v>
      </c>
      <c r="M248" t="s">
        <v>36</v>
      </c>
      <c r="N248" t="s">
        <v>15</v>
      </c>
      <c r="O248" t="s">
        <v>16</v>
      </c>
      <c r="P248" t="s">
        <v>34</v>
      </c>
      <c r="Q248" t="str">
        <f t="shared" si="25"/>
        <v/>
      </c>
      <c r="R248" s="5">
        <v>46172</v>
      </c>
      <c r="S248" s="8">
        <f t="shared" si="26"/>
        <v>105.76923076923077</v>
      </c>
      <c r="T248">
        <f t="shared" si="27"/>
        <v>792000</v>
      </c>
      <c r="U248" t="str">
        <f t="shared" si="28"/>
        <v>Premium</v>
      </c>
      <c r="V248" t="str">
        <f t="shared" si="29"/>
        <v>Medium</v>
      </c>
      <c r="W248" t="str">
        <f>IF(S248 &lt; VLOOKUP(E248, Locality_Tier_Benchmarks!A:B, 2, FALSE) * 0.7, "Below Tier Range", "Normal")</f>
        <v>Normal</v>
      </c>
      <c r="X248" t="str">
        <f t="shared" si="30"/>
        <v>Normal</v>
      </c>
      <c r="Y248" t="str">
        <f t="shared" si="31"/>
        <v>Normal</v>
      </c>
      <c r="Z248" t="str">
        <f t="shared" si="24"/>
        <v>Pass</v>
      </c>
    </row>
    <row r="249" spans="1:26" x14ac:dyDescent="0.25">
      <c r="A249" s="2" t="s">
        <v>650</v>
      </c>
      <c r="B249" s="2" t="s">
        <v>17</v>
      </c>
      <c r="C249" t="s">
        <v>477</v>
      </c>
      <c r="D249" s="2" t="str">
        <f>VLOOKUP(C249,Locality_Reference!A:C,2,)</f>
        <v>Western Line</v>
      </c>
      <c r="E249" s="2" t="str">
        <f>VLOOKUP(C249,Locality_Reference!A:C,3,)</f>
        <v>Mid Suburb</v>
      </c>
      <c r="F249" s="2" t="s">
        <v>594</v>
      </c>
      <c r="G249" s="8">
        <v>65000</v>
      </c>
      <c r="H249">
        <v>2</v>
      </c>
      <c r="I249">
        <v>2</v>
      </c>
      <c r="J249">
        <v>10</v>
      </c>
      <c r="K249">
        <v>22</v>
      </c>
      <c r="L249">
        <v>721</v>
      </c>
      <c r="M249" t="s">
        <v>36</v>
      </c>
      <c r="N249" t="s">
        <v>15</v>
      </c>
      <c r="O249" t="s">
        <v>16</v>
      </c>
      <c r="P249" t="s">
        <v>34</v>
      </c>
      <c r="Q249" t="str">
        <f t="shared" si="25"/>
        <v/>
      </c>
      <c r="R249" s="5">
        <v>46176</v>
      </c>
      <c r="S249" s="8">
        <f t="shared" si="26"/>
        <v>90.152565880721227</v>
      </c>
      <c r="T249">
        <f t="shared" si="27"/>
        <v>780000</v>
      </c>
      <c r="U249" t="str">
        <f t="shared" si="28"/>
        <v>Premium</v>
      </c>
      <c r="V249" t="str">
        <f t="shared" si="29"/>
        <v>Medium</v>
      </c>
      <c r="W249" t="str">
        <f>IF(S249 &lt; VLOOKUP(E249, Locality_Tier_Benchmarks!A:B, 2, FALSE) * 0.7, "Below Tier Range", "Normal")</f>
        <v>Normal</v>
      </c>
      <c r="X249" t="str">
        <f t="shared" si="30"/>
        <v>Normal</v>
      </c>
      <c r="Y249" t="str">
        <f t="shared" si="31"/>
        <v>Normal</v>
      </c>
      <c r="Z249" t="str">
        <f t="shared" si="24"/>
        <v>Pass</v>
      </c>
    </row>
    <row r="250" spans="1:26" x14ac:dyDescent="0.25">
      <c r="A250" s="2" t="s">
        <v>651</v>
      </c>
      <c r="B250" s="2" t="s">
        <v>17</v>
      </c>
      <c r="C250" t="s">
        <v>477</v>
      </c>
      <c r="D250" s="2" t="str">
        <f>VLOOKUP(C250,Locality_Reference!A:C,2,)</f>
        <v>Western Line</v>
      </c>
      <c r="E250" s="2" t="str">
        <f>VLOOKUP(C250,Locality_Reference!A:C,3,)</f>
        <v>Mid Suburb</v>
      </c>
      <c r="F250" s="2" t="s">
        <v>595</v>
      </c>
      <c r="G250" s="8">
        <v>48000</v>
      </c>
      <c r="H250">
        <v>2</v>
      </c>
      <c r="I250">
        <v>2</v>
      </c>
      <c r="J250">
        <v>4</v>
      </c>
      <c r="K250">
        <v>7</v>
      </c>
      <c r="L250">
        <v>670</v>
      </c>
      <c r="M250" t="s">
        <v>36</v>
      </c>
      <c r="N250" t="s">
        <v>29</v>
      </c>
      <c r="O250" t="s">
        <v>16</v>
      </c>
      <c r="P250" t="s">
        <v>34</v>
      </c>
      <c r="Q250" t="str">
        <f t="shared" si="25"/>
        <v/>
      </c>
      <c r="R250" s="5">
        <v>46190</v>
      </c>
      <c r="S250" s="8">
        <f t="shared" si="26"/>
        <v>71.641791044776113</v>
      </c>
      <c r="T250">
        <f t="shared" si="27"/>
        <v>576000</v>
      </c>
      <c r="U250" t="str">
        <f t="shared" si="28"/>
        <v>Mid</v>
      </c>
      <c r="V250" t="str">
        <f t="shared" si="29"/>
        <v>Medium</v>
      </c>
      <c r="W250" t="str">
        <f>IF(S250 &lt; VLOOKUP(E250, Locality_Tier_Benchmarks!A:B, 2, FALSE) * 0.7, "Below Tier Range", "Normal")</f>
        <v>Normal</v>
      </c>
      <c r="X250" t="str">
        <f t="shared" si="30"/>
        <v>Normal</v>
      </c>
      <c r="Y250" t="str">
        <f t="shared" si="31"/>
        <v>Normal</v>
      </c>
      <c r="Z250" t="str">
        <f t="shared" si="24"/>
        <v>Pass</v>
      </c>
    </row>
    <row r="251" spans="1:26" x14ac:dyDescent="0.25">
      <c r="A251" s="2" t="s">
        <v>652</v>
      </c>
      <c r="B251" s="2" t="s">
        <v>17</v>
      </c>
      <c r="C251" t="s">
        <v>477</v>
      </c>
      <c r="D251" s="2" t="str">
        <f>VLOOKUP(C251,Locality_Reference!A:C,2,)</f>
        <v>Western Line</v>
      </c>
      <c r="E251" s="2" t="str">
        <f>VLOOKUP(C251,Locality_Reference!A:C,3,)</f>
        <v>Mid Suburb</v>
      </c>
      <c r="F251" s="2" t="s">
        <v>596</v>
      </c>
      <c r="G251" s="8">
        <v>55000</v>
      </c>
      <c r="H251">
        <v>2</v>
      </c>
      <c r="I251">
        <v>2</v>
      </c>
      <c r="J251">
        <v>5</v>
      </c>
      <c r="K251">
        <v>21</v>
      </c>
      <c r="L251">
        <v>730</v>
      </c>
      <c r="M251" t="s">
        <v>14</v>
      </c>
      <c r="N251" t="s">
        <v>29</v>
      </c>
      <c r="O251" t="s">
        <v>16</v>
      </c>
      <c r="P251" t="s">
        <v>34</v>
      </c>
      <c r="Q251" t="str">
        <f t="shared" si="25"/>
        <v/>
      </c>
      <c r="R251" s="5">
        <v>46190</v>
      </c>
      <c r="S251" s="8">
        <f t="shared" si="26"/>
        <v>75.342465753424662</v>
      </c>
      <c r="T251">
        <f t="shared" si="27"/>
        <v>660000</v>
      </c>
      <c r="U251" t="str">
        <f t="shared" si="28"/>
        <v>Mid</v>
      </c>
      <c r="V251" t="str">
        <f t="shared" si="29"/>
        <v>Medium</v>
      </c>
      <c r="W251" t="str">
        <f>IF(S251 &lt; VLOOKUP(E251, Locality_Tier_Benchmarks!A:B, 2, FALSE) * 0.7, "Below Tier Range", "Normal")</f>
        <v>Normal</v>
      </c>
      <c r="X251" t="str">
        <f t="shared" si="30"/>
        <v>Normal</v>
      </c>
      <c r="Y251" t="str">
        <f t="shared" si="31"/>
        <v>Normal</v>
      </c>
      <c r="Z251" t="str">
        <f t="shared" si="24"/>
        <v>Pass</v>
      </c>
    </row>
    <row r="252" spans="1:26" x14ac:dyDescent="0.25">
      <c r="A252" s="2" t="s">
        <v>653</v>
      </c>
      <c r="B252" s="2" t="s">
        <v>17</v>
      </c>
      <c r="C252" t="s">
        <v>477</v>
      </c>
      <c r="D252" s="2" t="str">
        <f>VLOOKUP(C252,Locality_Reference!A:C,2,)</f>
        <v>Western Line</v>
      </c>
      <c r="E252" s="2" t="str">
        <f>VLOOKUP(C252,Locality_Reference!A:C,3,)</f>
        <v>Mid Suburb</v>
      </c>
      <c r="F252" s="2" t="s">
        <v>597</v>
      </c>
      <c r="G252" s="8">
        <v>63000</v>
      </c>
      <c r="H252">
        <v>2</v>
      </c>
      <c r="I252">
        <v>2</v>
      </c>
      <c r="J252">
        <v>12</v>
      </c>
      <c r="K252">
        <v>23</v>
      </c>
      <c r="L252">
        <v>775</v>
      </c>
      <c r="M252" t="s">
        <v>36</v>
      </c>
      <c r="N252" t="s">
        <v>15</v>
      </c>
      <c r="O252" t="s">
        <v>16</v>
      </c>
      <c r="P252" t="s">
        <v>47</v>
      </c>
      <c r="Q252" t="str">
        <f t="shared" si="25"/>
        <v>1</v>
      </c>
      <c r="R252" s="5">
        <v>46198</v>
      </c>
      <c r="S252" s="8">
        <f t="shared" si="26"/>
        <v>81.290322580645167</v>
      </c>
      <c r="T252">
        <f t="shared" si="27"/>
        <v>756000</v>
      </c>
      <c r="U252" t="str">
        <f t="shared" si="28"/>
        <v>Premium</v>
      </c>
      <c r="V252" t="str">
        <f t="shared" si="29"/>
        <v>Medium</v>
      </c>
      <c r="W252" t="str">
        <f>IF(S252 &lt; VLOOKUP(E252, Locality_Tier_Benchmarks!A:B, 2, FALSE) * 0.7, "Below Tier Range", "Normal")</f>
        <v>Normal</v>
      </c>
      <c r="X252" t="str">
        <f t="shared" si="30"/>
        <v>Normal</v>
      </c>
      <c r="Y252" t="str">
        <f t="shared" si="31"/>
        <v>Normal</v>
      </c>
      <c r="Z252" t="str">
        <f t="shared" si="24"/>
        <v>Pass</v>
      </c>
    </row>
    <row r="253" spans="1:26" x14ac:dyDescent="0.25">
      <c r="A253" s="2" t="s">
        <v>654</v>
      </c>
      <c r="B253" s="2" t="s">
        <v>17</v>
      </c>
      <c r="C253" t="s">
        <v>477</v>
      </c>
      <c r="D253" s="2" t="str">
        <f>VLOOKUP(C253,Locality_Reference!A:C,2,)</f>
        <v>Western Line</v>
      </c>
      <c r="E253" s="2" t="str">
        <f>VLOOKUP(C253,Locality_Reference!A:C,3,)</f>
        <v>Mid Suburb</v>
      </c>
      <c r="F253" s="2" t="s">
        <v>589</v>
      </c>
      <c r="G253" s="8">
        <v>63000</v>
      </c>
      <c r="H253">
        <v>3</v>
      </c>
      <c r="I253">
        <v>3</v>
      </c>
      <c r="J253">
        <v>4</v>
      </c>
      <c r="K253">
        <v>7</v>
      </c>
      <c r="L253">
        <v>980</v>
      </c>
      <c r="M253" t="s">
        <v>36</v>
      </c>
      <c r="N253" t="s">
        <v>15</v>
      </c>
      <c r="O253" t="s">
        <v>16</v>
      </c>
      <c r="P253" t="s">
        <v>23</v>
      </c>
      <c r="Q253" t="str">
        <f t="shared" si="25"/>
        <v>10</v>
      </c>
      <c r="R253" s="5">
        <v>46198</v>
      </c>
      <c r="S253" s="8">
        <f t="shared" si="26"/>
        <v>64.285714285714292</v>
      </c>
      <c r="T253">
        <f t="shared" si="27"/>
        <v>756000</v>
      </c>
      <c r="U253" t="str">
        <f t="shared" si="28"/>
        <v>Premium</v>
      </c>
      <c r="V253" t="str">
        <f t="shared" si="29"/>
        <v>Large</v>
      </c>
      <c r="W253" t="str">
        <f>IF(S253 &lt; VLOOKUP(E253, Locality_Tier_Benchmarks!A:B, 2, FALSE) * 0.7, "Below Tier Range", "Normal")</f>
        <v>Normal</v>
      </c>
      <c r="X253" t="str">
        <f t="shared" si="30"/>
        <v>Normal</v>
      </c>
      <c r="Y253" t="str">
        <f t="shared" si="31"/>
        <v>Normal</v>
      </c>
      <c r="Z253" t="str">
        <f t="shared" si="24"/>
        <v>Pass</v>
      </c>
    </row>
    <row r="254" spans="1:26" x14ac:dyDescent="0.25">
      <c r="A254" s="2" t="s">
        <v>655</v>
      </c>
      <c r="B254" s="2" t="s">
        <v>17</v>
      </c>
      <c r="C254" t="s">
        <v>477</v>
      </c>
      <c r="D254" s="2" t="str">
        <f>VLOOKUP(C254,Locality_Reference!A:C,2,)</f>
        <v>Western Line</v>
      </c>
      <c r="E254" s="2" t="str">
        <f>VLOOKUP(C254,Locality_Reference!A:C,3,)</f>
        <v>Mid Suburb</v>
      </c>
      <c r="F254" s="2" t="s">
        <v>598</v>
      </c>
      <c r="G254" s="8">
        <v>64000</v>
      </c>
      <c r="H254">
        <v>3</v>
      </c>
      <c r="I254">
        <v>2</v>
      </c>
      <c r="J254">
        <v>10</v>
      </c>
      <c r="K254">
        <v>21</v>
      </c>
      <c r="L254">
        <v>860</v>
      </c>
      <c r="M254" t="s">
        <v>33</v>
      </c>
      <c r="N254" t="s">
        <v>29</v>
      </c>
      <c r="O254" t="s">
        <v>16</v>
      </c>
      <c r="P254" t="s">
        <v>23</v>
      </c>
      <c r="Q254" t="str">
        <f t="shared" si="25"/>
        <v>10</v>
      </c>
      <c r="R254" s="5">
        <v>46171</v>
      </c>
      <c r="S254" s="8">
        <f t="shared" si="26"/>
        <v>74.418604651162795</v>
      </c>
      <c r="T254">
        <f t="shared" si="27"/>
        <v>768000</v>
      </c>
      <c r="U254" t="str">
        <f t="shared" si="28"/>
        <v>Premium</v>
      </c>
      <c r="V254" t="str">
        <f t="shared" si="29"/>
        <v>Large</v>
      </c>
      <c r="W254" t="str">
        <f>IF(S254 &lt; VLOOKUP(E254, Locality_Tier_Benchmarks!A:B, 2, FALSE) * 0.7, "Below Tier Range", "Normal")</f>
        <v>Normal</v>
      </c>
      <c r="X254" t="str">
        <f t="shared" si="30"/>
        <v>Normal</v>
      </c>
      <c r="Y254" t="str">
        <f t="shared" si="31"/>
        <v>Normal</v>
      </c>
      <c r="Z254" t="str">
        <f t="shared" si="24"/>
        <v>Pass</v>
      </c>
    </row>
    <row r="255" spans="1:26" x14ac:dyDescent="0.25">
      <c r="A255" s="2" t="s">
        <v>656</v>
      </c>
      <c r="B255" s="2" t="s">
        <v>17</v>
      </c>
      <c r="C255" t="s">
        <v>477</v>
      </c>
      <c r="D255" s="2" t="str">
        <f>VLOOKUP(C255,Locality_Reference!A:C,2,)</f>
        <v>Western Line</v>
      </c>
      <c r="E255" s="2" t="str">
        <f>VLOOKUP(C255,Locality_Reference!A:C,3,)</f>
        <v>Mid Suburb</v>
      </c>
      <c r="F255" s="2" t="s">
        <v>592</v>
      </c>
      <c r="G255" s="8">
        <v>70000</v>
      </c>
      <c r="H255">
        <v>3</v>
      </c>
      <c r="I255">
        <v>3</v>
      </c>
      <c r="J255">
        <v>20</v>
      </c>
      <c r="K255">
        <v>40</v>
      </c>
      <c r="L255">
        <v>860</v>
      </c>
      <c r="M255" t="s">
        <v>33</v>
      </c>
      <c r="N255" t="s">
        <v>29</v>
      </c>
      <c r="O255" t="s">
        <v>16</v>
      </c>
      <c r="P255" t="s">
        <v>47</v>
      </c>
      <c r="Q255" t="str">
        <f t="shared" si="25"/>
        <v>1</v>
      </c>
      <c r="R255" s="5">
        <v>46171</v>
      </c>
      <c r="S255" s="8">
        <f t="shared" si="26"/>
        <v>81.395348837209298</v>
      </c>
      <c r="T255">
        <f t="shared" si="27"/>
        <v>840000</v>
      </c>
      <c r="U255" t="str">
        <f t="shared" si="28"/>
        <v>Premium</v>
      </c>
      <c r="V255" t="str">
        <f t="shared" si="29"/>
        <v>Large</v>
      </c>
      <c r="W255" t="str">
        <f>IF(S255 &lt; VLOOKUP(E255, Locality_Tier_Benchmarks!A:B, 2, FALSE) * 0.7, "Below Tier Range", "Normal")</f>
        <v>Normal</v>
      </c>
      <c r="X255" t="str">
        <f t="shared" si="30"/>
        <v>Normal</v>
      </c>
      <c r="Y255" t="str">
        <f t="shared" si="31"/>
        <v>Normal</v>
      </c>
      <c r="Z255" t="str">
        <f t="shared" si="24"/>
        <v>Pass</v>
      </c>
    </row>
    <row r="256" spans="1:26" x14ac:dyDescent="0.25">
      <c r="A256" s="2" t="s">
        <v>657</v>
      </c>
      <c r="B256" s="2" t="s">
        <v>17</v>
      </c>
      <c r="C256" t="s">
        <v>477</v>
      </c>
      <c r="D256" s="2" t="str">
        <f>VLOOKUP(C256,Locality_Reference!A:C,2,)</f>
        <v>Western Line</v>
      </c>
      <c r="E256" s="2" t="str">
        <f>VLOOKUP(C256,Locality_Reference!A:C,3,)</f>
        <v>Mid Suburb</v>
      </c>
      <c r="F256" s="2" t="s">
        <v>599</v>
      </c>
      <c r="G256" s="8">
        <v>65000</v>
      </c>
      <c r="H256">
        <v>3</v>
      </c>
      <c r="I256">
        <v>3</v>
      </c>
      <c r="J256">
        <v>12</v>
      </c>
      <c r="K256">
        <v>15</v>
      </c>
      <c r="L256">
        <v>915</v>
      </c>
      <c r="M256" t="s">
        <v>33</v>
      </c>
      <c r="N256" t="s">
        <v>15</v>
      </c>
      <c r="O256" t="s">
        <v>16</v>
      </c>
      <c r="P256" t="s">
        <v>34</v>
      </c>
      <c r="Q256" t="str">
        <f t="shared" si="25"/>
        <v/>
      </c>
      <c r="R256" s="5">
        <v>46183</v>
      </c>
      <c r="S256" s="8">
        <f t="shared" si="26"/>
        <v>71.038251366120221</v>
      </c>
      <c r="T256">
        <f t="shared" si="27"/>
        <v>780000</v>
      </c>
      <c r="U256" t="str">
        <f t="shared" si="28"/>
        <v>Premium</v>
      </c>
      <c r="V256" t="str">
        <f t="shared" si="29"/>
        <v>Large</v>
      </c>
      <c r="W256" t="str">
        <f>IF(S256 &lt; VLOOKUP(E256, Locality_Tier_Benchmarks!A:B, 2, FALSE) * 0.7, "Below Tier Range", "Normal")</f>
        <v>Normal</v>
      </c>
      <c r="X256" t="str">
        <f t="shared" si="30"/>
        <v>Normal</v>
      </c>
      <c r="Y256" t="str">
        <f t="shared" si="31"/>
        <v>Normal</v>
      </c>
      <c r="Z256" t="str">
        <f t="shared" si="24"/>
        <v>Pass</v>
      </c>
    </row>
    <row r="257" spans="1:26" x14ac:dyDescent="0.25">
      <c r="A257" s="2" t="s">
        <v>658</v>
      </c>
      <c r="B257" s="2" t="s">
        <v>17</v>
      </c>
      <c r="C257" t="s">
        <v>477</v>
      </c>
      <c r="D257" s="2" t="str">
        <f>VLOOKUP(C257,Locality_Reference!A:C,2,)</f>
        <v>Western Line</v>
      </c>
      <c r="E257" s="2" t="str">
        <f>VLOOKUP(C257,Locality_Reference!A:C,3,)</f>
        <v>Mid Suburb</v>
      </c>
      <c r="F257" s="2" t="s">
        <v>600</v>
      </c>
      <c r="G257" s="8">
        <v>70000</v>
      </c>
      <c r="H257">
        <v>3</v>
      </c>
      <c r="I257">
        <v>3</v>
      </c>
      <c r="J257">
        <v>5</v>
      </c>
      <c r="K257">
        <v>7</v>
      </c>
      <c r="L257">
        <v>950</v>
      </c>
      <c r="M257" t="s">
        <v>36</v>
      </c>
      <c r="N257" t="s">
        <v>15</v>
      </c>
      <c r="O257" t="s">
        <v>16</v>
      </c>
      <c r="P257" t="s">
        <v>23</v>
      </c>
      <c r="Q257" t="str">
        <f t="shared" si="25"/>
        <v>10</v>
      </c>
      <c r="R257" s="5">
        <v>46185</v>
      </c>
      <c r="S257" s="8">
        <f t="shared" si="26"/>
        <v>73.684210526315795</v>
      </c>
      <c r="T257">
        <f t="shared" si="27"/>
        <v>840000</v>
      </c>
      <c r="U257" t="str">
        <f t="shared" si="28"/>
        <v>Premium</v>
      </c>
      <c r="V257" t="str">
        <f t="shared" si="29"/>
        <v>Large</v>
      </c>
      <c r="W257" t="str">
        <f>IF(S257 &lt; VLOOKUP(E257, Locality_Tier_Benchmarks!A:B, 2, FALSE) * 0.7, "Below Tier Range", "Normal")</f>
        <v>Normal</v>
      </c>
      <c r="X257" t="str">
        <f t="shared" si="30"/>
        <v>Normal</v>
      </c>
      <c r="Y257" t="str">
        <f t="shared" si="31"/>
        <v>Normal</v>
      </c>
      <c r="Z257" t="str">
        <f t="shared" si="24"/>
        <v>Pass</v>
      </c>
    </row>
    <row r="258" spans="1:26" x14ac:dyDescent="0.25">
      <c r="A258" s="2" t="s">
        <v>659</v>
      </c>
      <c r="B258" s="2" t="s">
        <v>17</v>
      </c>
      <c r="C258" t="s">
        <v>476</v>
      </c>
      <c r="D258" s="2" t="str">
        <f>VLOOKUP(C258,Locality_Reference!A:C,2,)</f>
        <v>Western Line</v>
      </c>
      <c r="E258" s="2" t="str">
        <f>VLOOKUP(C258,Locality_Reference!A:C,3,)</f>
        <v>Mid Suburb</v>
      </c>
      <c r="F258" s="2" t="s">
        <v>601</v>
      </c>
      <c r="G258" s="8">
        <v>73000</v>
      </c>
      <c r="H258">
        <v>3</v>
      </c>
      <c r="I258">
        <v>3</v>
      </c>
      <c r="J258">
        <v>2</v>
      </c>
      <c r="K258">
        <v>19</v>
      </c>
      <c r="L258">
        <v>1000</v>
      </c>
      <c r="M258" t="s">
        <v>33</v>
      </c>
      <c r="N258" t="s">
        <v>15</v>
      </c>
      <c r="O258" t="s">
        <v>16</v>
      </c>
      <c r="P258" t="s">
        <v>34</v>
      </c>
      <c r="Q258" t="str">
        <f t="shared" si="25"/>
        <v/>
      </c>
      <c r="R258" s="5">
        <v>46173</v>
      </c>
      <c r="S258" s="8">
        <f t="shared" si="26"/>
        <v>73</v>
      </c>
      <c r="T258">
        <f t="shared" si="27"/>
        <v>876000</v>
      </c>
      <c r="U258" t="str">
        <f t="shared" si="28"/>
        <v>Premium</v>
      </c>
      <c r="V258" t="str">
        <f t="shared" si="29"/>
        <v>Large</v>
      </c>
      <c r="W258" t="str">
        <f>IF(S258 &lt; VLOOKUP(E258, Locality_Tier_Benchmarks!A:B, 2, FALSE) * 0.7, "Below Tier Range", "Normal")</f>
        <v>Normal</v>
      </c>
      <c r="X258" t="str">
        <f t="shared" si="30"/>
        <v>Normal</v>
      </c>
      <c r="Y258" t="str">
        <f t="shared" si="31"/>
        <v>Normal</v>
      </c>
      <c r="Z258" t="str">
        <f t="shared" ref="Z258:Z321" si="32">IF(OR(W258&lt;&gt;"Normal",X258&lt;&gt;"Normal",Y258&lt;&gt;"Normal"),"Review","Pass")</f>
        <v>Pass</v>
      </c>
    </row>
    <row r="259" spans="1:26" x14ac:dyDescent="0.25">
      <c r="A259" s="2" t="s">
        <v>660</v>
      </c>
      <c r="B259" s="2" t="s">
        <v>17</v>
      </c>
      <c r="C259" t="s">
        <v>476</v>
      </c>
      <c r="D259" s="2" t="str">
        <f>VLOOKUP(C259,Locality_Reference!A:C,2,)</f>
        <v>Western Line</v>
      </c>
      <c r="E259" s="2" t="str">
        <f>VLOOKUP(C259,Locality_Reference!A:C,3,)</f>
        <v>Mid Suburb</v>
      </c>
      <c r="F259" s="2" t="s">
        <v>602</v>
      </c>
      <c r="G259" s="8">
        <v>87000</v>
      </c>
      <c r="H259">
        <v>3</v>
      </c>
      <c r="I259">
        <v>3</v>
      </c>
      <c r="J259">
        <v>8</v>
      </c>
      <c r="K259">
        <v>31</v>
      </c>
      <c r="L259">
        <v>1012</v>
      </c>
      <c r="M259" t="s">
        <v>36</v>
      </c>
      <c r="N259" t="s">
        <v>15</v>
      </c>
      <c r="O259" t="s">
        <v>16</v>
      </c>
      <c r="P259" t="s">
        <v>34</v>
      </c>
      <c r="Q259" t="str">
        <f t="shared" ref="Q259:Q322" si="33">IF(P259="20+ Years","20",IF(P259="15-20 Years","17.5",IF(P259="10+ Years","10",IF(P259="5-10 Years","7.5",IF(P259="1-5 Years","3",IF(P259="0-1 Year","1",""))))))</f>
        <v/>
      </c>
      <c r="R259" s="5">
        <v>46192</v>
      </c>
      <c r="S259" s="8">
        <f t="shared" ref="S259:S322" si="34">G259/L259</f>
        <v>85.968379446640313</v>
      </c>
      <c r="T259">
        <f t="shared" ref="T259:T322" si="35">G259*12</f>
        <v>1044000</v>
      </c>
      <c r="U259" t="str">
        <f t="shared" ref="U259:U322" si="36">IF(G259&lt;=30000,"Budget",IF(G259&lt;=60000,"Mid",IF(G259&lt;=100000,"Premium","Luxury")))</f>
        <v>Premium</v>
      </c>
      <c r="V259" t="str">
        <f t="shared" ref="V259:V322" si="37">IF(L259&lt;=500,"Compact",IF(L259&lt;=800,"Medium",IF(L259&lt;=1200,"Large","Spacious")))</f>
        <v>Large</v>
      </c>
      <c r="W259" t="str">
        <f>IF(S259 &lt; VLOOKUP(E259, Locality_Tier_Benchmarks!A:B, 2, FALSE) * 0.7, "Below Tier Range", "Normal")</f>
        <v>Normal</v>
      </c>
      <c r="X259" t="str">
        <f t="shared" ref="X259:X322" si="38">IF(G259&lt;7000,"Below Absolute Floor","Normal")</f>
        <v>Normal</v>
      </c>
      <c r="Y259" t="str">
        <f t="shared" ref="Y259:Y322" si="39">IF(S259&gt;500,"Possible Typo - Check Zero","Normal")</f>
        <v>Normal</v>
      </c>
      <c r="Z259" t="str">
        <f t="shared" si="32"/>
        <v>Pass</v>
      </c>
    </row>
    <row r="260" spans="1:26" x14ac:dyDescent="0.25">
      <c r="A260" s="2" t="s">
        <v>661</v>
      </c>
      <c r="B260" s="2" t="s">
        <v>17</v>
      </c>
      <c r="C260" t="s">
        <v>476</v>
      </c>
      <c r="D260" s="2" t="str">
        <f>VLOOKUP(C260,Locality_Reference!A:C,2,)</f>
        <v>Western Line</v>
      </c>
      <c r="E260" s="2" t="str">
        <f>VLOOKUP(C260,Locality_Reference!A:C,3,)</f>
        <v>Mid Suburb</v>
      </c>
      <c r="F260" s="2" t="s">
        <v>603</v>
      </c>
      <c r="G260" s="8">
        <v>85000</v>
      </c>
      <c r="H260">
        <v>3</v>
      </c>
      <c r="I260">
        <v>3</v>
      </c>
      <c r="J260">
        <v>11</v>
      </c>
      <c r="K260">
        <v>22</v>
      </c>
      <c r="L260">
        <v>1063</v>
      </c>
      <c r="M260" t="s">
        <v>33</v>
      </c>
      <c r="N260" t="s">
        <v>15</v>
      </c>
      <c r="O260" t="s">
        <v>16</v>
      </c>
      <c r="P260" t="s">
        <v>47</v>
      </c>
      <c r="Q260" t="str">
        <f t="shared" si="33"/>
        <v>1</v>
      </c>
      <c r="R260" s="5">
        <v>46191</v>
      </c>
      <c r="S260" s="8">
        <f t="shared" si="34"/>
        <v>79.962370649106305</v>
      </c>
      <c r="T260">
        <f t="shared" si="35"/>
        <v>1020000</v>
      </c>
      <c r="U260" t="str">
        <f t="shared" si="36"/>
        <v>Premium</v>
      </c>
      <c r="V260" t="str">
        <f t="shared" si="37"/>
        <v>Large</v>
      </c>
      <c r="W260" t="str">
        <f>IF(S260 &lt; VLOOKUP(E260, Locality_Tier_Benchmarks!A:B, 2, FALSE) * 0.7, "Below Tier Range", "Normal")</f>
        <v>Normal</v>
      </c>
      <c r="X260" t="str">
        <f t="shared" si="38"/>
        <v>Normal</v>
      </c>
      <c r="Y260" t="str">
        <f t="shared" si="39"/>
        <v>Normal</v>
      </c>
      <c r="Z260" t="str">
        <f t="shared" si="32"/>
        <v>Pass</v>
      </c>
    </row>
    <row r="261" spans="1:26" x14ac:dyDescent="0.25">
      <c r="A261" s="2" t="s">
        <v>662</v>
      </c>
      <c r="B261" s="2" t="s">
        <v>17</v>
      </c>
      <c r="C261" t="s">
        <v>476</v>
      </c>
      <c r="D261" s="2" t="str">
        <f>VLOOKUP(C261,Locality_Reference!A:C,2,)</f>
        <v>Western Line</v>
      </c>
      <c r="E261" s="2" t="str">
        <f>VLOOKUP(C261,Locality_Reference!A:C,3,)</f>
        <v>Mid Suburb</v>
      </c>
      <c r="F261" s="2" t="s">
        <v>604</v>
      </c>
      <c r="G261" s="8">
        <v>68000</v>
      </c>
      <c r="H261">
        <v>3</v>
      </c>
      <c r="I261">
        <v>3</v>
      </c>
      <c r="J261">
        <v>10</v>
      </c>
      <c r="K261">
        <v>17</v>
      </c>
      <c r="L261">
        <v>942</v>
      </c>
      <c r="M261" t="s">
        <v>36</v>
      </c>
      <c r="N261" t="s">
        <v>29</v>
      </c>
      <c r="O261" t="s">
        <v>16</v>
      </c>
      <c r="P261" t="s">
        <v>23</v>
      </c>
      <c r="Q261" t="str">
        <f t="shared" si="33"/>
        <v>10</v>
      </c>
      <c r="R261" s="5">
        <v>46151</v>
      </c>
      <c r="S261" s="8">
        <f t="shared" si="34"/>
        <v>72.186836518046704</v>
      </c>
      <c r="T261">
        <f t="shared" si="35"/>
        <v>816000</v>
      </c>
      <c r="U261" t="str">
        <f t="shared" si="36"/>
        <v>Premium</v>
      </c>
      <c r="V261" t="str">
        <f t="shared" si="37"/>
        <v>Large</v>
      </c>
      <c r="W261" t="str">
        <f>IF(S261 &lt; VLOOKUP(E261, Locality_Tier_Benchmarks!A:B, 2, FALSE) * 0.7, "Below Tier Range", "Normal")</f>
        <v>Normal</v>
      </c>
      <c r="X261" t="str">
        <f t="shared" si="38"/>
        <v>Normal</v>
      </c>
      <c r="Y261" t="str">
        <f t="shared" si="39"/>
        <v>Normal</v>
      </c>
      <c r="Z261" t="str">
        <f t="shared" si="32"/>
        <v>Pass</v>
      </c>
    </row>
    <row r="262" spans="1:26" x14ac:dyDescent="0.25">
      <c r="A262" s="2" t="s">
        <v>663</v>
      </c>
      <c r="B262" s="2" t="s">
        <v>17</v>
      </c>
      <c r="C262" t="s">
        <v>476</v>
      </c>
      <c r="D262" s="2" t="str">
        <f>VLOOKUP(C262,Locality_Reference!A:C,2,)</f>
        <v>Western Line</v>
      </c>
      <c r="E262" s="2" t="str">
        <f>VLOOKUP(C262,Locality_Reference!A:C,3,)</f>
        <v>Mid Suburb</v>
      </c>
      <c r="F262" s="2" t="s">
        <v>605</v>
      </c>
      <c r="G262" s="8">
        <v>68000</v>
      </c>
      <c r="H262">
        <v>3</v>
      </c>
      <c r="I262">
        <v>3</v>
      </c>
      <c r="J262">
        <v>10</v>
      </c>
      <c r="K262">
        <v>20</v>
      </c>
      <c r="L262">
        <v>764</v>
      </c>
      <c r="M262" t="s">
        <v>36</v>
      </c>
      <c r="N262" t="s">
        <v>15</v>
      </c>
      <c r="O262" t="s">
        <v>16</v>
      </c>
      <c r="P262" t="s">
        <v>34</v>
      </c>
      <c r="Q262" t="str">
        <f t="shared" si="33"/>
        <v/>
      </c>
      <c r="R262" s="5">
        <v>46190</v>
      </c>
      <c r="S262" s="8">
        <f t="shared" si="34"/>
        <v>89.005235602094245</v>
      </c>
      <c r="T262">
        <f t="shared" si="35"/>
        <v>816000</v>
      </c>
      <c r="U262" t="str">
        <f t="shared" si="36"/>
        <v>Premium</v>
      </c>
      <c r="V262" t="str">
        <f t="shared" si="37"/>
        <v>Medium</v>
      </c>
      <c r="W262" t="str">
        <f>IF(S262 &lt; VLOOKUP(E262, Locality_Tier_Benchmarks!A:B, 2, FALSE) * 0.7, "Below Tier Range", "Normal")</f>
        <v>Normal</v>
      </c>
      <c r="X262" t="str">
        <f t="shared" si="38"/>
        <v>Normal</v>
      </c>
      <c r="Y262" t="str">
        <f t="shared" si="39"/>
        <v>Normal</v>
      </c>
      <c r="Z262" t="str">
        <f t="shared" si="32"/>
        <v>Pass</v>
      </c>
    </row>
    <row r="263" spans="1:26" x14ac:dyDescent="0.25">
      <c r="A263" s="2" t="s">
        <v>664</v>
      </c>
      <c r="B263" s="2" t="s">
        <v>17</v>
      </c>
      <c r="C263" t="s">
        <v>476</v>
      </c>
      <c r="D263" s="2" t="str">
        <f>VLOOKUP(C263,Locality_Reference!A:C,2,)</f>
        <v>Western Line</v>
      </c>
      <c r="E263" s="2" t="str">
        <f>VLOOKUP(C263,Locality_Reference!A:C,3,)</f>
        <v>Mid Suburb</v>
      </c>
      <c r="F263" s="2" t="s">
        <v>606</v>
      </c>
      <c r="G263" s="8">
        <v>46000</v>
      </c>
      <c r="H263">
        <v>2</v>
      </c>
      <c r="I263">
        <v>2</v>
      </c>
      <c r="J263">
        <v>4</v>
      </c>
      <c r="K263">
        <v>7</v>
      </c>
      <c r="L263">
        <v>600</v>
      </c>
      <c r="M263" t="s">
        <v>36</v>
      </c>
      <c r="N263" t="s">
        <v>15</v>
      </c>
      <c r="O263" t="s">
        <v>16</v>
      </c>
      <c r="P263" t="s">
        <v>23</v>
      </c>
      <c r="Q263" t="str">
        <f t="shared" si="33"/>
        <v>10</v>
      </c>
      <c r="R263" s="5">
        <v>46186</v>
      </c>
      <c r="S263" s="8">
        <f t="shared" si="34"/>
        <v>76.666666666666671</v>
      </c>
      <c r="T263">
        <f t="shared" si="35"/>
        <v>552000</v>
      </c>
      <c r="U263" t="str">
        <f t="shared" si="36"/>
        <v>Mid</v>
      </c>
      <c r="V263" t="str">
        <f t="shared" si="37"/>
        <v>Medium</v>
      </c>
      <c r="W263" t="str">
        <f>IF(S263 &lt; VLOOKUP(E263, Locality_Tier_Benchmarks!A:B, 2, FALSE) * 0.7, "Below Tier Range", "Normal")</f>
        <v>Normal</v>
      </c>
      <c r="X263" t="str">
        <f t="shared" si="38"/>
        <v>Normal</v>
      </c>
      <c r="Y263" t="str">
        <f t="shared" si="39"/>
        <v>Normal</v>
      </c>
      <c r="Z263" t="str">
        <f t="shared" si="32"/>
        <v>Pass</v>
      </c>
    </row>
    <row r="264" spans="1:26" x14ac:dyDescent="0.25">
      <c r="A264" s="2" t="s">
        <v>665</v>
      </c>
      <c r="B264" s="2" t="s">
        <v>17</v>
      </c>
      <c r="C264" t="s">
        <v>476</v>
      </c>
      <c r="D264" s="2" t="str">
        <f>VLOOKUP(C264,Locality_Reference!A:C,2,)</f>
        <v>Western Line</v>
      </c>
      <c r="E264" s="2" t="str">
        <f>VLOOKUP(C264,Locality_Reference!A:C,3,)</f>
        <v>Mid Suburb</v>
      </c>
      <c r="F264" s="2" t="s">
        <v>607</v>
      </c>
      <c r="G264" s="8">
        <v>55000</v>
      </c>
      <c r="H264">
        <v>2</v>
      </c>
      <c r="I264">
        <v>2</v>
      </c>
      <c r="J264">
        <v>2</v>
      </c>
      <c r="K264">
        <v>8</v>
      </c>
      <c r="L264">
        <v>600</v>
      </c>
      <c r="M264" t="s">
        <v>33</v>
      </c>
      <c r="N264" t="s">
        <v>15</v>
      </c>
      <c r="O264" t="s">
        <v>16</v>
      </c>
      <c r="P264" t="s">
        <v>34</v>
      </c>
      <c r="Q264" t="str">
        <f t="shared" si="33"/>
        <v/>
      </c>
      <c r="R264" s="5">
        <v>46156</v>
      </c>
      <c r="S264" s="8">
        <f t="shared" si="34"/>
        <v>91.666666666666671</v>
      </c>
      <c r="T264">
        <f t="shared" si="35"/>
        <v>660000</v>
      </c>
      <c r="U264" t="str">
        <f t="shared" si="36"/>
        <v>Mid</v>
      </c>
      <c r="V264" t="str">
        <f t="shared" si="37"/>
        <v>Medium</v>
      </c>
      <c r="W264" t="str">
        <f>IF(S264 &lt; VLOOKUP(E264, Locality_Tier_Benchmarks!A:B, 2, FALSE) * 0.7, "Below Tier Range", "Normal")</f>
        <v>Normal</v>
      </c>
      <c r="X264" t="str">
        <f t="shared" si="38"/>
        <v>Normal</v>
      </c>
      <c r="Y264" t="str">
        <f t="shared" si="39"/>
        <v>Normal</v>
      </c>
      <c r="Z264" t="str">
        <f t="shared" si="32"/>
        <v>Pass</v>
      </c>
    </row>
    <row r="265" spans="1:26" x14ac:dyDescent="0.25">
      <c r="A265" s="2" t="s">
        <v>666</v>
      </c>
      <c r="B265" s="2" t="s">
        <v>17</v>
      </c>
      <c r="C265" t="s">
        <v>476</v>
      </c>
      <c r="D265" s="2" t="str">
        <f>VLOOKUP(C265,Locality_Reference!A:C,2,)</f>
        <v>Western Line</v>
      </c>
      <c r="E265" s="2" t="str">
        <f>VLOOKUP(C265,Locality_Reference!A:C,3,)</f>
        <v>Mid Suburb</v>
      </c>
      <c r="F265" s="2" t="s">
        <v>608</v>
      </c>
      <c r="G265" s="8">
        <v>50000</v>
      </c>
      <c r="H265">
        <v>2</v>
      </c>
      <c r="I265">
        <v>2</v>
      </c>
      <c r="J265">
        <v>30</v>
      </c>
      <c r="K265">
        <v>40</v>
      </c>
      <c r="L265">
        <v>600</v>
      </c>
      <c r="M265" t="s">
        <v>33</v>
      </c>
      <c r="N265" t="s">
        <v>15</v>
      </c>
      <c r="O265" t="s">
        <v>16</v>
      </c>
      <c r="P265" t="s">
        <v>34</v>
      </c>
      <c r="Q265" t="str">
        <f t="shared" si="33"/>
        <v/>
      </c>
      <c r="R265" s="5">
        <v>46197</v>
      </c>
      <c r="S265" s="8">
        <f t="shared" si="34"/>
        <v>83.333333333333329</v>
      </c>
      <c r="T265">
        <f t="shared" si="35"/>
        <v>600000</v>
      </c>
      <c r="U265" t="str">
        <f t="shared" si="36"/>
        <v>Mid</v>
      </c>
      <c r="V265" t="str">
        <f t="shared" si="37"/>
        <v>Medium</v>
      </c>
      <c r="W265" t="str">
        <f>IF(S265 &lt; VLOOKUP(E265, Locality_Tier_Benchmarks!A:B, 2, FALSE) * 0.7, "Below Tier Range", "Normal")</f>
        <v>Normal</v>
      </c>
      <c r="X265" t="str">
        <f t="shared" si="38"/>
        <v>Normal</v>
      </c>
      <c r="Y265" t="str">
        <f t="shared" si="39"/>
        <v>Normal</v>
      </c>
      <c r="Z265" t="str">
        <f t="shared" si="32"/>
        <v>Pass</v>
      </c>
    </row>
    <row r="266" spans="1:26" x14ac:dyDescent="0.25">
      <c r="A266" s="2" t="s">
        <v>667</v>
      </c>
      <c r="B266" s="2" t="s">
        <v>17</v>
      </c>
      <c r="C266" t="s">
        <v>476</v>
      </c>
      <c r="D266" s="2" t="str">
        <f>VLOOKUP(C266,Locality_Reference!A:C,2,)</f>
        <v>Western Line</v>
      </c>
      <c r="E266" s="2" t="str">
        <f>VLOOKUP(C266,Locality_Reference!A:C,3,)</f>
        <v>Mid Suburb</v>
      </c>
      <c r="F266" s="2" t="s">
        <v>609</v>
      </c>
      <c r="G266" s="8">
        <v>75000</v>
      </c>
      <c r="H266">
        <v>2</v>
      </c>
      <c r="I266">
        <v>3</v>
      </c>
      <c r="J266">
        <v>1</v>
      </c>
      <c r="K266">
        <v>2</v>
      </c>
      <c r="L266">
        <v>800</v>
      </c>
      <c r="M266" t="s">
        <v>14</v>
      </c>
      <c r="N266" t="s">
        <v>15</v>
      </c>
      <c r="O266" t="s">
        <v>16</v>
      </c>
      <c r="P266" t="s">
        <v>23</v>
      </c>
      <c r="Q266" t="str">
        <f t="shared" si="33"/>
        <v>10</v>
      </c>
      <c r="R266" s="5">
        <v>46190</v>
      </c>
      <c r="S266" s="8">
        <f t="shared" si="34"/>
        <v>93.75</v>
      </c>
      <c r="T266">
        <f t="shared" si="35"/>
        <v>900000</v>
      </c>
      <c r="U266" t="str">
        <f t="shared" si="36"/>
        <v>Premium</v>
      </c>
      <c r="V266" t="str">
        <f t="shared" si="37"/>
        <v>Medium</v>
      </c>
      <c r="W266" t="str">
        <f>IF(S266 &lt; VLOOKUP(E266, Locality_Tier_Benchmarks!A:B, 2, FALSE) * 0.7, "Below Tier Range", "Normal")</f>
        <v>Normal</v>
      </c>
      <c r="X266" t="str">
        <f t="shared" si="38"/>
        <v>Normal</v>
      </c>
      <c r="Y266" t="str">
        <f t="shared" si="39"/>
        <v>Normal</v>
      </c>
      <c r="Z266" t="str">
        <f t="shared" si="32"/>
        <v>Pass</v>
      </c>
    </row>
    <row r="267" spans="1:26" x14ac:dyDescent="0.25">
      <c r="A267" s="2" t="s">
        <v>668</v>
      </c>
      <c r="B267" s="2" t="s">
        <v>17</v>
      </c>
      <c r="C267" t="s">
        <v>476</v>
      </c>
      <c r="D267" s="2" t="str">
        <f>VLOOKUP(C267,Locality_Reference!A:C,2,)</f>
        <v>Western Line</v>
      </c>
      <c r="E267" s="2" t="str">
        <f>VLOOKUP(C267,Locality_Reference!A:C,3,)</f>
        <v>Mid Suburb</v>
      </c>
      <c r="F267" s="2" t="s">
        <v>610</v>
      </c>
      <c r="G267" s="8">
        <v>42000</v>
      </c>
      <c r="H267">
        <v>2</v>
      </c>
      <c r="I267">
        <v>2</v>
      </c>
      <c r="J267">
        <v>8</v>
      </c>
      <c r="K267">
        <v>8</v>
      </c>
      <c r="L267">
        <v>650</v>
      </c>
      <c r="M267" t="s">
        <v>33</v>
      </c>
      <c r="N267" t="s">
        <v>15</v>
      </c>
      <c r="O267" t="s">
        <v>16</v>
      </c>
      <c r="P267" t="s">
        <v>23</v>
      </c>
      <c r="Q267" t="str">
        <f t="shared" si="33"/>
        <v>10</v>
      </c>
      <c r="R267" s="5">
        <v>46198</v>
      </c>
      <c r="S267" s="8">
        <f t="shared" si="34"/>
        <v>64.615384615384613</v>
      </c>
      <c r="T267">
        <f t="shared" si="35"/>
        <v>504000</v>
      </c>
      <c r="U267" t="str">
        <f t="shared" si="36"/>
        <v>Mid</v>
      </c>
      <c r="V267" t="str">
        <f t="shared" si="37"/>
        <v>Medium</v>
      </c>
      <c r="W267" t="str">
        <f>IF(S267 &lt; VLOOKUP(E267, Locality_Tier_Benchmarks!A:B, 2, FALSE) * 0.7, "Below Tier Range", "Normal")</f>
        <v>Normal</v>
      </c>
      <c r="X267" t="str">
        <f t="shared" si="38"/>
        <v>Normal</v>
      </c>
      <c r="Y267" t="str">
        <f t="shared" si="39"/>
        <v>Normal</v>
      </c>
      <c r="Z267" t="str">
        <f t="shared" si="32"/>
        <v>Pass</v>
      </c>
    </row>
    <row r="268" spans="1:26" x14ac:dyDescent="0.25">
      <c r="A268" s="2" t="s">
        <v>669</v>
      </c>
      <c r="B268" s="2" t="s">
        <v>17</v>
      </c>
      <c r="C268" t="s">
        <v>476</v>
      </c>
      <c r="D268" s="2" t="str">
        <f>VLOOKUP(C268,Locality_Reference!A:C,2,)</f>
        <v>Western Line</v>
      </c>
      <c r="E268" s="2" t="str">
        <f>VLOOKUP(C268,Locality_Reference!A:C,3,)</f>
        <v>Mid Suburb</v>
      </c>
      <c r="F268" s="2" t="s">
        <v>611</v>
      </c>
      <c r="G268" s="8">
        <v>35000</v>
      </c>
      <c r="H268">
        <v>1</v>
      </c>
      <c r="I268">
        <v>2</v>
      </c>
      <c r="J268">
        <v>6</v>
      </c>
      <c r="K268">
        <v>8</v>
      </c>
      <c r="L268">
        <v>400</v>
      </c>
      <c r="M268" t="s">
        <v>36</v>
      </c>
      <c r="N268" t="s">
        <v>15</v>
      </c>
      <c r="O268" t="s">
        <v>16</v>
      </c>
      <c r="P268" t="s">
        <v>34</v>
      </c>
      <c r="Q268" t="str">
        <f t="shared" si="33"/>
        <v/>
      </c>
      <c r="R268" s="5">
        <v>46190</v>
      </c>
      <c r="S268" s="8">
        <f t="shared" si="34"/>
        <v>87.5</v>
      </c>
      <c r="T268">
        <f t="shared" si="35"/>
        <v>420000</v>
      </c>
      <c r="U268" t="str">
        <f t="shared" si="36"/>
        <v>Mid</v>
      </c>
      <c r="V268" t="str">
        <f t="shared" si="37"/>
        <v>Compact</v>
      </c>
      <c r="W268" t="str">
        <f>IF(S268 &lt; VLOOKUP(E268, Locality_Tier_Benchmarks!A:B, 2, FALSE) * 0.7, "Below Tier Range", "Normal")</f>
        <v>Normal</v>
      </c>
      <c r="X268" t="str">
        <f t="shared" si="38"/>
        <v>Normal</v>
      </c>
      <c r="Y268" t="str">
        <f t="shared" si="39"/>
        <v>Normal</v>
      </c>
      <c r="Z268" t="str">
        <f t="shared" si="32"/>
        <v>Pass</v>
      </c>
    </row>
    <row r="269" spans="1:26" x14ac:dyDescent="0.25">
      <c r="A269" s="2" t="s">
        <v>670</v>
      </c>
      <c r="B269" s="2" t="s">
        <v>17</v>
      </c>
      <c r="C269" t="s">
        <v>476</v>
      </c>
      <c r="D269" s="2" t="str">
        <f>VLOOKUP(C269,Locality_Reference!A:C,2,)</f>
        <v>Western Line</v>
      </c>
      <c r="E269" s="2" t="str">
        <f>VLOOKUP(C269,Locality_Reference!A:C,3,)</f>
        <v>Mid Suburb</v>
      </c>
      <c r="F269" s="2" t="s">
        <v>612</v>
      </c>
      <c r="G269" s="8">
        <v>35000</v>
      </c>
      <c r="H269">
        <v>1</v>
      </c>
      <c r="I269">
        <v>2</v>
      </c>
      <c r="J269">
        <v>4</v>
      </c>
      <c r="K269">
        <v>8</v>
      </c>
      <c r="L269">
        <v>450</v>
      </c>
      <c r="M269" t="s">
        <v>33</v>
      </c>
      <c r="N269" t="s">
        <v>15</v>
      </c>
      <c r="O269" t="s">
        <v>16</v>
      </c>
      <c r="P269" t="s">
        <v>23</v>
      </c>
      <c r="Q269" t="str">
        <f t="shared" si="33"/>
        <v>10</v>
      </c>
      <c r="R269" s="5">
        <v>46190</v>
      </c>
      <c r="S269" s="8">
        <f t="shared" si="34"/>
        <v>77.777777777777771</v>
      </c>
      <c r="T269">
        <f t="shared" si="35"/>
        <v>420000</v>
      </c>
      <c r="U269" t="str">
        <f t="shared" si="36"/>
        <v>Mid</v>
      </c>
      <c r="V269" t="str">
        <f t="shared" si="37"/>
        <v>Compact</v>
      </c>
      <c r="W269" t="str">
        <f>IF(S269 &lt; VLOOKUP(E269, Locality_Tier_Benchmarks!A:B, 2, FALSE) * 0.7, "Below Tier Range", "Normal")</f>
        <v>Normal</v>
      </c>
      <c r="X269" t="str">
        <f t="shared" si="38"/>
        <v>Normal</v>
      </c>
      <c r="Y269" t="str">
        <f t="shared" si="39"/>
        <v>Normal</v>
      </c>
      <c r="Z269" t="str">
        <f t="shared" si="32"/>
        <v>Pass</v>
      </c>
    </row>
    <row r="270" spans="1:26" x14ac:dyDescent="0.25">
      <c r="A270" s="2" t="s">
        <v>671</v>
      </c>
      <c r="B270" s="2" t="s">
        <v>17</v>
      </c>
      <c r="C270" t="s">
        <v>476</v>
      </c>
      <c r="D270" s="2" t="str">
        <f>VLOOKUP(C270,Locality_Reference!A:C,2,)</f>
        <v>Western Line</v>
      </c>
      <c r="E270" s="2" t="str">
        <f>VLOOKUP(C270,Locality_Reference!A:C,3,)</f>
        <v>Mid Suburb</v>
      </c>
      <c r="F270" s="2" t="s">
        <v>613</v>
      </c>
      <c r="G270" s="8">
        <v>30500</v>
      </c>
      <c r="H270">
        <v>1</v>
      </c>
      <c r="I270">
        <v>1</v>
      </c>
      <c r="J270">
        <v>5</v>
      </c>
      <c r="K270">
        <v>5</v>
      </c>
      <c r="L270">
        <v>450</v>
      </c>
      <c r="M270" t="s">
        <v>36</v>
      </c>
      <c r="N270" t="s">
        <v>29</v>
      </c>
      <c r="O270" t="s">
        <v>16</v>
      </c>
      <c r="P270" t="s">
        <v>23</v>
      </c>
      <c r="Q270" t="str">
        <f t="shared" si="33"/>
        <v>10</v>
      </c>
      <c r="R270" s="5">
        <v>46188</v>
      </c>
      <c r="S270" s="8">
        <f t="shared" si="34"/>
        <v>67.777777777777771</v>
      </c>
      <c r="T270">
        <f t="shared" si="35"/>
        <v>366000</v>
      </c>
      <c r="U270" t="str">
        <f t="shared" si="36"/>
        <v>Mid</v>
      </c>
      <c r="V270" t="str">
        <f t="shared" si="37"/>
        <v>Compact</v>
      </c>
      <c r="W270" t="str">
        <f>IF(S270 &lt; VLOOKUP(E270, Locality_Tier_Benchmarks!A:B, 2, FALSE) * 0.7, "Below Tier Range", "Normal")</f>
        <v>Normal</v>
      </c>
      <c r="X270" t="str">
        <f t="shared" si="38"/>
        <v>Normal</v>
      </c>
      <c r="Y270" t="str">
        <f t="shared" si="39"/>
        <v>Normal</v>
      </c>
      <c r="Z270" t="str">
        <f t="shared" si="32"/>
        <v>Pass</v>
      </c>
    </row>
    <row r="271" spans="1:26" x14ac:dyDescent="0.25">
      <c r="A271" s="2" t="s">
        <v>672</v>
      </c>
      <c r="B271" s="2" t="s">
        <v>17</v>
      </c>
      <c r="C271" t="s">
        <v>476</v>
      </c>
      <c r="D271" s="2" t="str">
        <f>VLOOKUP(C271,Locality_Reference!A:C,2,)</f>
        <v>Western Line</v>
      </c>
      <c r="E271" s="2" t="str">
        <f>VLOOKUP(C271,Locality_Reference!A:C,3,)</f>
        <v>Mid Suburb</v>
      </c>
      <c r="F271" s="2" t="s">
        <v>614</v>
      </c>
      <c r="G271" s="8">
        <v>40000</v>
      </c>
      <c r="H271">
        <v>1</v>
      </c>
      <c r="I271">
        <v>2</v>
      </c>
      <c r="J271">
        <v>5</v>
      </c>
      <c r="K271">
        <v>8</v>
      </c>
      <c r="L271">
        <v>435</v>
      </c>
      <c r="M271" t="s">
        <v>14</v>
      </c>
      <c r="N271" t="s">
        <v>15</v>
      </c>
      <c r="O271" t="s">
        <v>16</v>
      </c>
      <c r="P271" t="s">
        <v>23</v>
      </c>
      <c r="Q271" t="str">
        <f t="shared" si="33"/>
        <v>10</v>
      </c>
      <c r="R271" s="5">
        <v>46190</v>
      </c>
      <c r="S271" s="8">
        <f t="shared" si="34"/>
        <v>91.954022988505741</v>
      </c>
      <c r="T271">
        <f t="shared" si="35"/>
        <v>480000</v>
      </c>
      <c r="U271" t="str">
        <f t="shared" si="36"/>
        <v>Mid</v>
      </c>
      <c r="V271" t="str">
        <f t="shared" si="37"/>
        <v>Compact</v>
      </c>
      <c r="W271" t="str">
        <f>IF(S271 &lt; VLOOKUP(E271, Locality_Tier_Benchmarks!A:B, 2, FALSE) * 0.7, "Below Tier Range", "Normal")</f>
        <v>Normal</v>
      </c>
      <c r="X271" t="str">
        <f t="shared" si="38"/>
        <v>Normal</v>
      </c>
      <c r="Y271" t="str">
        <f t="shared" si="39"/>
        <v>Normal</v>
      </c>
      <c r="Z271" t="str">
        <f t="shared" si="32"/>
        <v>Pass</v>
      </c>
    </row>
    <row r="272" spans="1:26" x14ac:dyDescent="0.25">
      <c r="A272" s="2" t="s">
        <v>673</v>
      </c>
      <c r="B272" s="2" t="s">
        <v>17</v>
      </c>
      <c r="C272" t="s">
        <v>476</v>
      </c>
      <c r="D272" s="2" t="str">
        <f>VLOOKUP(C272,Locality_Reference!A:C,2,)</f>
        <v>Western Line</v>
      </c>
      <c r="E272" s="2" t="str">
        <f>VLOOKUP(C272,Locality_Reference!A:C,3,)</f>
        <v>Mid Suburb</v>
      </c>
      <c r="F272" s="2" t="s">
        <v>615</v>
      </c>
      <c r="G272" s="8">
        <v>32000</v>
      </c>
      <c r="H272">
        <v>1</v>
      </c>
      <c r="I272">
        <v>2</v>
      </c>
      <c r="J272">
        <v>3</v>
      </c>
      <c r="K272">
        <v>7</v>
      </c>
      <c r="L272">
        <v>410</v>
      </c>
      <c r="M272" t="s">
        <v>14</v>
      </c>
      <c r="N272" t="s">
        <v>15</v>
      </c>
      <c r="O272" t="s">
        <v>16</v>
      </c>
      <c r="P272" t="s">
        <v>23</v>
      </c>
      <c r="Q272" t="str">
        <f t="shared" si="33"/>
        <v>10</v>
      </c>
      <c r="R272" s="5">
        <v>46186</v>
      </c>
      <c r="S272" s="8">
        <f t="shared" si="34"/>
        <v>78.048780487804876</v>
      </c>
      <c r="T272">
        <f t="shared" si="35"/>
        <v>384000</v>
      </c>
      <c r="U272" t="str">
        <f t="shared" si="36"/>
        <v>Mid</v>
      </c>
      <c r="V272" t="str">
        <f t="shared" si="37"/>
        <v>Compact</v>
      </c>
      <c r="W272" t="str">
        <f>IF(S272 &lt; VLOOKUP(E272, Locality_Tier_Benchmarks!A:B, 2, FALSE) * 0.7, "Below Tier Range", "Normal")</f>
        <v>Normal</v>
      </c>
      <c r="X272" t="str">
        <f t="shared" si="38"/>
        <v>Normal</v>
      </c>
      <c r="Y272" t="str">
        <f t="shared" si="39"/>
        <v>Normal</v>
      </c>
      <c r="Z272" t="str">
        <f t="shared" si="32"/>
        <v>Pass</v>
      </c>
    </row>
    <row r="273" spans="1:26" x14ac:dyDescent="0.25">
      <c r="A273" s="2" t="s">
        <v>674</v>
      </c>
      <c r="B273" s="2" t="s">
        <v>17</v>
      </c>
      <c r="C273" t="s">
        <v>475</v>
      </c>
      <c r="D273" s="2" t="str">
        <f>VLOOKUP(C273,Locality_Reference!A:C,2,)</f>
        <v>Western Line</v>
      </c>
      <c r="E273" s="2" t="str">
        <f>VLOOKUP(C273,Locality_Reference!A:C,3,)</f>
        <v>Mid Suburb</v>
      </c>
      <c r="F273" s="2" t="s">
        <v>616</v>
      </c>
      <c r="G273" s="8">
        <v>55000</v>
      </c>
      <c r="H273">
        <v>1</v>
      </c>
      <c r="I273">
        <v>1</v>
      </c>
      <c r="J273">
        <v>16</v>
      </c>
      <c r="K273">
        <v>34</v>
      </c>
      <c r="L273">
        <v>333</v>
      </c>
      <c r="M273" t="s">
        <v>36</v>
      </c>
      <c r="N273" t="s">
        <v>29</v>
      </c>
      <c r="O273" t="s">
        <v>16</v>
      </c>
      <c r="P273" t="s">
        <v>31</v>
      </c>
      <c r="Q273" t="str">
        <f t="shared" si="33"/>
        <v>3</v>
      </c>
      <c r="R273" s="5">
        <v>46193</v>
      </c>
      <c r="S273" s="8">
        <f t="shared" si="34"/>
        <v>165.16516516516518</v>
      </c>
      <c r="T273">
        <f t="shared" si="35"/>
        <v>660000</v>
      </c>
      <c r="U273" t="str">
        <f t="shared" si="36"/>
        <v>Mid</v>
      </c>
      <c r="V273" t="str">
        <f t="shared" si="37"/>
        <v>Compact</v>
      </c>
      <c r="W273" t="str">
        <f>IF(S273 &lt; VLOOKUP(E273, Locality_Tier_Benchmarks!A:B, 2, FALSE) * 0.7, "Below Tier Range", "Normal")</f>
        <v>Normal</v>
      </c>
      <c r="X273" t="str">
        <f t="shared" si="38"/>
        <v>Normal</v>
      </c>
      <c r="Y273" t="str">
        <f t="shared" si="39"/>
        <v>Normal</v>
      </c>
      <c r="Z273" t="str">
        <f t="shared" si="32"/>
        <v>Pass</v>
      </c>
    </row>
    <row r="274" spans="1:26" x14ac:dyDescent="0.25">
      <c r="A274" s="2" t="s">
        <v>675</v>
      </c>
      <c r="B274" s="2" t="s">
        <v>17</v>
      </c>
      <c r="C274" t="s">
        <v>475</v>
      </c>
      <c r="D274" s="2" t="str">
        <f>VLOOKUP(C274,Locality_Reference!A:C,2,)</f>
        <v>Western Line</v>
      </c>
      <c r="E274" s="2" t="str">
        <f>VLOOKUP(C274,Locality_Reference!A:C,3,)</f>
        <v>Mid Suburb</v>
      </c>
      <c r="F274" s="2" t="s">
        <v>617</v>
      </c>
      <c r="G274" s="8">
        <v>37000</v>
      </c>
      <c r="H274">
        <v>1</v>
      </c>
      <c r="I274">
        <v>2</v>
      </c>
      <c r="J274">
        <v>13</v>
      </c>
      <c r="K274">
        <v>23</v>
      </c>
      <c r="L274">
        <v>460</v>
      </c>
      <c r="M274" t="s">
        <v>33</v>
      </c>
      <c r="N274" t="s">
        <v>29</v>
      </c>
      <c r="O274" t="s">
        <v>16</v>
      </c>
      <c r="P274" t="s">
        <v>47</v>
      </c>
      <c r="Q274" t="str">
        <f t="shared" si="33"/>
        <v>1</v>
      </c>
      <c r="R274" s="5">
        <v>46191</v>
      </c>
      <c r="S274" s="8">
        <f t="shared" si="34"/>
        <v>80.434782608695656</v>
      </c>
      <c r="T274">
        <f t="shared" si="35"/>
        <v>444000</v>
      </c>
      <c r="U274" t="str">
        <f t="shared" si="36"/>
        <v>Mid</v>
      </c>
      <c r="V274" t="str">
        <f t="shared" si="37"/>
        <v>Compact</v>
      </c>
      <c r="W274" t="str">
        <f>IF(S274 &lt; VLOOKUP(E274, Locality_Tier_Benchmarks!A:B, 2, FALSE) * 0.7, "Below Tier Range", "Normal")</f>
        <v>Normal</v>
      </c>
      <c r="X274" t="str">
        <f t="shared" si="38"/>
        <v>Normal</v>
      </c>
      <c r="Y274" t="str">
        <f t="shared" si="39"/>
        <v>Normal</v>
      </c>
      <c r="Z274" t="str">
        <f t="shared" si="32"/>
        <v>Pass</v>
      </c>
    </row>
    <row r="275" spans="1:26" x14ac:dyDescent="0.25">
      <c r="A275" s="2" t="s">
        <v>676</v>
      </c>
      <c r="B275" s="2" t="s">
        <v>17</v>
      </c>
      <c r="C275" t="s">
        <v>475</v>
      </c>
      <c r="D275" s="2" t="str">
        <f>VLOOKUP(C275,Locality_Reference!A:C,2,)</f>
        <v>Western Line</v>
      </c>
      <c r="E275" s="2" t="str">
        <f>VLOOKUP(C275,Locality_Reference!A:C,3,)</f>
        <v>Mid Suburb</v>
      </c>
      <c r="F275" s="2" t="s">
        <v>618</v>
      </c>
      <c r="G275" s="8">
        <v>35000</v>
      </c>
      <c r="H275">
        <v>1</v>
      </c>
      <c r="I275">
        <v>2</v>
      </c>
      <c r="J275">
        <v>21</v>
      </c>
      <c r="K275">
        <v>23</v>
      </c>
      <c r="L275">
        <v>460</v>
      </c>
      <c r="M275" t="s">
        <v>33</v>
      </c>
      <c r="N275" t="s">
        <v>15</v>
      </c>
      <c r="O275" t="s">
        <v>16</v>
      </c>
      <c r="P275" t="s">
        <v>47</v>
      </c>
      <c r="Q275" t="str">
        <f t="shared" si="33"/>
        <v>1</v>
      </c>
      <c r="R275" s="5">
        <v>46178</v>
      </c>
      <c r="S275" s="8">
        <f t="shared" si="34"/>
        <v>76.086956521739125</v>
      </c>
      <c r="T275">
        <f t="shared" si="35"/>
        <v>420000</v>
      </c>
      <c r="U275" t="str">
        <f t="shared" si="36"/>
        <v>Mid</v>
      </c>
      <c r="V275" t="str">
        <f t="shared" si="37"/>
        <v>Compact</v>
      </c>
      <c r="W275" t="str">
        <f>IF(S275 &lt; VLOOKUP(E275, Locality_Tier_Benchmarks!A:B, 2, FALSE) * 0.7, "Below Tier Range", "Normal")</f>
        <v>Normal</v>
      </c>
      <c r="X275" t="str">
        <f t="shared" si="38"/>
        <v>Normal</v>
      </c>
      <c r="Y275" t="str">
        <f t="shared" si="39"/>
        <v>Normal</v>
      </c>
      <c r="Z275" t="str">
        <f t="shared" si="32"/>
        <v>Pass</v>
      </c>
    </row>
    <row r="276" spans="1:26" x14ac:dyDescent="0.25">
      <c r="A276" s="2" t="s">
        <v>677</v>
      </c>
      <c r="B276" s="2" t="s">
        <v>17</v>
      </c>
      <c r="C276" t="s">
        <v>475</v>
      </c>
      <c r="D276" s="2" t="str">
        <f>VLOOKUP(C276,Locality_Reference!A:C,2,)</f>
        <v>Western Line</v>
      </c>
      <c r="E276" s="2" t="str">
        <f>VLOOKUP(C276,Locality_Reference!A:C,3,)</f>
        <v>Mid Suburb</v>
      </c>
      <c r="F276" s="2" t="s">
        <v>619</v>
      </c>
      <c r="G276" s="8">
        <v>50000</v>
      </c>
      <c r="H276">
        <v>1</v>
      </c>
      <c r="I276">
        <v>2</v>
      </c>
      <c r="J276">
        <v>12</v>
      </c>
      <c r="K276">
        <v>22</v>
      </c>
      <c r="L276">
        <v>433</v>
      </c>
      <c r="M276" t="s">
        <v>14</v>
      </c>
      <c r="N276" t="s">
        <v>29</v>
      </c>
      <c r="O276" t="s">
        <v>16</v>
      </c>
      <c r="P276" t="s">
        <v>34</v>
      </c>
      <c r="Q276" t="str">
        <f t="shared" si="33"/>
        <v/>
      </c>
      <c r="R276" s="5">
        <v>46188</v>
      </c>
      <c r="S276" s="8">
        <f t="shared" si="34"/>
        <v>115.47344110854503</v>
      </c>
      <c r="T276">
        <f t="shared" si="35"/>
        <v>600000</v>
      </c>
      <c r="U276" t="str">
        <f t="shared" si="36"/>
        <v>Mid</v>
      </c>
      <c r="V276" t="str">
        <f t="shared" si="37"/>
        <v>Compact</v>
      </c>
      <c r="W276" t="str">
        <f>IF(S276 &lt; VLOOKUP(E276, Locality_Tier_Benchmarks!A:B, 2, FALSE) * 0.7, "Below Tier Range", "Normal")</f>
        <v>Normal</v>
      </c>
      <c r="X276" t="str">
        <f t="shared" si="38"/>
        <v>Normal</v>
      </c>
      <c r="Y276" t="str">
        <f t="shared" si="39"/>
        <v>Normal</v>
      </c>
      <c r="Z276" t="str">
        <f t="shared" si="32"/>
        <v>Pass</v>
      </c>
    </row>
    <row r="277" spans="1:26" x14ac:dyDescent="0.25">
      <c r="A277" s="2" t="s">
        <v>678</v>
      </c>
      <c r="B277" s="2" t="s">
        <v>17</v>
      </c>
      <c r="C277" t="s">
        <v>475</v>
      </c>
      <c r="D277" s="2" t="str">
        <f>VLOOKUP(C277,Locality_Reference!A:C,2,)</f>
        <v>Western Line</v>
      </c>
      <c r="E277" s="2" t="str">
        <f>VLOOKUP(C277,Locality_Reference!A:C,3,)</f>
        <v>Mid Suburb</v>
      </c>
      <c r="F277" s="2" t="s">
        <v>620</v>
      </c>
      <c r="G277" s="8">
        <v>47000</v>
      </c>
      <c r="H277">
        <v>1</v>
      </c>
      <c r="I277">
        <v>2</v>
      </c>
      <c r="J277">
        <v>4</v>
      </c>
      <c r="K277">
        <v>20</v>
      </c>
      <c r="L277">
        <v>405</v>
      </c>
      <c r="M277" t="s">
        <v>36</v>
      </c>
      <c r="N277" t="s">
        <v>15</v>
      </c>
      <c r="O277" t="s">
        <v>16</v>
      </c>
      <c r="P277" t="s">
        <v>34</v>
      </c>
      <c r="Q277" t="str">
        <f t="shared" si="33"/>
        <v/>
      </c>
      <c r="R277" s="5">
        <v>46196</v>
      </c>
      <c r="S277" s="8">
        <f t="shared" si="34"/>
        <v>116.04938271604938</v>
      </c>
      <c r="T277">
        <f t="shared" si="35"/>
        <v>564000</v>
      </c>
      <c r="U277" t="str">
        <f t="shared" si="36"/>
        <v>Mid</v>
      </c>
      <c r="V277" t="str">
        <f t="shared" si="37"/>
        <v>Compact</v>
      </c>
      <c r="W277" t="str">
        <f>IF(S277 &lt; VLOOKUP(E277, Locality_Tier_Benchmarks!A:B, 2, FALSE) * 0.7, "Below Tier Range", "Normal")</f>
        <v>Normal</v>
      </c>
      <c r="X277" t="str">
        <f t="shared" si="38"/>
        <v>Normal</v>
      </c>
      <c r="Y277" t="str">
        <f t="shared" si="39"/>
        <v>Normal</v>
      </c>
      <c r="Z277" t="str">
        <f t="shared" si="32"/>
        <v>Pass</v>
      </c>
    </row>
    <row r="278" spans="1:26" x14ac:dyDescent="0.25">
      <c r="A278" s="2" t="s">
        <v>679</v>
      </c>
      <c r="B278" s="2" t="s">
        <v>17</v>
      </c>
      <c r="C278" t="s">
        <v>475</v>
      </c>
      <c r="D278" s="2" t="str">
        <f>VLOOKUP(C278,Locality_Reference!A:C,2,)</f>
        <v>Western Line</v>
      </c>
      <c r="E278" s="2" t="str">
        <f>VLOOKUP(C278,Locality_Reference!A:C,3,)</f>
        <v>Mid Suburb</v>
      </c>
      <c r="F278" s="2" t="s">
        <v>621</v>
      </c>
      <c r="G278" s="8">
        <v>75000</v>
      </c>
      <c r="H278">
        <v>2</v>
      </c>
      <c r="I278">
        <v>2</v>
      </c>
      <c r="J278">
        <v>4</v>
      </c>
      <c r="K278">
        <v>30</v>
      </c>
      <c r="L278">
        <v>725</v>
      </c>
      <c r="M278" t="s">
        <v>36</v>
      </c>
      <c r="N278" t="s">
        <v>15</v>
      </c>
      <c r="O278" t="s">
        <v>16</v>
      </c>
      <c r="P278" t="s">
        <v>47</v>
      </c>
      <c r="Q278" t="str">
        <f t="shared" si="33"/>
        <v>1</v>
      </c>
      <c r="R278" s="5">
        <v>46155</v>
      </c>
      <c r="S278" s="8">
        <f t="shared" si="34"/>
        <v>103.44827586206897</v>
      </c>
      <c r="T278">
        <f t="shared" si="35"/>
        <v>900000</v>
      </c>
      <c r="U278" t="str">
        <f t="shared" si="36"/>
        <v>Premium</v>
      </c>
      <c r="V278" t="str">
        <f t="shared" si="37"/>
        <v>Medium</v>
      </c>
      <c r="W278" t="str">
        <f>IF(S278 &lt; VLOOKUP(E278, Locality_Tier_Benchmarks!A:B, 2, FALSE) * 0.7, "Below Tier Range", "Normal")</f>
        <v>Normal</v>
      </c>
      <c r="X278" t="str">
        <f t="shared" si="38"/>
        <v>Normal</v>
      </c>
      <c r="Y278" t="str">
        <f t="shared" si="39"/>
        <v>Normal</v>
      </c>
      <c r="Z278" t="str">
        <f t="shared" si="32"/>
        <v>Pass</v>
      </c>
    </row>
    <row r="279" spans="1:26" x14ac:dyDescent="0.25">
      <c r="A279" s="2" t="s">
        <v>680</v>
      </c>
      <c r="B279" s="2" t="s">
        <v>17</v>
      </c>
      <c r="C279" t="s">
        <v>475</v>
      </c>
      <c r="D279" s="2" t="str">
        <f>VLOOKUP(C279,Locality_Reference!A:C,2,)</f>
        <v>Western Line</v>
      </c>
      <c r="E279" s="2" t="str">
        <f>VLOOKUP(C279,Locality_Reference!A:C,3,)</f>
        <v>Mid Suburb</v>
      </c>
      <c r="F279" s="2" t="s">
        <v>622</v>
      </c>
      <c r="G279" s="8">
        <v>50000</v>
      </c>
      <c r="H279">
        <v>2</v>
      </c>
      <c r="I279">
        <v>2</v>
      </c>
      <c r="J279">
        <v>3</v>
      </c>
      <c r="K279">
        <v>7</v>
      </c>
      <c r="L279">
        <v>700</v>
      </c>
      <c r="M279" t="s">
        <v>36</v>
      </c>
      <c r="N279" t="s">
        <v>15</v>
      </c>
      <c r="O279" t="s">
        <v>16</v>
      </c>
      <c r="P279" t="s">
        <v>23</v>
      </c>
      <c r="Q279" t="str">
        <f t="shared" si="33"/>
        <v>10</v>
      </c>
      <c r="R279" s="5">
        <v>46195</v>
      </c>
      <c r="S279" s="8">
        <f t="shared" si="34"/>
        <v>71.428571428571431</v>
      </c>
      <c r="T279">
        <f t="shared" si="35"/>
        <v>600000</v>
      </c>
      <c r="U279" t="str">
        <f t="shared" si="36"/>
        <v>Mid</v>
      </c>
      <c r="V279" t="str">
        <f t="shared" si="37"/>
        <v>Medium</v>
      </c>
      <c r="W279" t="str">
        <f>IF(S279 &lt; VLOOKUP(E279, Locality_Tier_Benchmarks!A:B, 2, FALSE) * 0.7, "Below Tier Range", "Normal")</f>
        <v>Normal</v>
      </c>
      <c r="X279" t="str">
        <f t="shared" si="38"/>
        <v>Normal</v>
      </c>
      <c r="Y279" t="str">
        <f t="shared" si="39"/>
        <v>Normal</v>
      </c>
      <c r="Z279" t="str">
        <f t="shared" si="32"/>
        <v>Pass</v>
      </c>
    </row>
    <row r="280" spans="1:26" x14ac:dyDescent="0.25">
      <c r="A280" s="2" t="s">
        <v>681</v>
      </c>
      <c r="B280" s="2" t="s">
        <v>17</v>
      </c>
      <c r="C280" t="s">
        <v>475</v>
      </c>
      <c r="D280" s="2" t="str">
        <f>VLOOKUP(C280,Locality_Reference!A:C,2,)</f>
        <v>Western Line</v>
      </c>
      <c r="E280" s="2" t="str">
        <f>VLOOKUP(C280,Locality_Reference!A:C,3,)</f>
        <v>Mid Suburb</v>
      </c>
      <c r="F280" s="2" t="s">
        <v>623</v>
      </c>
      <c r="G280" s="8">
        <v>75000</v>
      </c>
      <c r="H280">
        <v>2</v>
      </c>
      <c r="I280">
        <v>2</v>
      </c>
      <c r="J280">
        <v>7</v>
      </c>
      <c r="K280">
        <v>20</v>
      </c>
      <c r="L280">
        <v>750</v>
      </c>
      <c r="M280" t="s">
        <v>36</v>
      </c>
      <c r="N280" t="s">
        <v>15</v>
      </c>
      <c r="O280" t="s">
        <v>16</v>
      </c>
      <c r="P280" t="s">
        <v>34</v>
      </c>
      <c r="Q280" t="str">
        <f t="shared" si="33"/>
        <v/>
      </c>
      <c r="R280" s="5">
        <v>46197</v>
      </c>
      <c r="S280" s="8">
        <f t="shared" si="34"/>
        <v>100</v>
      </c>
      <c r="T280">
        <f t="shared" si="35"/>
        <v>900000</v>
      </c>
      <c r="U280" t="str">
        <f t="shared" si="36"/>
        <v>Premium</v>
      </c>
      <c r="V280" t="str">
        <f t="shared" si="37"/>
        <v>Medium</v>
      </c>
      <c r="W280" t="str">
        <f>IF(S280 &lt; VLOOKUP(E280, Locality_Tier_Benchmarks!A:B, 2, FALSE) * 0.7, "Below Tier Range", "Normal")</f>
        <v>Normal</v>
      </c>
      <c r="X280" t="str">
        <f t="shared" si="38"/>
        <v>Normal</v>
      </c>
      <c r="Y280" t="str">
        <f t="shared" si="39"/>
        <v>Normal</v>
      </c>
      <c r="Z280" t="str">
        <f t="shared" si="32"/>
        <v>Pass</v>
      </c>
    </row>
    <row r="281" spans="1:26" x14ac:dyDescent="0.25">
      <c r="A281" s="2" t="s">
        <v>682</v>
      </c>
      <c r="B281" s="2" t="s">
        <v>17</v>
      </c>
      <c r="C281" t="s">
        <v>475</v>
      </c>
      <c r="D281" s="2" t="str">
        <f>VLOOKUP(C281,Locality_Reference!A:C,2,)</f>
        <v>Western Line</v>
      </c>
      <c r="E281" s="2" t="str">
        <f>VLOOKUP(C281,Locality_Reference!A:C,3,)</f>
        <v>Mid Suburb</v>
      </c>
      <c r="F281" s="2" t="s">
        <v>624</v>
      </c>
      <c r="G281" s="8">
        <v>105000</v>
      </c>
      <c r="H281">
        <v>2</v>
      </c>
      <c r="I281">
        <v>2</v>
      </c>
      <c r="J281">
        <v>38</v>
      </c>
      <c r="K281">
        <v>62</v>
      </c>
      <c r="L281">
        <v>948</v>
      </c>
      <c r="M281" t="s">
        <v>14</v>
      </c>
      <c r="N281" t="s">
        <v>15</v>
      </c>
      <c r="O281" t="s">
        <v>16</v>
      </c>
      <c r="P281" t="s">
        <v>34</v>
      </c>
      <c r="Q281" t="str">
        <f t="shared" si="33"/>
        <v/>
      </c>
      <c r="R281" s="5">
        <v>46184</v>
      </c>
      <c r="S281" s="8">
        <f t="shared" si="34"/>
        <v>110.75949367088607</v>
      </c>
      <c r="T281">
        <f t="shared" si="35"/>
        <v>1260000</v>
      </c>
      <c r="U281" t="str">
        <f t="shared" si="36"/>
        <v>Luxury</v>
      </c>
      <c r="V281" t="str">
        <f t="shared" si="37"/>
        <v>Large</v>
      </c>
      <c r="W281" t="str">
        <f>IF(S281 &lt; VLOOKUP(E281, Locality_Tier_Benchmarks!A:B, 2, FALSE) * 0.7, "Below Tier Range", "Normal")</f>
        <v>Normal</v>
      </c>
      <c r="X281" t="str">
        <f t="shared" si="38"/>
        <v>Normal</v>
      </c>
      <c r="Y281" t="str">
        <f t="shared" si="39"/>
        <v>Normal</v>
      </c>
      <c r="Z281" t="str">
        <f t="shared" si="32"/>
        <v>Pass</v>
      </c>
    </row>
    <row r="282" spans="1:26" x14ac:dyDescent="0.25">
      <c r="A282" s="2" t="s">
        <v>683</v>
      </c>
      <c r="B282" s="2" t="s">
        <v>17</v>
      </c>
      <c r="C282" t="s">
        <v>475</v>
      </c>
      <c r="D282" s="2" t="str">
        <f>VLOOKUP(C282,Locality_Reference!A:C,2,)</f>
        <v>Western Line</v>
      </c>
      <c r="E282" s="2" t="str">
        <f>VLOOKUP(C282,Locality_Reference!A:C,3,)</f>
        <v>Mid Suburb</v>
      </c>
      <c r="F282" s="2" t="s">
        <v>625</v>
      </c>
      <c r="G282" s="8">
        <v>68000</v>
      </c>
      <c r="H282">
        <v>2</v>
      </c>
      <c r="I282">
        <v>2</v>
      </c>
      <c r="J282">
        <v>19</v>
      </c>
      <c r="K282">
        <v>24</v>
      </c>
      <c r="L282">
        <v>650</v>
      </c>
      <c r="M282" t="s">
        <v>36</v>
      </c>
      <c r="N282" t="s">
        <v>15</v>
      </c>
      <c r="O282" t="s">
        <v>16</v>
      </c>
      <c r="P282" t="s">
        <v>34</v>
      </c>
      <c r="Q282" t="str">
        <f t="shared" si="33"/>
        <v/>
      </c>
      <c r="R282" s="5">
        <v>46184</v>
      </c>
      <c r="S282" s="8">
        <f t="shared" si="34"/>
        <v>104.61538461538461</v>
      </c>
      <c r="T282">
        <f t="shared" si="35"/>
        <v>816000</v>
      </c>
      <c r="U282" t="str">
        <f t="shared" si="36"/>
        <v>Premium</v>
      </c>
      <c r="V282" t="str">
        <f t="shared" si="37"/>
        <v>Medium</v>
      </c>
      <c r="W282" t="str">
        <f>IF(S282 &lt; VLOOKUP(E282, Locality_Tier_Benchmarks!A:B, 2, FALSE) * 0.7, "Below Tier Range", "Normal")</f>
        <v>Normal</v>
      </c>
      <c r="X282" t="str">
        <f t="shared" si="38"/>
        <v>Normal</v>
      </c>
      <c r="Y282" t="str">
        <f t="shared" si="39"/>
        <v>Normal</v>
      </c>
      <c r="Z282" t="str">
        <f t="shared" si="32"/>
        <v>Pass</v>
      </c>
    </row>
    <row r="283" spans="1:26" x14ac:dyDescent="0.25">
      <c r="A283" s="2" t="s">
        <v>684</v>
      </c>
      <c r="B283" s="2" t="s">
        <v>17</v>
      </c>
      <c r="C283" t="s">
        <v>475</v>
      </c>
      <c r="D283" s="2" t="str">
        <f>VLOOKUP(C283,Locality_Reference!A:C,2,)</f>
        <v>Western Line</v>
      </c>
      <c r="E283" s="2" t="str">
        <f>VLOOKUP(C283,Locality_Reference!A:C,3,)</f>
        <v>Mid Suburb</v>
      </c>
      <c r="F283" s="2" t="s">
        <v>624</v>
      </c>
      <c r="G283" s="8">
        <v>160000</v>
      </c>
      <c r="H283">
        <v>3</v>
      </c>
      <c r="I283">
        <v>3</v>
      </c>
      <c r="J283">
        <v>19</v>
      </c>
      <c r="K283">
        <v>62</v>
      </c>
      <c r="L283">
        <v>1833</v>
      </c>
      <c r="M283" t="s">
        <v>36</v>
      </c>
      <c r="N283" t="s">
        <v>15</v>
      </c>
      <c r="O283" t="s">
        <v>16</v>
      </c>
      <c r="P283" t="s">
        <v>34</v>
      </c>
      <c r="Q283" t="str">
        <f t="shared" si="33"/>
        <v/>
      </c>
      <c r="R283" s="5">
        <v>46182</v>
      </c>
      <c r="S283" s="8">
        <f t="shared" si="34"/>
        <v>87.288597926895804</v>
      </c>
      <c r="T283">
        <f t="shared" si="35"/>
        <v>1920000</v>
      </c>
      <c r="U283" t="str">
        <f t="shared" si="36"/>
        <v>Luxury</v>
      </c>
      <c r="V283" t="str">
        <f t="shared" si="37"/>
        <v>Spacious</v>
      </c>
      <c r="W283" t="str">
        <f>IF(S283 &lt; VLOOKUP(E283, Locality_Tier_Benchmarks!A:B, 2, FALSE) * 0.7, "Below Tier Range", "Normal")</f>
        <v>Normal</v>
      </c>
      <c r="X283" t="str">
        <f t="shared" si="38"/>
        <v>Normal</v>
      </c>
      <c r="Y283" t="str">
        <f t="shared" si="39"/>
        <v>Normal</v>
      </c>
      <c r="Z283" t="str">
        <f t="shared" si="32"/>
        <v>Pass</v>
      </c>
    </row>
    <row r="284" spans="1:26" x14ac:dyDescent="0.25">
      <c r="A284" s="2" t="s">
        <v>685</v>
      </c>
      <c r="B284" s="2" t="s">
        <v>17</v>
      </c>
      <c r="C284" t="s">
        <v>475</v>
      </c>
      <c r="D284" s="2" t="str">
        <f>VLOOKUP(C284,Locality_Reference!A:C,2,)</f>
        <v>Western Line</v>
      </c>
      <c r="E284" s="2" t="str">
        <f>VLOOKUP(C284,Locality_Reference!A:C,3,)</f>
        <v>Mid Suburb</v>
      </c>
      <c r="F284" s="2" t="s">
        <v>626</v>
      </c>
      <c r="G284" s="8">
        <v>120000</v>
      </c>
      <c r="H284">
        <v>3</v>
      </c>
      <c r="I284">
        <v>3</v>
      </c>
      <c r="J284">
        <v>6</v>
      </c>
      <c r="K284">
        <v>41</v>
      </c>
      <c r="L284">
        <v>1350</v>
      </c>
      <c r="M284" t="s">
        <v>14</v>
      </c>
      <c r="N284" t="s">
        <v>15</v>
      </c>
      <c r="O284" t="s">
        <v>16</v>
      </c>
      <c r="P284" t="s">
        <v>34</v>
      </c>
      <c r="Q284" t="str">
        <f t="shared" si="33"/>
        <v/>
      </c>
      <c r="R284" s="5">
        <v>46183</v>
      </c>
      <c r="S284" s="8">
        <f t="shared" si="34"/>
        <v>88.888888888888886</v>
      </c>
      <c r="T284">
        <f t="shared" si="35"/>
        <v>1440000</v>
      </c>
      <c r="U284" t="str">
        <f t="shared" si="36"/>
        <v>Luxury</v>
      </c>
      <c r="V284" t="str">
        <f t="shared" si="37"/>
        <v>Spacious</v>
      </c>
      <c r="W284" t="str">
        <f>IF(S284 &lt; VLOOKUP(E284, Locality_Tier_Benchmarks!A:B, 2, FALSE) * 0.7, "Below Tier Range", "Normal")</f>
        <v>Normal</v>
      </c>
      <c r="X284" t="str">
        <f t="shared" si="38"/>
        <v>Normal</v>
      </c>
      <c r="Y284" t="str">
        <f t="shared" si="39"/>
        <v>Normal</v>
      </c>
      <c r="Z284" t="str">
        <f t="shared" si="32"/>
        <v>Pass</v>
      </c>
    </row>
    <row r="285" spans="1:26" x14ac:dyDescent="0.25">
      <c r="A285" s="2" t="s">
        <v>686</v>
      </c>
      <c r="B285" s="2" t="s">
        <v>17</v>
      </c>
      <c r="C285" t="s">
        <v>475</v>
      </c>
      <c r="D285" s="2" t="str">
        <f>VLOOKUP(C285,Locality_Reference!A:C,2,)</f>
        <v>Western Line</v>
      </c>
      <c r="E285" s="2" t="str">
        <f>VLOOKUP(C285,Locality_Reference!A:C,3,)</f>
        <v>Mid Suburb</v>
      </c>
      <c r="F285" s="2" t="s">
        <v>627</v>
      </c>
      <c r="G285" s="8">
        <v>80000</v>
      </c>
      <c r="H285">
        <v>3</v>
      </c>
      <c r="I285">
        <v>3</v>
      </c>
      <c r="J285">
        <v>12</v>
      </c>
      <c r="K285">
        <v>20</v>
      </c>
      <c r="L285">
        <v>980</v>
      </c>
      <c r="M285" t="s">
        <v>36</v>
      </c>
      <c r="N285" t="s">
        <v>29</v>
      </c>
      <c r="O285" t="s">
        <v>16</v>
      </c>
      <c r="P285" t="s">
        <v>31</v>
      </c>
      <c r="Q285" t="str">
        <f t="shared" si="33"/>
        <v>3</v>
      </c>
      <c r="R285" s="5">
        <v>46175</v>
      </c>
      <c r="S285" s="8">
        <f t="shared" si="34"/>
        <v>81.632653061224488</v>
      </c>
      <c r="T285">
        <f t="shared" si="35"/>
        <v>960000</v>
      </c>
      <c r="U285" t="str">
        <f t="shared" si="36"/>
        <v>Premium</v>
      </c>
      <c r="V285" t="str">
        <f t="shared" si="37"/>
        <v>Large</v>
      </c>
      <c r="W285" t="str">
        <f>IF(S285 &lt; VLOOKUP(E285, Locality_Tier_Benchmarks!A:B, 2, FALSE) * 0.7, "Below Tier Range", "Normal")</f>
        <v>Normal</v>
      </c>
      <c r="X285" t="str">
        <f t="shared" si="38"/>
        <v>Normal</v>
      </c>
      <c r="Y285" t="str">
        <f t="shared" si="39"/>
        <v>Normal</v>
      </c>
      <c r="Z285" t="str">
        <f t="shared" si="32"/>
        <v>Pass</v>
      </c>
    </row>
    <row r="286" spans="1:26" x14ac:dyDescent="0.25">
      <c r="A286" s="2" t="s">
        <v>687</v>
      </c>
      <c r="B286" s="2" t="s">
        <v>17</v>
      </c>
      <c r="C286" t="s">
        <v>475</v>
      </c>
      <c r="D286" s="2" t="str">
        <f>VLOOKUP(C286,Locality_Reference!A:C,2,)</f>
        <v>Western Line</v>
      </c>
      <c r="E286" s="2" t="str">
        <f>VLOOKUP(C286,Locality_Reference!A:C,3,)</f>
        <v>Mid Suburb</v>
      </c>
      <c r="F286" s="2" t="s">
        <v>628</v>
      </c>
      <c r="G286" s="8">
        <v>100000</v>
      </c>
      <c r="H286">
        <v>3</v>
      </c>
      <c r="I286">
        <v>3</v>
      </c>
      <c r="J286">
        <v>8</v>
      </c>
      <c r="K286">
        <v>37</v>
      </c>
      <c r="L286">
        <v>1074.3</v>
      </c>
      <c r="M286" t="s">
        <v>36</v>
      </c>
      <c r="N286" t="s">
        <v>15</v>
      </c>
      <c r="O286" t="s">
        <v>16</v>
      </c>
      <c r="P286" t="s">
        <v>31</v>
      </c>
      <c r="Q286" t="str">
        <f t="shared" si="33"/>
        <v>3</v>
      </c>
      <c r="R286" s="5">
        <v>46161</v>
      </c>
      <c r="S286" s="8">
        <f t="shared" si="34"/>
        <v>93.083868565577589</v>
      </c>
      <c r="T286">
        <f t="shared" si="35"/>
        <v>1200000</v>
      </c>
      <c r="U286" t="str">
        <f t="shared" si="36"/>
        <v>Premium</v>
      </c>
      <c r="V286" t="str">
        <f t="shared" si="37"/>
        <v>Large</v>
      </c>
      <c r="W286" t="str">
        <f>IF(S286 &lt; VLOOKUP(E286, Locality_Tier_Benchmarks!A:B, 2, FALSE) * 0.7, "Below Tier Range", "Normal")</f>
        <v>Normal</v>
      </c>
      <c r="X286" t="str">
        <f t="shared" si="38"/>
        <v>Normal</v>
      </c>
      <c r="Y286" t="str">
        <f t="shared" si="39"/>
        <v>Normal</v>
      </c>
      <c r="Z286" t="str">
        <f t="shared" si="32"/>
        <v>Pass</v>
      </c>
    </row>
    <row r="287" spans="1:26" x14ac:dyDescent="0.25">
      <c r="A287" s="2" t="s">
        <v>688</v>
      </c>
      <c r="B287" s="2" t="s">
        <v>17</v>
      </c>
      <c r="C287" t="s">
        <v>475</v>
      </c>
      <c r="D287" s="2" t="str">
        <f>VLOOKUP(C287,Locality_Reference!A:C,2,)</f>
        <v>Western Line</v>
      </c>
      <c r="E287" s="2" t="str">
        <f>VLOOKUP(C287,Locality_Reference!A:C,3,)</f>
        <v>Mid Suburb</v>
      </c>
      <c r="F287" s="2" t="s">
        <v>621</v>
      </c>
      <c r="G287" s="8">
        <v>75000</v>
      </c>
      <c r="H287">
        <v>3</v>
      </c>
      <c r="I287">
        <v>3</v>
      </c>
      <c r="J287">
        <v>14</v>
      </c>
      <c r="K287">
        <v>20</v>
      </c>
      <c r="L287">
        <v>775</v>
      </c>
      <c r="M287" t="s">
        <v>36</v>
      </c>
      <c r="N287" t="s">
        <v>29</v>
      </c>
      <c r="O287" t="s">
        <v>16</v>
      </c>
      <c r="P287" t="s">
        <v>47</v>
      </c>
      <c r="Q287" t="str">
        <f t="shared" si="33"/>
        <v>1</v>
      </c>
      <c r="R287" s="5">
        <v>46189</v>
      </c>
      <c r="S287" s="8">
        <f t="shared" si="34"/>
        <v>96.774193548387103</v>
      </c>
      <c r="T287">
        <f t="shared" si="35"/>
        <v>900000</v>
      </c>
      <c r="U287" t="str">
        <f t="shared" si="36"/>
        <v>Premium</v>
      </c>
      <c r="V287" t="str">
        <f t="shared" si="37"/>
        <v>Medium</v>
      </c>
      <c r="W287" t="str">
        <f>IF(S287 &lt; VLOOKUP(E287, Locality_Tier_Benchmarks!A:B, 2, FALSE) * 0.7, "Below Tier Range", "Normal")</f>
        <v>Normal</v>
      </c>
      <c r="X287" t="str">
        <f t="shared" si="38"/>
        <v>Normal</v>
      </c>
      <c r="Y287" t="str">
        <f t="shared" si="39"/>
        <v>Normal</v>
      </c>
      <c r="Z287" t="str">
        <f t="shared" si="32"/>
        <v>Pass</v>
      </c>
    </row>
    <row r="288" spans="1:26" x14ac:dyDescent="0.25">
      <c r="A288" s="2" t="s">
        <v>689</v>
      </c>
      <c r="B288" s="2" t="s">
        <v>17</v>
      </c>
      <c r="C288" t="s">
        <v>474</v>
      </c>
      <c r="D288" s="2" t="str">
        <f>VLOOKUP(C288,Locality_Reference!A:C,2,)</f>
        <v>Western Line</v>
      </c>
      <c r="E288" s="2" t="str">
        <f>VLOOKUP(C288,Locality_Reference!A:C,3,)</f>
        <v>Mid Suburb</v>
      </c>
      <c r="F288" s="2" t="s">
        <v>629</v>
      </c>
      <c r="G288" s="8">
        <v>36000</v>
      </c>
      <c r="H288">
        <v>1</v>
      </c>
      <c r="I288">
        <v>2</v>
      </c>
      <c r="J288">
        <v>1</v>
      </c>
      <c r="K288">
        <v>10</v>
      </c>
      <c r="L288">
        <v>400</v>
      </c>
      <c r="M288" t="s">
        <v>33</v>
      </c>
      <c r="N288" t="s">
        <v>29</v>
      </c>
      <c r="O288" t="s">
        <v>16</v>
      </c>
      <c r="P288" t="s">
        <v>34</v>
      </c>
      <c r="Q288" t="str">
        <f t="shared" si="33"/>
        <v/>
      </c>
      <c r="R288" s="5">
        <v>46187</v>
      </c>
      <c r="S288" s="8">
        <f t="shared" si="34"/>
        <v>90</v>
      </c>
      <c r="T288">
        <f t="shared" si="35"/>
        <v>432000</v>
      </c>
      <c r="U288" t="str">
        <f t="shared" si="36"/>
        <v>Mid</v>
      </c>
      <c r="V288" t="str">
        <f t="shared" si="37"/>
        <v>Compact</v>
      </c>
      <c r="W288" t="str">
        <f>IF(S288 &lt; VLOOKUP(E288, Locality_Tier_Benchmarks!A:B, 2, FALSE) * 0.7, "Below Tier Range", "Normal")</f>
        <v>Normal</v>
      </c>
      <c r="X288" t="str">
        <f t="shared" si="38"/>
        <v>Normal</v>
      </c>
      <c r="Y288" t="str">
        <f t="shared" si="39"/>
        <v>Normal</v>
      </c>
      <c r="Z288" t="str">
        <f t="shared" si="32"/>
        <v>Pass</v>
      </c>
    </row>
    <row r="289" spans="1:26" x14ac:dyDescent="0.25">
      <c r="A289" s="2" t="s">
        <v>690</v>
      </c>
      <c r="B289" s="2" t="s">
        <v>17</v>
      </c>
      <c r="C289" t="s">
        <v>474</v>
      </c>
      <c r="D289" s="2" t="str">
        <f>VLOOKUP(C289,Locality_Reference!A:C,2,)</f>
        <v>Western Line</v>
      </c>
      <c r="E289" s="2" t="str">
        <f>VLOOKUP(C289,Locality_Reference!A:C,3,)</f>
        <v>Mid Suburb</v>
      </c>
      <c r="F289" s="2" t="s">
        <v>630</v>
      </c>
      <c r="G289" s="8">
        <v>52000</v>
      </c>
      <c r="H289">
        <v>1</v>
      </c>
      <c r="I289">
        <v>2</v>
      </c>
      <c r="J289">
        <v>1</v>
      </c>
      <c r="K289">
        <v>7</v>
      </c>
      <c r="L289">
        <v>435</v>
      </c>
      <c r="M289" t="s">
        <v>14</v>
      </c>
      <c r="N289" t="s">
        <v>15</v>
      </c>
      <c r="O289" t="s">
        <v>16</v>
      </c>
      <c r="P289" t="s">
        <v>52</v>
      </c>
      <c r="Q289" t="str">
        <f t="shared" si="33"/>
        <v>7.5</v>
      </c>
      <c r="R289" s="5">
        <v>46184</v>
      </c>
      <c r="S289" s="8">
        <f t="shared" si="34"/>
        <v>119.54022988505747</v>
      </c>
      <c r="T289">
        <f t="shared" si="35"/>
        <v>624000</v>
      </c>
      <c r="U289" t="str">
        <f t="shared" si="36"/>
        <v>Mid</v>
      </c>
      <c r="V289" t="str">
        <f t="shared" si="37"/>
        <v>Compact</v>
      </c>
      <c r="W289" t="str">
        <f>IF(S289 &lt; VLOOKUP(E289, Locality_Tier_Benchmarks!A:B, 2, FALSE) * 0.7, "Below Tier Range", "Normal")</f>
        <v>Normal</v>
      </c>
      <c r="X289" t="str">
        <f t="shared" si="38"/>
        <v>Normal</v>
      </c>
      <c r="Y289" t="str">
        <f t="shared" si="39"/>
        <v>Normal</v>
      </c>
      <c r="Z289" t="str">
        <f t="shared" si="32"/>
        <v>Pass</v>
      </c>
    </row>
    <row r="290" spans="1:26" x14ac:dyDescent="0.25">
      <c r="A290" s="2" t="s">
        <v>691</v>
      </c>
      <c r="B290" s="2" t="s">
        <v>17</v>
      </c>
      <c r="C290" t="s">
        <v>474</v>
      </c>
      <c r="D290" s="2" t="str">
        <f>VLOOKUP(C290,Locality_Reference!A:C,2,)</f>
        <v>Western Line</v>
      </c>
      <c r="E290" s="2" t="str">
        <f>VLOOKUP(C290,Locality_Reference!A:C,3,)</f>
        <v>Mid Suburb</v>
      </c>
      <c r="F290" s="2" t="s">
        <v>631</v>
      </c>
      <c r="G290" s="8">
        <v>45000</v>
      </c>
      <c r="H290">
        <v>1</v>
      </c>
      <c r="I290">
        <v>2</v>
      </c>
      <c r="J290">
        <v>3</v>
      </c>
      <c r="K290">
        <v>45</v>
      </c>
      <c r="L290">
        <v>434</v>
      </c>
      <c r="M290" t="s">
        <v>36</v>
      </c>
      <c r="N290" t="s">
        <v>15</v>
      </c>
      <c r="O290" t="s">
        <v>16</v>
      </c>
      <c r="P290" t="s">
        <v>34</v>
      </c>
      <c r="Q290" t="str">
        <f t="shared" si="33"/>
        <v/>
      </c>
      <c r="R290" s="5">
        <v>46190</v>
      </c>
      <c r="S290" s="8">
        <f t="shared" si="34"/>
        <v>103.68663594470046</v>
      </c>
      <c r="T290">
        <f t="shared" si="35"/>
        <v>540000</v>
      </c>
      <c r="U290" t="str">
        <f t="shared" si="36"/>
        <v>Mid</v>
      </c>
      <c r="V290" t="str">
        <f t="shared" si="37"/>
        <v>Compact</v>
      </c>
      <c r="W290" t="str">
        <f>IF(S290 &lt; VLOOKUP(E290, Locality_Tier_Benchmarks!A:B, 2, FALSE) * 0.7, "Below Tier Range", "Normal")</f>
        <v>Normal</v>
      </c>
      <c r="X290" t="str">
        <f t="shared" si="38"/>
        <v>Normal</v>
      </c>
      <c r="Y290" t="str">
        <f t="shared" si="39"/>
        <v>Normal</v>
      </c>
      <c r="Z290" t="str">
        <f t="shared" si="32"/>
        <v>Pass</v>
      </c>
    </row>
    <row r="291" spans="1:26" x14ac:dyDescent="0.25">
      <c r="A291" s="2" t="s">
        <v>692</v>
      </c>
      <c r="B291" s="2" t="s">
        <v>17</v>
      </c>
      <c r="C291" t="s">
        <v>474</v>
      </c>
      <c r="D291" s="2" t="str">
        <f>VLOOKUP(C291,Locality_Reference!A:C,2,)</f>
        <v>Western Line</v>
      </c>
      <c r="E291" s="2" t="str">
        <f>VLOOKUP(C291,Locality_Reference!A:C,3,)</f>
        <v>Mid Suburb</v>
      </c>
      <c r="F291" s="2" t="s">
        <v>632</v>
      </c>
      <c r="G291" s="8">
        <v>42000</v>
      </c>
      <c r="H291">
        <v>1</v>
      </c>
      <c r="I291">
        <v>1</v>
      </c>
      <c r="J291">
        <v>6</v>
      </c>
      <c r="K291">
        <v>8</v>
      </c>
      <c r="L291">
        <v>410</v>
      </c>
      <c r="M291" t="s">
        <v>36</v>
      </c>
      <c r="N291" t="s">
        <v>29</v>
      </c>
      <c r="O291" t="s">
        <v>16</v>
      </c>
      <c r="P291" t="s">
        <v>34</v>
      </c>
      <c r="Q291" t="str">
        <f t="shared" si="33"/>
        <v/>
      </c>
      <c r="R291" s="5">
        <v>46183</v>
      </c>
      <c r="S291" s="8">
        <f t="shared" si="34"/>
        <v>102.4390243902439</v>
      </c>
      <c r="T291">
        <f t="shared" si="35"/>
        <v>504000</v>
      </c>
      <c r="U291" t="str">
        <f t="shared" si="36"/>
        <v>Mid</v>
      </c>
      <c r="V291" t="str">
        <f t="shared" si="37"/>
        <v>Compact</v>
      </c>
      <c r="W291" t="str">
        <f>IF(S291 &lt; VLOOKUP(E291, Locality_Tier_Benchmarks!A:B, 2, FALSE) * 0.7, "Below Tier Range", "Normal")</f>
        <v>Normal</v>
      </c>
      <c r="X291" t="str">
        <f t="shared" si="38"/>
        <v>Normal</v>
      </c>
      <c r="Y291" t="str">
        <f t="shared" si="39"/>
        <v>Normal</v>
      </c>
      <c r="Z291" t="str">
        <f t="shared" si="32"/>
        <v>Pass</v>
      </c>
    </row>
    <row r="292" spans="1:26" x14ac:dyDescent="0.25">
      <c r="A292" s="2" t="s">
        <v>693</v>
      </c>
      <c r="B292" s="2" t="s">
        <v>17</v>
      </c>
      <c r="C292" t="s">
        <v>474</v>
      </c>
      <c r="D292" s="2" t="str">
        <f>VLOOKUP(C292,Locality_Reference!A:C,2,)</f>
        <v>Western Line</v>
      </c>
      <c r="E292" s="2" t="str">
        <f>VLOOKUP(C292,Locality_Reference!A:C,3,)</f>
        <v>Mid Suburb</v>
      </c>
      <c r="F292" s="2" t="s">
        <v>633</v>
      </c>
      <c r="G292" s="8">
        <v>39000</v>
      </c>
      <c r="H292">
        <v>1</v>
      </c>
      <c r="I292">
        <v>1</v>
      </c>
      <c r="J292">
        <v>5</v>
      </c>
      <c r="K292">
        <v>6</v>
      </c>
      <c r="L292">
        <v>445</v>
      </c>
      <c r="M292" t="s">
        <v>33</v>
      </c>
      <c r="N292" t="s">
        <v>29</v>
      </c>
      <c r="O292" t="s">
        <v>16</v>
      </c>
      <c r="P292" t="s">
        <v>34</v>
      </c>
      <c r="Q292" t="str">
        <f t="shared" si="33"/>
        <v/>
      </c>
      <c r="R292" s="5">
        <v>46196</v>
      </c>
      <c r="S292" s="8">
        <f t="shared" si="34"/>
        <v>87.640449438202253</v>
      </c>
      <c r="T292">
        <f t="shared" si="35"/>
        <v>468000</v>
      </c>
      <c r="U292" t="str">
        <f t="shared" si="36"/>
        <v>Mid</v>
      </c>
      <c r="V292" t="str">
        <f t="shared" si="37"/>
        <v>Compact</v>
      </c>
      <c r="W292" t="str">
        <f>IF(S292 &lt; VLOOKUP(E292, Locality_Tier_Benchmarks!A:B, 2, FALSE) * 0.7, "Below Tier Range", "Normal")</f>
        <v>Normal</v>
      </c>
      <c r="X292" t="str">
        <f t="shared" si="38"/>
        <v>Normal</v>
      </c>
      <c r="Y292" t="str">
        <f t="shared" si="39"/>
        <v>Normal</v>
      </c>
      <c r="Z292" t="str">
        <f t="shared" si="32"/>
        <v>Pass</v>
      </c>
    </row>
    <row r="293" spans="1:26" x14ac:dyDescent="0.25">
      <c r="A293" s="2" t="s">
        <v>694</v>
      </c>
      <c r="B293" s="2" t="s">
        <v>17</v>
      </c>
      <c r="C293" t="s">
        <v>474</v>
      </c>
      <c r="D293" s="2" t="str">
        <f>VLOOKUP(C293,Locality_Reference!A:C,2,)</f>
        <v>Western Line</v>
      </c>
      <c r="E293" s="2" t="str">
        <f>VLOOKUP(C293,Locality_Reference!A:C,3,)</f>
        <v>Mid Suburb</v>
      </c>
      <c r="F293" s="2" t="s">
        <v>634</v>
      </c>
      <c r="G293" s="8">
        <v>65000</v>
      </c>
      <c r="H293">
        <v>2</v>
      </c>
      <c r="I293">
        <v>2</v>
      </c>
      <c r="J293">
        <v>25</v>
      </c>
      <c r="K293">
        <v>52</v>
      </c>
      <c r="L293">
        <v>676.5</v>
      </c>
      <c r="M293" t="s">
        <v>33</v>
      </c>
      <c r="N293" t="s">
        <v>15</v>
      </c>
      <c r="O293" t="s">
        <v>16</v>
      </c>
      <c r="P293" t="s">
        <v>47</v>
      </c>
      <c r="Q293" t="str">
        <f t="shared" si="33"/>
        <v>1</v>
      </c>
      <c r="R293" s="5">
        <v>46191</v>
      </c>
      <c r="S293" s="8">
        <f t="shared" si="34"/>
        <v>96.082779009608274</v>
      </c>
      <c r="T293">
        <f t="shared" si="35"/>
        <v>780000</v>
      </c>
      <c r="U293" t="str">
        <f t="shared" si="36"/>
        <v>Premium</v>
      </c>
      <c r="V293" t="str">
        <f t="shared" si="37"/>
        <v>Medium</v>
      </c>
      <c r="W293" t="str">
        <f>IF(S293 &lt; VLOOKUP(E293, Locality_Tier_Benchmarks!A:B, 2, FALSE) * 0.7, "Below Tier Range", "Normal")</f>
        <v>Normal</v>
      </c>
      <c r="X293" t="str">
        <f t="shared" si="38"/>
        <v>Normal</v>
      </c>
      <c r="Y293" t="str">
        <f t="shared" si="39"/>
        <v>Normal</v>
      </c>
      <c r="Z293" t="str">
        <f t="shared" si="32"/>
        <v>Pass</v>
      </c>
    </row>
    <row r="294" spans="1:26" x14ac:dyDescent="0.25">
      <c r="A294" s="2" t="s">
        <v>695</v>
      </c>
      <c r="B294" s="2" t="s">
        <v>17</v>
      </c>
      <c r="C294" t="s">
        <v>474</v>
      </c>
      <c r="D294" s="2" t="str">
        <f>VLOOKUP(C294,Locality_Reference!A:C,2,)</f>
        <v>Western Line</v>
      </c>
      <c r="E294" s="2" t="str">
        <f>VLOOKUP(C294,Locality_Reference!A:C,3,)</f>
        <v>Mid Suburb</v>
      </c>
      <c r="F294" s="2" t="s">
        <v>635</v>
      </c>
      <c r="G294" s="8">
        <v>68000</v>
      </c>
      <c r="H294">
        <v>2</v>
      </c>
      <c r="I294">
        <v>2</v>
      </c>
      <c r="J294">
        <v>11</v>
      </c>
      <c r="K294">
        <v>14</v>
      </c>
      <c r="L294">
        <v>750</v>
      </c>
      <c r="M294" t="s">
        <v>36</v>
      </c>
      <c r="N294" t="s">
        <v>15</v>
      </c>
      <c r="O294" t="s">
        <v>16</v>
      </c>
      <c r="P294" t="s">
        <v>23</v>
      </c>
      <c r="Q294" t="str">
        <f t="shared" si="33"/>
        <v>10</v>
      </c>
      <c r="R294" s="5">
        <v>46168</v>
      </c>
      <c r="S294" s="8">
        <f t="shared" si="34"/>
        <v>90.666666666666671</v>
      </c>
      <c r="T294">
        <f t="shared" si="35"/>
        <v>816000</v>
      </c>
      <c r="U294" t="str">
        <f t="shared" si="36"/>
        <v>Premium</v>
      </c>
      <c r="V294" t="str">
        <f t="shared" si="37"/>
        <v>Medium</v>
      </c>
      <c r="W294" t="str">
        <f>IF(S294 &lt; VLOOKUP(E294, Locality_Tier_Benchmarks!A:B, 2, FALSE) * 0.7, "Below Tier Range", "Normal")</f>
        <v>Normal</v>
      </c>
      <c r="X294" t="str">
        <f t="shared" si="38"/>
        <v>Normal</v>
      </c>
      <c r="Y294" t="str">
        <f t="shared" si="39"/>
        <v>Normal</v>
      </c>
      <c r="Z294" t="str">
        <f t="shared" si="32"/>
        <v>Pass</v>
      </c>
    </row>
    <row r="295" spans="1:26" x14ac:dyDescent="0.25">
      <c r="A295" s="2" t="s">
        <v>696</v>
      </c>
      <c r="B295" s="2" t="s">
        <v>17</v>
      </c>
      <c r="C295" t="s">
        <v>474</v>
      </c>
      <c r="D295" s="2" t="str">
        <f>VLOOKUP(C295,Locality_Reference!A:C,2,)</f>
        <v>Western Line</v>
      </c>
      <c r="E295" s="2" t="str">
        <f>VLOOKUP(C295,Locality_Reference!A:C,3,)</f>
        <v>Mid Suburb</v>
      </c>
      <c r="F295" s="2" t="s">
        <v>636</v>
      </c>
      <c r="G295" s="8">
        <v>49999</v>
      </c>
      <c r="H295">
        <v>2</v>
      </c>
      <c r="I295">
        <v>2</v>
      </c>
      <c r="J295">
        <v>6</v>
      </c>
      <c r="K295">
        <v>6</v>
      </c>
      <c r="L295">
        <v>700</v>
      </c>
      <c r="M295" t="s">
        <v>36</v>
      </c>
      <c r="N295" t="s">
        <v>15</v>
      </c>
      <c r="O295" t="s">
        <v>16</v>
      </c>
      <c r="P295" t="s">
        <v>23</v>
      </c>
      <c r="Q295" t="str">
        <f t="shared" si="33"/>
        <v>10</v>
      </c>
      <c r="R295" s="5">
        <v>46195</v>
      </c>
      <c r="S295" s="8">
        <f t="shared" si="34"/>
        <v>71.427142857142854</v>
      </c>
      <c r="T295">
        <f t="shared" si="35"/>
        <v>599988</v>
      </c>
      <c r="U295" t="str">
        <f t="shared" si="36"/>
        <v>Mid</v>
      </c>
      <c r="V295" t="str">
        <f t="shared" si="37"/>
        <v>Medium</v>
      </c>
      <c r="W295" t="str">
        <f>IF(S295 &lt; VLOOKUP(E295, Locality_Tier_Benchmarks!A:B, 2, FALSE) * 0.7, "Below Tier Range", "Normal")</f>
        <v>Normal</v>
      </c>
      <c r="X295" t="str">
        <f t="shared" si="38"/>
        <v>Normal</v>
      </c>
      <c r="Y295" t="str">
        <f t="shared" si="39"/>
        <v>Normal</v>
      </c>
      <c r="Z295" t="str">
        <f t="shared" si="32"/>
        <v>Pass</v>
      </c>
    </row>
    <row r="296" spans="1:26" x14ac:dyDescent="0.25">
      <c r="A296" s="2" t="s">
        <v>697</v>
      </c>
      <c r="B296" s="2" t="s">
        <v>17</v>
      </c>
      <c r="C296" t="s">
        <v>474</v>
      </c>
      <c r="D296" s="2" t="str">
        <f>VLOOKUP(C296,Locality_Reference!A:C,2,)</f>
        <v>Western Line</v>
      </c>
      <c r="E296" s="2" t="str">
        <f>VLOOKUP(C296,Locality_Reference!A:C,3,)</f>
        <v>Mid Suburb</v>
      </c>
      <c r="F296" s="2" t="s">
        <v>637</v>
      </c>
      <c r="G296" s="8">
        <v>75000</v>
      </c>
      <c r="H296">
        <v>2</v>
      </c>
      <c r="I296">
        <v>2</v>
      </c>
      <c r="J296">
        <v>18</v>
      </c>
      <c r="K296">
        <v>38</v>
      </c>
      <c r="L296">
        <v>800</v>
      </c>
      <c r="M296" t="s">
        <v>36</v>
      </c>
      <c r="N296" t="s">
        <v>29</v>
      </c>
      <c r="O296" t="s">
        <v>16</v>
      </c>
      <c r="P296" t="s">
        <v>47</v>
      </c>
      <c r="Q296" t="str">
        <f t="shared" si="33"/>
        <v>1</v>
      </c>
      <c r="R296" s="5">
        <v>46150</v>
      </c>
      <c r="S296" s="8">
        <f t="shared" si="34"/>
        <v>93.75</v>
      </c>
      <c r="T296">
        <f t="shared" si="35"/>
        <v>900000</v>
      </c>
      <c r="U296" t="str">
        <f t="shared" si="36"/>
        <v>Premium</v>
      </c>
      <c r="V296" t="str">
        <f t="shared" si="37"/>
        <v>Medium</v>
      </c>
      <c r="W296" t="str">
        <f>IF(S296 &lt; VLOOKUP(E296, Locality_Tier_Benchmarks!A:B, 2, FALSE) * 0.7, "Below Tier Range", "Normal")</f>
        <v>Normal</v>
      </c>
      <c r="X296" t="str">
        <f t="shared" si="38"/>
        <v>Normal</v>
      </c>
      <c r="Y296" t="str">
        <f t="shared" si="39"/>
        <v>Normal</v>
      </c>
      <c r="Z296" t="str">
        <f t="shared" si="32"/>
        <v>Pass</v>
      </c>
    </row>
    <row r="297" spans="1:26" x14ac:dyDescent="0.25">
      <c r="A297" s="2" t="s">
        <v>698</v>
      </c>
      <c r="B297" s="2" t="s">
        <v>17</v>
      </c>
      <c r="C297" t="s">
        <v>474</v>
      </c>
      <c r="D297" s="2" t="str">
        <f>VLOOKUP(C297,Locality_Reference!A:C,2,)</f>
        <v>Western Line</v>
      </c>
      <c r="E297" s="2" t="str">
        <f>VLOOKUP(C297,Locality_Reference!A:C,3,)</f>
        <v>Mid Suburb</v>
      </c>
      <c r="F297" s="2" t="s">
        <v>638</v>
      </c>
      <c r="G297" s="8">
        <v>50000</v>
      </c>
      <c r="H297">
        <v>2</v>
      </c>
      <c r="I297">
        <v>2</v>
      </c>
      <c r="J297">
        <v>13</v>
      </c>
      <c r="K297">
        <v>13</v>
      </c>
      <c r="L297">
        <v>650</v>
      </c>
      <c r="M297" t="s">
        <v>36</v>
      </c>
      <c r="N297" t="s">
        <v>29</v>
      </c>
      <c r="O297" t="s">
        <v>16</v>
      </c>
      <c r="P297" t="s">
        <v>23</v>
      </c>
      <c r="Q297" t="str">
        <f t="shared" si="33"/>
        <v>10</v>
      </c>
      <c r="R297" s="5">
        <v>46189</v>
      </c>
      <c r="S297" s="8">
        <f t="shared" si="34"/>
        <v>76.92307692307692</v>
      </c>
      <c r="T297">
        <f t="shared" si="35"/>
        <v>600000</v>
      </c>
      <c r="U297" t="str">
        <f t="shared" si="36"/>
        <v>Mid</v>
      </c>
      <c r="V297" t="str">
        <f t="shared" si="37"/>
        <v>Medium</v>
      </c>
      <c r="W297" t="str">
        <f>IF(S297 &lt; VLOOKUP(E297, Locality_Tier_Benchmarks!A:B, 2, FALSE) * 0.7, "Below Tier Range", "Normal")</f>
        <v>Normal</v>
      </c>
      <c r="X297" t="str">
        <f t="shared" si="38"/>
        <v>Normal</v>
      </c>
      <c r="Y297" t="str">
        <f t="shared" si="39"/>
        <v>Normal</v>
      </c>
      <c r="Z297" t="str">
        <f t="shared" si="32"/>
        <v>Pass</v>
      </c>
    </row>
    <row r="298" spans="1:26" x14ac:dyDescent="0.25">
      <c r="A298" s="2" t="s">
        <v>699</v>
      </c>
      <c r="B298" s="2" t="s">
        <v>17</v>
      </c>
      <c r="C298" t="s">
        <v>474</v>
      </c>
      <c r="D298" s="2" t="str">
        <f>VLOOKUP(C298,Locality_Reference!A:C,2,)</f>
        <v>Western Line</v>
      </c>
      <c r="E298" s="2" t="str">
        <f>VLOOKUP(C298,Locality_Reference!A:C,3,)</f>
        <v>Mid Suburb</v>
      </c>
      <c r="F298" s="2" t="s">
        <v>639</v>
      </c>
      <c r="G298" s="8">
        <v>89000</v>
      </c>
      <c r="H298">
        <v>3</v>
      </c>
      <c r="I298">
        <v>3</v>
      </c>
      <c r="J298">
        <v>5</v>
      </c>
      <c r="K298">
        <v>11</v>
      </c>
      <c r="L298">
        <v>1100</v>
      </c>
      <c r="M298" t="s">
        <v>36</v>
      </c>
      <c r="N298" t="s">
        <v>29</v>
      </c>
      <c r="O298" t="s">
        <v>16</v>
      </c>
      <c r="P298" t="s">
        <v>34</v>
      </c>
      <c r="Q298" t="str">
        <f t="shared" si="33"/>
        <v/>
      </c>
      <c r="R298" s="5">
        <v>46191</v>
      </c>
      <c r="S298" s="8">
        <f t="shared" si="34"/>
        <v>80.909090909090907</v>
      </c>
      <c r="T298">
        <f t="shared" si="35"/>
        <v>1068000</v>
      </c>
      <c r="U298" t="str">
        <f t="shared" si="36"/>
        <v>Premium</v>
      </c>
      <c r="V298" t="str">
        <f t="shared" si="37"/>
        <v>Large</v>
      </c>
      <c r="W298" t="str">
        <f>IF(S298 &lt; VLOOKUP(E298, Locality_Tier_Benchmarks!A:B, 2, FALSE) * 0.7, "Below Tier Range", "Normal")</f>
        <v>Normal</v>
      </c>
      <c r="X298" t="str">
        <f t="shared" si="38"/>
        <v>Normal</v>
      </c>
      <c r="Y298" t="str">
        <f t="shared" si="39"/>
        <v>Normal</v>
      </c>
      <c r="Z298" t="str">
        <f t="shared" si="32"/>
        <v>Pass</v>
      </c>
    </row>
    <row r="299" spans="1:26" x14ac:dyDescent="0.25">
      <c r="A299" s="2" t="s">
        <v>700</v>
      </c>
      <c r="B299" s="2" t="s">
        <v>17</v>
      </c>
      <c r="C299" t="s">
        <v>474</v>
      </c>
      <c r="D299" s="2" t="str">
        <f>VLOOKUP(C299,Locality_Reference!A:C,2,)</f>
        <v>Western Line</v>
      </c>
      <c r="E299" s="2" t="str">
        <f>VLOOKUP(C299,Locality_Reference!A:C,3,)</f>
        <v>Mid Suburb</v>
      </c>
      <c r="F299" s="2" t="s">
        <v>640</v>
      </c>
      <c r="G299" s="8">
        <v>75000</v>
      </c>
      <c r="H299">
        <v>3</v>
      </c>
      <c r="I299">
        <v>3</v>
      </c>
      <c r="J299">
        <v>13</v>
      </c>
      <c r="K299">
        <v>43</v>
      </c>
      <c r="L299">
        <v>1037</v>
      </c>
      <c r="M299" t="s">
        <v>36</v>
      </c>
      <c r="N299" t="s">
        <v>29</v>
      </c>
      <c r="O299" t="s">
        <v>16</v>
      </c>
      <c r="P299" t="s">
        <v>31</v>
      </c>
      <c r="Q299" t="str">
        <f t="shared" si="33"/>
        <v>3</v>
      </c>
      <c r="R299" s="5">
        <v>46196</v>
      </c>
      <c r="S299" s="8">
        <f t="shared" si="34"/>
        <v>72.324011571841851</v>
      </c>
      <c r="T299">
        <f t="shared" si="35"/>
        <v>900000</v>
      </c>
      <c r="U299" t="str">
        <f t="shared" si="36"/>
        <v>Premium</v>
      </c>
      <c r="V299" t="str">
        <f t="shared" si="37"/>
        <v>Large</v>
      </c>
      <c r="W299" t="str">
        <f>IF(S299 &lt; VLOOKUP(E299, Locality_Tier_Benchmarks!A:B, 2, FALSE) * 0.7, "Below Tier Range", "Normal")</f>
        <v>Normal</v>
      </c>
      <c r="X299" t="str">
        <f t="shared" si="38"/>
        <v>Normal</v>
      </c>
      <c r="Y299" t="str">
        <f t="shared" si="39"/>
        <v>Normal</v>
      </c>
      <c r="Z299" t="str">
        <f t="shared" si="32"/>
        <v>Pass</v>
      </c>
    </row>
    <row r="300" spans="1:26" x14ac:dyDescent="0.25">
      <c r="A300" s="2" t="s">
        <v>701</v>
      </c>
      <c r="B300" s="2" t="s">
        <v>17</v>
      </c>
      <c r="C300" t="s">
        <v>474</v>
      </c>
      <c r="D300" s="2" t="str">
        <f>VLOOKUP(C300,Locality_Reference!A:C,2,)</f>
        <v>Western Line</v>
      </c>
      <c r="E300" s="2" t="str">
        <f>VLOOKUP(C300,Locality_Reference!A:C,3,)</f>
        <v>Mid Suburb</v>
      </c>
      <c r="F300" s="2" t="s">
        <v>641</v>
      </c>
      <c r="G300" s="8">
        <v>95000</v>
      </c>
      <c r="H300">
        <v>3</v>
      </c>
      <c r="I300">
        <v>3</v>
      </c>
      <c r="J300">
        <v>10</v>
      </c>
      <c r="K300">
        <v>21</v>
      </c>
      <c r="L300">
        <v>1130</v>
      </c>
      <c r="M300" t="s">
        <v>33</v>
      </c>
      <c r="N300" t="s">
        <v>15</v>
      </c>
      <c r="O300" t="s">
        <v>16</v>
      </c>
      <c r="P300" t="s">
        <v>34</v>
      </c>
      <c r="Q300" t="str">
        <f t="shared" si="33"/>
        <v/>
      </c>
      <c r="R300" s="5">
        <v>46183</v>
      </c>
      <c r="S300" s="8">
        <f t="shared" si="34"/>
        <v>84.070796460176993</v>
      </c>
      <c r="T300">
        <f t="shared" si="35"/>
        <v>1140000</v>
      </c>
      <c r="U300" t="str">
        <f t="shared" si="36"/>
        <v>Premium</v>
      </c>
      <c r="V300" t="str">
        <f t="shared" si="37"/>
        <v>Large</v>
      </c>
      <c r="W300" t="str">
        <f>IF(S300 &lt; VLOOKUP(E300, Locality_Tier_Benchmarks!A:B, 2, FALSE) * 0.7, "Below Tier Range", "Normal")</f>
        <v>Normal</v>
      </c>
      <c r="X300" t="str">
        <f t="shared" si="38"/>
        <v>Normal</v>
      </c>
      <c r="Y300" t="str">
        <f t="shared" si="39"/>
        <v>Normal</v>
      </c>
      <c r="Z300" t="str">
        <f t="shared" si="32"/>
        <v>Pass</v>
      </c>
    </row>
    <row r="301" spans="1:26" x14ac:dyDescent="0.25">
      <c r="A301" s="2" t="s">
        <v>702</v>
      </c>
      <c r="B301" s="2" t="s">
        <v>17</v>
      </c>
      <c r="C301" t="s">
        <v>474</v>
      </c>
      <c r="D301" s="2" t="str">
        <f>VLOOKUP(C301,Locality_Reference!A:C,2,)</f>
        <v>Western Line</v>
      </c>
      <c r="E301" s="2" t="str">
        <f>VLOOKUP(C301,Locality_Reference!A:C,3,)</f>
        <v>Mid Suburb</v>
      </c>
      <c r="F301" s="2" t="s">
        <v>642</v>
      </c>
      <c r="G301" s="8">
        <v>130000</v>
      </c>
      <c r="H301">
        <v>3</v>
      </c>
      <c r="I301">
        <v>3</v>
      </c>
      <c r="J301">
        <v>64</v>
      </c>
      <c r="K301">
        <v>68</v>
      </c>
      <c r="L301">
        <v>1000</v>
      </c>
      <c r="M301" t="s">
        <v>14</v>
      </c>
      <c r="N301" t="s">
        <v>29</v>
      </c>
      <c r="O301" t="s">
        <v>16</v>
      </c>
      <c r="P301" t="s">
        <v>31</v>
      </c>
      <c r="Q301" t="str">
        <f t="shared" si="33"/>
        <v>3</v>
      </c>
      <c r="R301" s="5">
        <v>46195</v>
      </c>
      <c r="S301" s="8">
        <f t="shared" si="34"/>
        <v>130</v>
      </c>
      <c r="T301">
        <f t="shared" si="35"/>
        <v>1560000</v>
      </c>
      <c r="U301" t="str">
        <f t="shared" si="36"/>
        <v>Luxury</v>
      </c>
      <c r="V301" t="str">
        <f t="shared" si="37"/>
        <v>Large</v>
      </c>
      <c r="W301" t="str">
        <f>IF(S301 &lt; VLOOKUP(E301, Locality_Tier_Benchmarks!A:B, 2, FALSE) * 0.7, "Below Tier Range", "Normal")</f>
        <v>Normal</v>
      </c>
      <c r="X301" t="str">
        <f t="shared" si="38"/>
        <v>Normal</v>
      </c>
      <c r="Y301" t="str">
        <f t="shared" si="39"/>
        <v>Normal</v>
      </c>
      <c r="Z301" t="str">
        <f t="shared" si="32"/>
        <v>Pass</v>
      </c>
    </row>
    <row r="302" spans="1:26" x14ac:dyDescent="0.25">
      <c r="A302" s="2" t="s">
        <v>703</v>
      </c>
      <c r="B302" s="2" t="s">
        <v>17</v>
      </c>
      <c r="C302" t="s">
        <v>474</v>
      </c>
      <c r="D302" s="2" t="str">
        <f>VLOOKUP(C302,Locality_Reference!A:C,2,)</f>
        <v>Western Line</v>
      </c>
      <c r="E302" s="2" t="str">
        <f>VLOOKUP(C302,Locality_Reference!A:C,3,)</f>
        <v>Mid Suburb</v>
      </c>
      <c r="F302" s="2" t="s">
        <v>643</v>
      </c>
      <c r="G302" s="8">
        <v>110000</v>
      </c>
      <c r="H302">
        <v>3</v>
      </c>
      <c r="I302">
        <v>3</v>
      </c>
      <c r="J302">
        <v>16</v>
      </c>
      <c r="K302">
        <v>36</v>
      </c>
      <c r="L302">
        <v>900</v>
      </c>
      <c r="M302" t="s">
        <v>14</v>
      </c>
      <c r="N302" t="s">
        <v>15</v>
      </c>
      <c r="O302" t="s">
        <v>16</v>
      </c>
      <c r="P302" t="s">
        <v>34</v>
      </c>
      <c r="Q302" t="str">
        <f t="shared" si="33"/>
        <v/>
      </c>
      <c r="R302" s="5">
        <v>46197</v>
      </c>
      <c r="S302" s="8">
        <f t="shared" si="34"/>
        <v>122.22222222222223</v>
      </c>
      <c r="T302">
        <f t="shared" si="35"/>
        <v>1320000</v>
      </c>
      <c r="U302" t="str">
        <f t="shared" si="36"/>
        <v>Luxury</v>
      </c>
      <c r="V302" t="str">
        <f t="shared" si="37"/>
        <v>Large</v>
      </c>
      <c r="W302" t="str">
        <f>IF(S302 &lt; VLOOKUP(E302, Locality_Tier_Benchmarks!A:B, 2, FALSE) * 0.7, "Below Tier Range", "Normal")</f>
        <v>Normal</v>
      </c>
      <c r="X302" t="str">
        <f t="shared" si="38"/>
        <v>Normal</v>
      </c>
      <c r="Y302" t="str">
        <f t="shared" si="39"/>
        <v>Normal</v>
      </c>
      <c r="Z302" t="str">
        <f t="shared" si="32"/>
        <v>Pass</v>
      </c>
    </row>
    <row r="303" spans="1:26" x14ac:dyDescent="0.25">
      <c r="A303" s="2" t="s">
        <v>705</v>
      </c>
      <c r="B303" s="2" t="s">
        <v>17</v>
      </c>
      <c r="C303" t="s">
        <v>473</v>
      </c>
      <c r="D303" s="2" t="str">
        <f>VLOOKUP(C303,Locality_Reference!A:C,2,)</f>
        <v>Western Line</v>
      </c>
      <c r="E303" s="2" t="str">
        <f>VLOOKUP(C303,Locality_Reference!A:C,3,)</f>
        <v>Mid Suburb</v>
      </c>
      <c r="F303" s="2" t="s">
        <v>1077</v>
      </c>
      <c r="G303" s="8">
        <v>52000</v>
      </c>
      <c r="H303">
        <v>1</v>
      </c>
      <c r="I303">
        <v>2</v>
      </c>
      <c r="J303">
        <v>6</v>
      </c>
      <c r="K303">
        <v>21</v>
      </c>
      <c r="L303">
        <v>499.98</v>
      </c>
      <c r="M303" t="s">
        <v>36</v>
      </c>
      <c r="N303" t="s">
        <v>29</v>
      </c>
      <c r="O303" t="s">
        <v>16</v>
      </c>
      <c r="P303" t="s">
        <v>34</v>
      </c>
      <c r="Q303" t="str">
        <f t="shared" si="33"/>
        <v/>
      </c>
      <c r="R303" s="5">
        <v>46196</v>
      </c>
      <c r="S303" s="8">
        <f t="shared" si="34"/>
        <v>104.00416016640665</v>
      </c>
      <c r="T303">
        <f t="shared" si="35"/>
        <v>624000</v>
      </c>
      <c r="U303" t="str">
        <f t="shared" si="36"/>
        <v>Mid</v>
      </c>
      <c r="V303" t="str">
        <f t="shared" si="37"/>
        <v>Compact</v>
      </c>
      <c r="W303" t="str">
        <f>IF(S303 &lt; VLOOKUP(E303, Locality_Tier_Benchmarks!A:B, 2, FALSE) * 0.7, "Below Tier Range", "Normal")</f>
        <v>Normal</v>
      </c>
      <c r="X303" t="str">
        <f t="shared" si="38"/>
        <v>Normal</v>
      </c>
      <c r="Y303" t="str">
        <f t="shared" si="39"/>
        <v>Normal</v>
      </c>
      <c r="Z303" t="str">
        <f t="shared" si="32"/>
        <v>Pass</v>
      </c>
    </row>
    <row r="304" spans="1:26" x14ac:dyDescent="0.25">
      <c r="A304" s="2" t="s">
        <v>706</v>
      </c>
      <c r="B304" s="2" t="s">
        <v>17</v>
      </c>
      <c r="C304" t="s">
        <v>473</v>
      </c>
      <c r="D304" s="2" t="str">
        <f>VLOOKUP(C304,Locality_Reference!A:C,2,)</f>
        <v>Western Line</v>
      </c>
      <c r="E304" s="2" t="str">
        <f>VLOOKUP(C304,Locality_Reference!A:C,3,)</f>
        <v>Mid Suburb</v>
      </c>
      <c r="F304" s="2" t="s">
        <v>1078</v>
      </c>
      <c r="G304" s="8">
        <v>46000</v>
      </c>
      <c r="H304">
        <v>1</v>
      </c>
      <c r="I304">
        <v>1</v>
      </c>
      <c r="J304">
        <v>11</v>
      </c>
      <c r="K304">
        <v>32</v>
      </c>
      <c r="L304">
        <v>450</v>
      </c>
      <c r="M304" t="s">
        <v>33</v>
      </c>
      <c r="N304" t="s">
        <v>29</v>
      </c>
      <c r="O304" t="s">
        <v>16</v>
      </c>
      <c r="P304" t="s">
        <v>52</v>
      </c>
      <c r="Q304" t="str">
        <f t="shared" si="33"/>
        <v>7.5</v>
      </c>
      <c r="R304" s="5">
        <v>46193</v>
      </c>
      <c r="S304" s="8">
        <f t="shared" si="34"/>
        <v>102.22222222222223</v>
      </c>
      <c r="T304">
        <f t="shared" si="35"/>
        <v>552000</v>
      </c>
      <c r="U304" t="str">
        <f t="shared" si="36"/>
        <v>Mid</v>
      </c>
      <c r="V304" t="str">
        <f t="shared" si="37"/>
        <v>Compact</v>
      </c>
      <c r="W304" t="str">
        <f>IF(S304 &lt; VLOOKUP(E304, Locality_Tier_Benchmarks!A:B, 2, FALSE) * 0.7, "Below Tier Range", "Normal")</f>
        <v>Normal</v>
      </c>
      <c r="X304" t="str">
        <f t="shared" si="38"/>
        <v>Normal</v>
      </c>
      <c r="Y304" t="str">
        <f t="shared" si="39"/>
        <v>Normal</v>
      </c>
      <c r="Z304" t="str">
        <f t="shared" si="32"/>
        <v>Pass</v>
      </c>
    </row>
    <row r="305" spans="1:26" x14ac:dyDescent="0.25">
      <c r="A305" s="2" t="s">
        <v>707</v>
      </c>
      <c r="B305" s="2" t="s">
        <v>366</v>
      </c>
      <c r="C305" t="s">
        <v>473</v>
      </c>
      <c r="D305" s="2" t="str">
        <f>VLOOKUP(C305,Locality_Reference!A:C,2,)</f>
        <v>Western Line</v>
      </c>
      <c r="E305" s="2" t="str">
        <f>VLOOKUP(C305,Locality_Reference!A:C,3,)</f>
        <v>Mid Suburb</v>
      </c>
      <c r="F305" s="2" t="s">
        <v>1079</v>
      </c>
      <c r="G305" s="8">
        <v>45000</v>
      </c>
      <c r="H305">
        <v>1</v>
      </c>
      <c r="I305">
        <v>2</v>
      </c>
      <c r="J305">
        <v>20</v>
      </c>
      <c r="K305">
        <v>38</v>
      </c>
      <c r="L305">
        <v>450</v>
      </c>
      <c r="M305" t="s">
        <v>36</v>
      </c>
      <c r="N305" t="s">
        <v>34</v>
      </c>
      <c r="O305" t="s">
        <v>16</v>
      </c>
      <c r="P305" t="s">
        <v>34</v>
      </c>
      <c r="Q305" t="str">
        <f t="shared" si="33"/>
        <v/>
      </c>
      <c r="R305" s="5">
        <v>46200</v>
      </c>
      <c r="S305" s="8">
        <f t="shared" si="34"/>
        <v>100</v>
      </c>
      <c r="T305">
        <f t="shared" si="35"/>
        <v>540000</v>
      </c>
      <c r="U305" t="str">
        <f t="shared" si="36"/>
        <v>Mid</v>
      </c>
      <c r="V305" t="str">
        <f t="shared" si="37"/>
        <v>Compact</v>
      </c>
      <c r="W305" t="str">
        <f>IF(S305 &lt; VLOOKUP(E305, Locality_Tier_Benchmarks!A:B, 2, FALSE) * 0.7, "Below Tier Range", "Normal")</f>
        <v>Normal</v>
      </c>
      <c r="X305" t="str">
        <f t="shared" si="38"/>
        <v>Normal</v>
      </c>
      <c r="Y305" t="str">
        <f t="shared" si="39"/>
        <v>Normal</v>
      </c>
      <c r="Z305" t="str">
        <f t="shared" si="32"/>
        <v>Pass</v>
      </c>
    </row>
    <row r="306" spans="1:26" x14ac:dyDescent="0.25">
      <c r="A306" s="2" t="s">
        <v>708</v>
      </c>
      <c r="B306" s="2" t="s">
        <v>17</v>
      </c>
      <c r="C306" t="s">
        <v>473</v>
      </c>
      <c r="D306" s="2" t="str">
        <f>VLOOKUP(C306,Locality_Reference!A:C,2,)</f>
        <v>Western Line</v>
      </c>
      <c r="E306" s="2" t="str">
        <f>VLOOKUP(C306,Locality_Reference!A:C,3,)</f>
        <v>Mid Suburb</v>
      </c>
      <c r="F306" s="2" t="s">
        <v>1080</v>
      </c>
      <c r="G306" s="8">
        <v>44000</v>
      </c>
      <c r="H306">
        <v>1</v>
      </c>
      <c r="I306">
        <v>1</v>
      </c>
      <c r="J306">
        <v>4</v>
      </c>
      <c r="K306">
        <v>7</v>
      </c>
      <c r="L306">
        <v>405</v>
      </c>
      <c r="M306" t="s">
        <v>36</v>
      </c>
      <c r="N306" t="s">
        <v>29</v>
      </c>
      <c r="O306" t="s">
        <v>16</v>
      </c>
      <c r="P306" t="s">
        <v>34</v>
      </c>
      <c r="Q306" t="str">
        <f t="shared" si="33"/>
        <v/>
      </c>
      <c r="R306" s="5">
        <v>46197</v>
      </c>
      <c r="S306" s="8">
        <f t="shared" si="34"/>
        <v>108.64197530864197</v>
      </c>
      <c r="T306">
        <f t="shared" si="35"/>
        <v>528000</v>
      </c>
      <c r="U306" t="str">
        <f t="shared" si="36"/>
        <v>Mid</v>
      </c>
      <c r="V306" t="str">
        <f t="shared" si="37"/>
        <v>Compact</v>
      </c>
      <c r="W306" t="str">
        <f>IF(S306 &lt; VLOOKUP(E306, Locality_Tier_Benchmarks!A:B, 2, FALSE) * 0.7, "Below Tier Range", "Normal")</f>
        <v>Normal</v>
      </c>
      <c r="X306" t="str">
        <f t="shared" si="38"/>
        <v>Normal</v>
      </c>
      <c r="Y306" t="str">
        <f t="shared" si="39"/>
        <v>Normal</v>
      </c>
      <c r="Z306" t="str">
        <f t="shared" si="32"/>
        <v>Pass</v>
      </c>
    </row>
    <row r="307" spans="1:26" x14ac:dyDescent="0.25">
      <c r="A307" s="2" t="s">
        <v>709</v>
      </c>
      <c r="B307" s="2" t="s">
        <v>17</v>
      </c>
      <c r="C307" t="s">
        <v>473</v>
      </c>
      <c r="D307" s="2" t="str">
        <f>VLOOKUP(C307,Locality_Reference!A:C,2,)</f>
        <v>Western Line</v>
      </c>
      <c r="E307" s="2" t="str">
        <f>VLOOKUP(C307,Locality_Reference!A:C,3,)</f>
        <v>Mid Suburb</v>
      </c>
      <c r="F307" s="2" t="s">
        <v>1081</v>
      </c>
      <c r="G307" s="8">
        <v>51000</v>
      </c>
      <c r="H307">
        <v>1</v>
      </c>
      <c r="I307">
        <v>2</v>
      </c>
      <c r="J307">
        <v>21</v>
      </c>
      <c r="K307">
        <v>26</v>
      </c>
      <c r="L307">
        <v>420</v>
      </c>
      <c r="M307" t="s">
        <v>36</v>
      </c>
      <c r="N307" t="s">
        <v>29</v>
      </c>
      <c r="O307" t="s">
        <v>16</v>
      </c>
      <c r="P307" t="s">
        <v>34</v>
      </c>
      <c r="Q307" t="str">
        <f t="shared" si="33"/>
        <v/>
      </c>
      <c r="R307" s="5">
        <v>46185</v>
      </c>
      <c r="S307" s="8">
        <f t="shared" si="34"/>
        <v>121.42857142857143</v>
      </c>
      <c r="T307">
        <f t="shared" si="35"/>
        <v>612000</v>
      </c>
      <c r="U307" t="str">
        <f t="shared" si="36"/>
        <v>Mid</v>
      </c>
      <c r="V307" t="str">
        <f t="shared" si="37"/>
        <v>Compact</v>
      </c>
      <c r="W307" t="str">
        <f>IF(S307 &lt; VLOOKUP(E307, Locality_Tier_Benchmarks!A:B, 2, FALSE) * 0.7, "Below Tier Range", "Normal")</f>
        <v>Normal</v>
      </c>
      <c r="X307" t="str">
        <f t="shared" si="38"/>
        <v>Normal</v>
      </c>
      <c r="Y307" t="str">
        <f t="shared" si="39"/>
        <v>Normal</v>
      </c>
      <c r="Z307" t="str">
        <f t="shared" si="32"/>
        <v>Pass</v>
      </c>
    </row>
    <row r="308" spans="1:26" x14ac:dyDescent="0.25">
      <c r="A308" s="2" t="s">
        <v>710</v>
      </c>
      <c r="B308" s="2" t="s">
        <v>17</v>
      </c>
      <c r="C308" t="s">
        <v>473</v>
      </c>
      <c r="D308" s="2" t="str">
        <f>VLOOKUP(C308,Locality_Reference!A:C,2,)</f>
        <v>Western Line</v>
      </c>
      <c r="E308" s="2" t="str">
        <f>VLOOKUP(C308,Locality_Reference!A:C,3,)</f>
        <v>Mid Suburb</v>
      </c>
      <c r="F308" s="2" t="s">
        <v>1082</v>
      </c>
      <c r="G308" s="8">
        <v>100000</v>
      </c>
      <c r="H308">
        <v>2</v>
      </c>
      <c r="I308">
        <v>2</v>
      </c>
      <c r="J308">
        <v>6</v>
      </c>
      <c r="K308">
        <v>10</v>
      </c>
      <c r="L308">
        <v>900</v>
      </c>
      <c r="M308" t="s">
        <v>33</v>
      </c>
      <c r="N308" t="s">
        <v>15</v>
      </c>
      <c r="O308" t="s">
        <v>16</v>
      </c>
      <c r="P308" t="s">
        <v>47</v>
      </c>
      <c r="Q308" t="str">
        <f t="shared" si="33"/>
        <v>1</v>
      </c>
      <c r="R308" s="5">
        <v>46164</v>
      </c>
      <c r="S308" s="8">
        <f t="shared" si="34"/>
        <v>111.11111111111111</v>
      </c>
      <c r="T308">
        <f t="shared" si="35"/>
        <v>1200000</v>
      </c>
      <c r="U308" t="str">
        <f t="shared" si="36"/>
        <v>Premium</v>
      </c>
      <c r="V308" t="str">
        <f t="shared" si="37"/>
        <v>Large</v>
      </c>
      <c r="W308" t="str">
        <f>IF(S308 &lt; VLOOKUP(E308, Locality_Tier_Benchmarks!A:B, 2, FALSE) * 0.7, "Below Tier Range", "Normal")</f>
        <v>Normal</v>
      </c>
      <c r="X308" t="str">
        <f t="shared" si="38"/>
        <v>Normal</v>
      </c>
      <c r="Y308" t="str">
        <f t="shared" si="39"/>
        <v>Normal</v>
      </c>
      <c r="Z308" t="str">
        <f t="shared" si="32"/>
        <v>Pass</v>
      </c>
    </row>
    <row r="309" spans="1:26" x14ac:dyDescent="0.25">
      <c r="A309" s="2" t="s">
        <v>711</v>
      </c>
      <c r="B309" s="2" t="s">
        <v>17</v>
      </c>
      <c r="C309" t="s">
        <v>473</v>
      </c>
      <c r="D309" s="2" t="str">
        <f>VLOOKUP(C309,Locality_Reference!A:C,2,)</f>
        <v>Western Line</v>
      </c>
      <c r="E309" s="2" t="str">
        <f>VLOOKUP(C309,Locality_Reference!A:C,3,)</f>
        <v>Mid Suburb</v>
      </c>
      <c r="F309" s="2" t="s">
        <v>1083</v>
      </c>
      <c r="G309" s="8">
        <v>70000</v>
      </c>
      <c r="H309">
        <v>2</v>
      </c>
      <c r="I309">
        <v>2</v>
      </c>
      <c r="J309">
        <v>6</v>
      </c>
      <c r="K309">
        <v>9</v>
      </c>
      <c r="L309">
        <v>600</v>
      </c>
      <c r="M309" t="s">
        <v>33</v>
      </c>
      <c r="N309" t="s">
        <v>15</v>
      </c>
      <c r="O309" t="s">
        <v>16</v>
      </c>
      <c r="P309" t="s">
        <v>34</v>
      </c>
      <c r="Q309" t="str">
        <f t="shared" si="33"/>
        <v/>
      </c>
      <c r="R309" s="5">
        <v>46162</v>
      </c>
      <c r="S309" s="8">
        <f t="shared" si="34"/>
        <v>116.66666666666667</v>
      </c>
      <c r="T309">
        <f t="shared" si="35"/>
        <v>840000</v>
      </c>
      <c r="U309" t="str">
        <f t="shared" si="36"/>
        <v>Premium</v>
      </c>
      <c r="V309" t="str">
        <f t="shared" si="37"/>
        <v>Medium</v>
      </c>
      <c r="W309" t="str">
        <f>IF(S309 &lt; VLOOKUP(E309, Locality_Tier_Benchmarks!A:B, 2, FALSE) * 0.7, "Below Tier Range", "Normal")</f>
        <v>Normal</v>
      </c>
      <c r="X309" t="str">
        <f t="shared" si="38"/>
        <v>Normal</v>
      </c>
      <c r="Y309" t="str">
        <f t="shared" si="39"/>
        <v>Normal</v>
      </c>
      <c r="Z309" t="str">
        <f t="shared" si="32"/>
        <v>Pass</v>
      </c>
    </row>
    <row r="310" spans="1:26" x14ac:dyDescent="0.25">
      <c r="A310" s="2" t="s">
        <v>712</v>
      </c>
      <c r="B310" t="s">
        <v>366</v>
      </c>
      <c r="C310" t="s">
        <v>473</v>
      </c>
      <c r="D310" s="2" t="str">
        <f>VLOOKUP(C310,Locality_Reference!A:C,2,)</f>
        <v>Western Line</v>
      </c>
      <c r="E310" s="2" t="str">
        <f>VLOOKUP(C310,Locality_Reference!A:C,3,)</f>
        <v>Mid Suburb</v>
      </c>
      <c r="F310" s="2" t="s">
        <v>1084</v>
      </c>
      <c r="G310" s="8">
        <v>130000</v>
      </c>
      <c r="H310">
        <v>2</v>
      </c>
      <c r="I310">
        <v>2</v>
      </c>
      <c r="J310">
        <v>24</v>
      </c>
      <c r="K310">
        <v>45</v>
      </c>
      <c r="L310">
        <v>875</v>
      </c>
      <c r="M310" t="s">
        <v>14</v>
      </c>
      <c r="N310" t="s">
        <v>15</v>
      </c>
      <c r="O310" t="s">
        <v>16</v>
      </c>
      <c r="P310" t="s">
        <v>34</v>
      </c>
      <c r="Q310" t="str">
        <f t="shared" si="33"/>
        <v/>
      </c>
      <c r="R310" s="5">
        <v>46200</v>
      </c>
      <c r="S310" s="8">
        <f t="shared" si="34"/>
        <v>148.57142857142858</v>
      </c>
      <c r="T310">
        <f t="shared" si="35"/>
        <v>1560000</v>
      </c>
      <c r="U310" t="str">
        <f t="shared" si="36"/>
        <v>Luxury</v>
      </c>
      <c r="V310" t="str">
        <f t="shared" si="37"/>
        <v>Large</v>
      </c>
      <c r="W310" t="str">
        <f>IF(S310 &lt; VLOOKUP(E310, Locality_Tier_Benchmarks!A:B, 2, FALSE) * 0.7, "Below Tier Range", "Normal")</f>
        <v>Normal</v>
      </c>
      <c r="X310" t="str">
        <f t="shared" si="38"/>
        <v>Normal</v>
      </c>
      <c r="Y310" t="str">
        <f t="shared" si="39"/>
        <v>Normal</v>
      </c>
      <c r="Z310" t="str">
        <f t="shared" si="32"/>
        <v>Pass</v>
      </c>
    </row>
    <row r="311" spans="1:26" x14ac:dyDescent="0.25">
      <c r="A311" s="2" t="s">
        <v>713</v>
      </c>
      <c r="B311" s="2" t="s">
        <v>17</v>
      </c>
      <c r="C311" t="s">
        <v>473</v>
      </c>
      <c r="D311" s="2" t="str">
        <f>VLOOKUP(C311,Locality_Reference!A:C,2,)</f>
        <v>Western Line</v>
      </c>
      <c r="E311" s="2" t="str">
        <f>VLOOKUP(C311,Locality_Reference!A:C,3,)</f>
        <v>Mid Suburb</v>
      </c>
      <c r="F311" s="2" t="s">
        <v>1085</v>
      </c>
      <c r="G311" s="8">
        <v>72000</v>
      </c>
      <c r="H311">
        <v>2</v>
      </c>
      <c r="I311">
        <v>2</v>
      </c>
      <c r="J311">
        <v>18</v>
      </c>
      <c r="K311">
        <v>41</v>
      </c>
      <c r="L311">
        <v>780</v>
      </c>
      <c r="M311" t="s">
        <v>36</v>
      </c>
      <c r="N311" t="s">
        <v>29</v>
      </c>
      <c r="O311" t="s">
        <v>16</v>
      </c>
      <c r="P311" t="s">
        <v>31</v>
      </c>
      <c r="Q311" t="str">
        <f t="shared" si="33"/>
        <v>3</v>
      </c>
      <c r="R311" s="5">
        <v>46189</v>
      </c>
      <c r="S311" s="8">
        <f t="shared" si="34"/>
        <v>92.307692307692307</v>
      </c>
      <c r="T311">
        <f t="shared" si="35"/>
        <v>864000</v>
      </c>
      <c r="U311" t="str">
        <f t="shared" si="36"/>
        <v>Premium</v>
      </c>
      <c r="V311" t="str">
        <f t="shared" si="37"/>
        <v>Medium</v>
      </c>
      <c r="W311" t="str">
        <f>IF(S311 &lt; VLOOKUP(E311, Locality_Tier_Benchmarks!A:B, 2, FALSE) * 0.7, "Below Tier Range", "Normal")</f>
        <v>Normal</v>
      </c>
      <c r="X311" t="str">
        <f t="shared" si="38"/>
        <v>Normal</v>
      </c>
      <c r="Y311" t="str">
        <f t="shared" si="39"/>
        <v>Normal</v>
      </c>
      <c r="Z311" t="str">
        <f t="shared" si="32"/>
        <v>Pass</v>
      </c>
    </row>
    <row r="312" spans="1:26" x14ac:dyDescent="0.25">
      <c r="A312" s="2" t="s">
        <v>714</v>
      </c>
      <c r="B312" t="s">
        <v>366</v>
      </c>
      <c r="C312" t="s">
        <v>473</v>
      </c>
      <c r="D312" s="2" t="str">
        <f>VLOOKUP(C312,Locality_Reference!A:C,2,)</f>
        <v>Western Line</v>
      </c>
      <c r="E312" s="2" t="str">
        <f>VLOOKUP(C312,Locality_Reference!A:C,3,)</f>
        <v>Mid Suburb</v>
      </c>
      <c r="F312" s="2" t="s">
        <v>1086</v>
      </c>
      <c r="G312" s="8">
        <v>65000</v>
      </c>
      <c r="H312">
        <v>2</v>
      </c>
      <c r="I312">
        <v>2</v>
      </c>
      <c r="J312">
        <v>10</v>
      </c>
      <c r="K312">
        <v>20</v>
      </c>
      <c r="L312">
        <v>750</v>
      </c>
      <c r="M312" t="s">
        <v>36</v>
      </c>
      <c r="N312" t="s">
        <v>34</v>
      </c>
      <c r="O312" t="s">
        <v>16</v>
      </c>
      <c r="P312" t="s">
        <v>34</v>
      </c>
      <c r="Q312" t="str">
        <f t="shared" si="33"/>
        <v/>
      </c>
      <c r="R312" s="5">
        <v>46201</v>
      </c>
      <c r="S312" s="8">
        <f t="shared" si="34"/>
        <v>86.666666666666671</v>
      </c>
      <c r="T312">
        <f t="shared" si="35"/>
        <v>780000</v>
      </c>
      <c r="U312" t="str">
        <f t="shared" si="36"/>
        <v>Premium</v>
      </c>
      <c r="V312" t="str">
        <f t="shared" si="37"/>
        <v>Medium</v>
      </c>
      <c r="W312" t="str">
        <f>IF(S312 &lt; VLOOKUP(E312, Locality_Tier_Benchmarks!A:B, 2, FALSE) * 0.7, "Below Tier Range", "Normal")</f>
        <v>Normal</v>
      </c>
      <c r="X312" t="str">
        <f t="shared" si="38"/>
        <v>Normal</v>
      </c>
      <c r="Y312" t="str">
        <f t="shared" si="39"/>
        <v>Normal</v>
      </c>
      <c r="Z312" t="str">
        <f t="shared" si="32"/>
        <v>Pass</v>
      </c>
    </row>
    <row r="313" spans="1:26" x14ac:dyDescent="0.25">
      <c r="A313" s="2" t="s">
        <v>715</v>
      </c>
      <c r="B313" s="2" t="s">
        <v>17</v>
      </c>
      <c r="C313" t="s">
        <v>473</v>
      </c>
      <c r="D313" s="2" t="str">
        <f>VLOOKUP(C313,Locality_Reference!A:C,2,)</f>
        <v>Western Line</v>
      </c>
      <c r="E313" s="2" t="str">
        <f>VLOOKUP(C313,Locality_Reference!A:C,3,)</f>
        <v>Mid Suburb</v>
      </c>
      <c r="F313" s="2" t="s">
        <v>1087</v>
      </c>
      <c r="G313" s="8">
        <v>130000</v>
      </c>
      <c r="H313">
        <v>3</v>
      </c>
      <c r="I313">
        <v>3</v>
      </c>
      <c r="J313">
        <v>10</v>
      </c>
      <c r="K313">
        <v>22</v>
      </c>
      <c r="L313">
        <v>1058</v>
      </c>
      <c r="M313" t="s">
        <v>14</v>
      </c>
      <c r="N313" t="s">
        <v>15</v>
      </c>
      <c r="O313" t="s">
        <v>16</v>
      </c>
      <c r="P313" t="s">
        <v>34</v>
      </c>
      <c r="Q313" t="str">
        <f t="shared" si="33"/>
        <v/>
      </c>
      <c r="R313" s="5">
        <v>46190</v>
      </c>
      <c r="S313" s="8">
        <f t="shared" si="34"/>
        <v>122.87334593572778</v>
      </c>
      <c r="T313">
        <f t="shared" si="35"/>
        <v>1560000</v>
      </c>
      <c r="U313" t="str">
        <f t="shared" si="36"/>
        <v>Luxury</v>
      </c>
      <c r="V313" t="str">
        <f t="shared" si="37"/>
        <v>Large</v>
      </c>
      <c r="W313" t="str">
        <f>IF(S313 &lt; VLOOKUP(E313, Locality_Tier_Benchmarks!A:B, 2, FALSE) * 0.7, "Below Tier Range", "Normal")</f>
        <v>Normal</v>
      </c>
      <c r="X313" t="str">
        <f t="shared" si="38"/>
        <v>Normal</v>
      </c>
      <c r="Y313" t="str">
        <f t="shared" si="39"/>
        <v>Normal</v>
      </c>
      <c r="Z313" t="str">
        <f t="shared" si="32"/>
        <v>Pass</v>
      </c>
    </row>
    <row r="314" spans="1:26" x14ac:dyDescent="0.25">
      <c r="A314" s="2" t="s">
        <v>716</v>
      </c>
      <c r="B314" t="s">
        <v>17</v>
      </c>
      <c r="C314" t="s">
        <v>473</v>
      </c>
      <c r="D314" s="2" t="str">
        <f>VLOOKUP(C314,Locality_Reference!A:C,2,)</f>
        <v>Western Line</v>
      </c>
      <c r="E314" s="2" t="str">
        <f>VLOOKUP(C314,Locality_Reference!A:C,3,)</f>
        <v>Mid Suburb</v>
      </c>
      <c r="F314" s="2" t="s">
        <v>1084</v>
      </c>
      <c r="G314" s="8">
        <v>200000</v>
      </c>
      <c r="H314">
        <v>3</v>
      </c>
      <c r="I314">
        <v>3</v>
      </c>
      <c r="J314">
        <v>28</v>
      </c>
      <c r="K314">
        <v>42</v>
      </c>
      <c r="L314">
        <v>1378</v>
      </c>
      <c r="M314" t="s">
        <v>14</v>
      </c>
      <c r="N314" t="s">
        <v>15</v>
      </c>
      <c r="O314" t="s">
        <v>16</v>
      </c>
      <c r="P314" t="s">
        <v>23</v>
      </c>
      <c r="Q314" t="str">
        <f t="shared" si="33"/>
        <v>10</v>
      </c>
      <c r="R314" s="5">
        <v>46161</v>
      </c>
      <c r="S314" s="8">
        <f t="shared" si="34"/>
        <v>145.1378809869376</v>
      </c>
      <c r="T314">
        <f t="shared" si="35"/>
        <v>2400000</v>
      </c>
      <c r="U314" t="str">
        <f t="shared" si="36"/>
        <v>Luxury</v>
      </c>
      <c r="V314" t="str">
        <f t="shared" si="37"/>
        <v>Spacious</v>
      </c>
      <c r="W314" t="str">
        <f>IF(S314 &lt; VLOOKUP(E314, Locality_Tier_Benchmarks!A:B, 2, FALSE) * 0.7, "Below Tier Range", "Normal")</f>
        <v>Normal</v>
      </c>
      <c r="X314" t="str">
        <f t="shared" si="38"/>
        <v>Normal</v>
      </c>
      <c r="Y314" t="str">
        <f t="shared" si="39"/>
        <v>Normal</v>
      </c>
      <c r="Z314" t="str">
        <f t="shared" si="32"/>
        <v>Pass</v>
      </c>
    </row>
    <row r="315" spans="1:26" x14ac:dyDescent="0.25">
      <c r="A315" s="2" t="s">
        <v>717</v>
      </c>
      <c r="B315" t="s">
        <v>366</v>
      </c>
      <c r="C315" t="s">
        <v>473</v>
      </c>
      <c r="D315" s="2" t="str">
        <f>VLOOKUP(C315,Locality_Reference!A:C,2,)</f>
        <v>Western Line</v>
      </c>
      <c r="E315" s="2" t="str">
        <f>VLOOKUP(C315,Locality_Reference!A:C,3,)</f>
        <v>Mid Suburb</v>
      </c>
      <c r="F315" s="2" t="s">
        <v>1088</v>
      </c>
      <c r="G315" s="8">
        <v>290000</v>
      </c>
      <c r="H315">
        <v>3</v>
      </c>
      <c r="I315">
        <v>5</v>
      </c>
      <c r="J315">
        <v>40</v>
      </c>
      <c r="K315">
        <v>52</v>
      </c>
      <c r="L315">
        <v>1515</v>
      </c>
      <c r="M315" t="s">
        <v>36</v>
      </c>
      <c r="N315" t="s">
        <v>15</v>
      </c>
      <c r="O315" t="s">
        <v>16</v>
      </c>
      <c r="P315" t="s">
        <v>52</v>
      </c>
      <c r="Q315" t="str">
        <f t="shared" si="33"/>
        <v>7.5</v>
      </c>
      <c r="R315" s="5">
        <v>46201</v>
      </c>
      <c r="S315" s="8">
        <f t="shared" si="34"/>
        <v>191.41914191419141</v>
      </c>
      <c r="T315">
        <f t="shared" si="35"/>
        <v>3480000</v>
      </c>
      <c r="U315" t="str">
        <f t="shared" si="36"/>
        <v>Luxury</v>
      </c>
      <c r="V315" t="str">
        <f t="shared" si="37"/>
        <v>Spacious</v>
      </c>
      <c r="W315" t="str">
        <f>IF(S315 &lt; VLOOKUP(E315, Locality_Tier_Benchmarks!A:B, 2, FALSE) * 0.7, "Below Tier Range", "Normal")</f>
        <v>Normal</v>
      </c>
      <c r="X315" t="str">
        <f t="shared" si="38"/>
        <v>Normal</v>
      </c>
      <c r="Y315" t="str">
        <f t="shared" si="39"/>
        <v>Normal</v>
      </c>
      <c r="Z315" t="str">
        <f t="shared" si="32"/>
        <v>Pass</v>
      </c>
    </row>
    <row r="316" spans="1:26" x14ac:dyDescent="0.25">
      <c r="A316" s="2" t="s">
        <v>718</v>
      </c>
      <c r="B316" t="s">
        <v>17</v>
      </c>
      <c r="C316" t="s">
        <v>473</v>
      </c>
      <c r="D316" s="2" t="str">
        <f>VLOOKUP(C316,Locality_Reference!A:C,2,)</f>
        <v>Western Line</v>
      </c>
      <c r="E316" s="2" t="str">
        <f>VLOOKUP(C316,Locality_Reference!A:C,3,)</f>
        <v>Mid Suburb</v>
      </c>
      <c r="F316" s="2" t="s">
        <v>1089</v>
      </c>
      <c r="G316" s="8">
        <v>90000</v>
      </c>
      <c r="H316">
        <v>3</v>
      </c>
      <c r="I316">
        <v>3</v>
      </c>
      <c r="J316">
        <v>2</v>
      </c>
      <c r="K316">
        <v>3</v>
      </c>
      <c r="L316">
        <v>1200</v>
      </c>
      <c r="M316" t="s">
        <v>36</v>
      </c>
      <c r="N316" t="s">
        <v>15</v>
      </c>
      <c r="O316" t="s">
        <v>16</v>
      </c>
      <c r="P316" t="s">
        <v>34</v>
      </c>
      <c r="Q316" t="str">
        <f t="shared" si="33"/>
        <v/>
      </c>
      <c r="R316" s="5">
        <v>46190</v>
      </c>
      <c r="S316" s="8">
        <f t="shared" si="34"/>
        <v>75</v>
      </c>
      <c r="T316">
        <f t="shared" si="35"/>
        <v>1080000</v>
      </c>
      <c r="U316" t="str">
        <f t="shared" si="36"/>
        <v>Premium</v>
      </c>
      <c r="V316" t="str">
        <f t="shared" si="37"/>
        <v>Large</v>
      </c>
      <c r="W316" t="str">
        <f>IF(S316 &lt; VLOOKUP(E316, Locality_Tier_Benchmarks!A:B, 2, FALSE) * 0.7, "Below Tier Range", "Normal")</f>
        <v>Normal</v>
      </c>
      <c r="X316" t="str">
        <f t="shared" si="38"/>
        <v>Normal</v>
      </c>
      <c r="Y316" t="str">
        <f t="shared" si="39"/>
        <v>Normal</v>
      </c>
      <c r="Z316" t="str">
        <f t="shared" si="32"/>
        <v>Pass</v>
      </c>
    </row>
    <row r="317" spans="1:26" x14ac:dyDescent="0.25">
      <c r="A317" s="2" t="s">
        <v>719</v>
      </c>
      <c r="B317" t="s">
        <v>17</v>
      </c>
      <c r="C317" t="s">
        <v>473</v>
      </c>
      <c r="D317" s="2" t="str">
        <f>VLOOKUP(C317,Locality_Reference!A:C,2,)</f>
        <v>Western Line</v>
      </c>
      <c r="E317" s="2" t="str">
        <f>VLOOKUP(C317,Locality_Reference!A:C,3,)</f>
        <v>Mid Suburb</v>
      </c>
      <c r="F317" s="2" t="s">
        <v>1090</v>
      </c>
      <c r="G317" s="8">
        <v>100000</v>
      </c>
      <c r="H317">
        <v>3</v>
      </c>
      <c r="I317">
        <v>3</v>
      </c>
      <c r="J317">
        <v>10</v>
      </c>
      <c r="K317">
        <v>42</v>
      </c>
      <c r="L317">
        <v>980</v>
      </c>
      <c r="M317" t="s">
        <v>36</v>
      </c>
      <c r="N317" t="s">
        <v>29</v>
      </c>
      <c r="O317" t="s">
        <v>16</v>
      </c>
      <c r="P317" t="s">
        <v>52</v>
      </c>
      <c r="Q317" t="str">
        <f t="shared" si="33"/>
        <v>7.5</v>
      </c>
      <c r="R317" s="5">
        <v>46190</v>
      </c>
      <c r="S317" s="8">
        <f t="shared" si="34"/>
        <v>102.04081632653062</v>
      </c>
      <c r="T317">
        <f t="shared" si="35"/>
        <v>1200000</v>
      </c>
      <c r="U317" t="str">
        <f t="shared" si="36"/>
        <v>Premium</v>
      </c>
      <c r="V317" t="str">
        <f t="shared" si="37"/>
        <v>Large</v>
      </c>
      <c r="W317" t="str">
        <f>IF(S317 &lt; VLOOKUP(E317, Locality_Tier_Benchmarks!A:B, 2, FALSE) * 0.7, "Below Tier Range", "Normal")</f>
        <v>Normal</v>
      </c>
      <c r="X317" t="str">
        <f t="shared" si="38"/>
        <v>Normal</v>
      </c>
      <c r="Y317" t="str">
        <f t="shared" si="39"/>
        <v>Normal</v>
      </c>
      <c r="Z317" t="str">
        <f t="shared" si="32"/>
        <v>Pass</v>
      </c>
    </row>
    <row r="318" spans="1:26" x14ac:dyDescent="0.25">
      <c r="A318" s="2" t="s">
        <v>720</v>
      </c>
      <c r="B318" t="s">
        <v>17</v>
      </c>
      <c r="C318" t="s">
        <v>472</v>
      </c>
      <c r="D318" s="2" t="str">
        <f>VLOOKUP(C318,Locality_Reference!A:C,2,)</f>
        <v>Western Line</v>
      </c>
      <c r="E318" s="2" t="str">
        <f>VLOOKUP(C318,Locality_Reference!A:C,3,)</f>
        <v>Mid Suburb</v>
      </c>
      <c r="F318" s="2" t="s">
        <v>1091</v>
      </c>
      <c r="G318" s="8">
        <v>40000</v>
      </c>
      <c r="H318">
        <v>1</v>
      </c>
      <c r="I318">
        <v>1</v>
      </c>
      <c r="J318">
        <v>7</v>
      </c>
      <c r="K318">
        <v>7</v>
      </c>
      <c r="L318">
        <v>410</v>
      </c>
      <c r="M318" t="s">
        <v>36</v>
      </c>
      <c r="N318" t="s">
        <v>15</v>
      </c>
      <c r="O318" t="s">
        <v>16</v>
      </c>
      <c r="P318" t="s">
        <v>23</v>
      </c>
      <c r="Q318" t="str">
        <f t="shared" si="33"/>
        <v>10</v>
      </c>
      <c r="R318" s="5">
        <v>46200</v>
      </c>
      <c r="S318" s="8">
        <f t="shared" si="34"/>
        <v>97.560975609756099</v>
      </c>
      <c r="T318">
        <f t="shared" si="35"/>
        <v>480000</v>
      </c>
      <c r="U318" t="str">
        <f t="shared" si="36"/>
        <v>Mid</v>
      </c>
      <c r="V318" t="str">
        <f t="shared" si="37"/>
        <v>Compact</v>
      </c>
      <c r="W318" t="str">
        <f>IF(S318 &lt; VLOOKUP(E318, Locality_Tier_Benchmarks!A:B, 2, FALSE) * 0.7, "Below Tier Range", "Normal")</f>
        <v>Normal</v>
      </c>
      <c r="X318" t="str">
        <f t="shared" si="38"/>
        <v>Normal</v>
      </c>
      <c r="Y318" t="str">
        <f t="shared" si="39"/>
        <v>Normal</v>
      </c>
      <c r="Z318" t="str">
        <f t="shared" si="32"/>
        <v>Pass</v>
      </c>
    </row>
    <row r="319" spans="1:26" x14ac:dyDescent="0.25">
      <c r="A319" s="2" t="s">
        <v>721</v>
      </c>
      <c r="B319" t="s">
        <v>17</v>
      </c>
      <c r="C319" t="s">
        <v>472</v>
      </c>
      <c r="D319" s="2" t="str">
        <f>VLOOKUP(C319,Locality_Reference!A:C,2,)</f>
        <v>Western Line</v>
      </c>
      <c r="E319" s="2" t="str">
        <f>VLOOKUP(C319,Locality_Reference!A:C,3,)</f>
        <v>Mid Suburb</v>
      </c>
      <c r="F319" s="2" t="s">
        <v>1092</v>
      </c>
      <c r="G319" s="8">
        <v>45000</v>
      </c>
      <c r="H319">
        <v>1</v>
      </c>
      <c r="I319">
        <v>2</v>
      </c>
      <c r="J319">
        <v>15</v>
      </c>
      <c r="K319">
        <v>20</v>
      </c>
      <c r="L319">
        <v>470</v>
      </c>
      <c r="M319" t="s">
        <v>33</v>
      </c>
      <c r="N319" t="s">
        <v>29</v>
      </c>
      <c r="O319" t="s">
        <v>16</v>
      </c>
      <c r="P319" t="s">
        <v>34</v>
      </c>
      <c r="Q319" t="str">
        <f t="shared" si="33"/>
        <v/>
      </c>
      <c r="R319" s="5">
        <v>46197</v>
      </c>
      <c r="S319" s="8">
        <f t="shared" si="34"/>
        <v>95.744680851063833</v>
      </c>
      <c r="T319">
        <f t="shared" si="35"/>
        <v>540000</v>
      </c>
      <c r="U319" t="str">
        <f t="shared" si="36"/>
        <v>Mid</v>
      </c>
      <c r="V319" t="str">
        <f t="shared" si="37"/>
        <v>Compact</v>
      </c>
      <c r="W319" t="str">
        <f>IF(S319 &lt; VLOOKUP(E319, Locality_Tier_Benchmarks!A:B, 2, FALSE) * 0.7, "Below Tier Range", "Normal")</f>
        <v>Normal</v>
      </c>
      <c r="X319" t="str">
        <f t="shared" si="38"/>
        <v>Normal</v>
      </c>
      <c r="Y319" t="str">
        <f t="shared" si="39"/>
        <v>Normal</v>
      </c>
      <c r="Z319" t="str">
        <f t="shared" si="32"/>
        <v>Pass</v>
      </c>
    </row>
    <row r="320" spans="1:26" x14ac:dyDescent="0.25">
      <c r="A320" s="2" t="s">
        <v>722</v>
      </c>
      <c r="B320" t="s">
        <v>17</v>
      </c>
      <c r="C320" t="s">
        <v>472</v>
      </c>
      <c r="D320" s="2" t="str">
        <f>VLOOKUP(C320,Locality_Reference!A:C,2,)</f>
        <v>Western Line</v>
      </c>
      <c r="E320" s="2" t="str">
        <f>VLOOKUP(C320,Locality_Reference!A:C,3,)</f>
        <v>Mid Suburb</v>
      </c>
      <c r="F320" s="2" t="s">
        <v>1093</v>
      </c>
      <c r="G320" s="8">
        <v>40000</v>
      </c>
      <c r="H320">
        <v>1</v>
      </c>
      <c r="I320">
        <v>2</v>
      </c>
      <c r="J320">
        <v>1</v>
      </c>
      <c r="K320">
        <v>4</v>
      </c>
      <c r="L320">
        <v>550</v>
      </c>
      <c r="M320" t="s">
        <v>14</v>
      </c>
      <c r="N320" t="s">
        <v>29</v>
      </c>
      <c r="O320" t="s">
        <v>16</v>
      </c>
      <c r="P320" t="s">
        <v>23</v>
      </c>
      <c r="Q320" t="str">
        <f t="shared" si="33"/>
        <v>10</v>
      </c>
      <c r="R320" s="5">
        <v>46170</v>
      </c>
      <c r="S320" s="8">
        <f t="shared" si="34"/>
        <v>72.727272727272734</v>
      </c>
      <c r="T320">
        <f t="shared" si="35"/>
        <v>480000</v>
      </c>
      <c r="U320" t="str">
        <f t="shared" si="36"/>
        <v>Mid</v>
      </c>
      <c r="V320" t="str">
        <f t="shared" si="37"/>
        <v>Medium</v>
      </c>
      <c r="W320" t="str">
        <f>IF(S320 &lt; VLOOKUP(E320, Locality_Tier_Benchmarks!A:B, 2, FALSE) * 0.7, "Below Tier Range", "Normal")</f>
        <v>Normal</v>
      </c>
      <c r="X320" t="str">
        <f t="shared" si="38"/>
        <v>Normal</v>
      </c>
      <c r="Y320" t="str">
        <f t="shared" si="39"/>
        <v>Normal</v>
      </c>
      <c r="Z320" t="str">
        <f t="shared" si="32"/>
        <v>Pass</v>
      </c>
    </row>
    <row r="321" spans="1:26" x14ac:dyDescent="0.25">
      <c r="A321" s="2" t="s">
        <v>723</v>
      </c>
      <c r="B321" t="s">
        <v>17</v>
      </c>
      <c r="C321" t="s">
        <v>472</v>
      </c>
      <c r="D321" s="2" t="str">
        <f>VLOOKUP(C321,Locality_Reference!A:C,2,)</f>
        <v>Western Line</v>
      </c>
      <c r="E321" s="2" t="str">
        <f>VLOOKUP(C321,Locality_Reference!A:C,3,)</f>
        <v>Mid Suburb</v>
      </c>
      <c r="F321" s="2" t="s">
        <v>1094</v>
      </c>
      <c r="G321" s="8">
        <v>45000</v>
      </c>
      <c r="H321">
        <v>1</v>
      </c>
      <c r="I321">
        <v>1</v>
      </c>
      <c r="J321">
        <v>6</v>
      </c>
      <c r="K321">
        <v>23</v>
      </c>
      <c r="L321">
        <v>435</v>
      </c>
      <c r="M321" t="s">
        <v>36</v>
      </c>
      <c r="N321" t="s">
        <v>15</v>
      </c>
      <c r="O321" t="s">
        <v>16</v>
      </c>
      <c r="P321" t="s">
        <v>34</v>
      </c>
      <c r="Q321" t="str">
        <f t="shared" si="33"/>
        <v/>
      </c>
      <c r="R321" s="5">
        <v>46197</v>
      </c>
      <c r="S321" s="8">
        <f t="shared" si="34"/>
        <v>103.44827586206897</v>
      </c>
      <c r="T321">
        <f t="shared" si="35"/>
        <v>540000</v>
      </c>
      <c r="U321" t="str">
        <f t="shared" si="36"/>
        <v>Mid</v>
      </c>
      <c r="V321" t="str">
        <f t="shared" si="37"/>
        <v>Compact</v>
      </c>
      <c r="W321" t="str">
        <f>IF(S321 &lt; VLOOKUP(E321, Locality_Tier_Benchmarks!A:B, 2, FALSE) * 0.7, "Below Tier Range", "Normal")</f>
        <v>Normal</v>
      </c>
      <c r="X321" t="str">
        <f t="shared" si="38"/>
        <v>Normal</v>
      </c>
      <c r="Y321" t="str">
        <f t="shared" si="39"/>
        <v>Normal</v>
      </c>
      <c r="Z321" t="str">
        <f t="shared" si="32"/>
        <v>Pass</v>
      </c>
    </row>
    <row r="322" spans="1:26" x14ac:dyDescent="0.25">
      <c r="A322" s="2" t="s">
        <v>724</v>
      </c>
      <c r="B322" t="s">
        <v>17</v>
      </c>
      <c r="C322" t="s">
        <v>472</v>
      </c>
      <c r="D322" s="2" t="str">
        <f>VLOOKUP(C322,Locality_Reference!A:C,2,)</f>
        <v>Western Line</v>
      </c>
      <c r="E322" s="2" t="str">
        <f>VLOOKUP(C322,Locality_Reference!A:C,3,)</f>
        <v>Mid Suburb</v>
      </c>
      <c r="F322" s="2" t="s">
        <v>1095</v>
      </c>
      <c r="G322" s="8">
        <v>41000</v>
      </c>
      <c r="H322">
        <v>1</v>
      </c>
      <c r="I322">
        <v>2</v>
      </c>
      <c r="J322">
        <v>14</v>
      </c>
      <c r="K322">
        <v>23</v>
      </c>
      <c r="L322">
        <v>400</v>
      </c>
      <c r="M322" t="s">
        <v>14</v>
      </c>
      <c r="N322" t="s">
        <v>15</v>
      </c>
      <c r="O322" t="s">
        <v>16</v>
      </c>
      <c r="P322" t="s">
        <v>52</v>
      </c>
      <c r="Q322" t="str">
        <f t="shared" si="33"/>
        <v>7.5</v>
      </c>
      <c r="R322" s="5">
        <v>46198</v>
      </c>
      <c r="S322" s="8">
        <f t="shared" si="34"/>
        <v>102.5</v>
      </c>
      <c r="T322">
        <f t="shared" si="35"/>
        <v>492000</v>
      </c>
      <c r="U322" t="str">
        <f t="shared" si="36"/>
        <v>Mid</v>
      </c>
      <c r="V322" t="str">
        <f t="shared" si="37"/>
        <v>Compact</v>
      </c>
      <c r="W322" t="str">
        <f>IF(S322 &lt; VLOOKUP(E322, Locality_Tier_Benchmarks!A:B, 2, FALSE) * 0.7, "Below Tier Range", "Normal")</f>
        <v>Normal</v>
      </c>
      <c r="X322" t="str">
        <f t="shared" si="38"/>
        <v>Normal</v>
      </c>
      <c r="Y322" t="str">
        <f t="shared" si="39"/>
        <v>Normal</v>
      </c>
      <c r="Z322" t="str">
        <f t="shared" ref="Z322:Z385" si="40">IF(OR(W322&lt;&gt;"Normal",X322&lt;&gt;"Normal",Y322&lt;&gt;"Normal"),"Review","Pass")</f>
        <v>Pass</v>
      </c>
    </row>
    <row r="323" spans="1:26" x14ac:dyDescent="0.25">
      <c r="A323" s="2" t="s">
        <v>725</v>
      </c>
      <c r="B323" t="s">
        <v>17</v>
      </c>
      <c r="C323" t="s">
        <v>472</v>
      </c>
      <c r="D323" s="2" t="str">
        <f>VLOOKUP(C323,Locality_Reference!A:C,2,)</f>
        <v>Western Line</v>
      </c>
      <c r="E323" s="2" t="str">
        <f>VLOOKUP(C323,Locality_Reference!A:C,3,)</f>
        <v>Mid Suburb</v>
      </c>
      <c r="F323" s="2" t="s">
        <v>1096</v>
      </c>
      <c r="G323" s="8">
        <v>51000</v>
      </c>
      <c r="H323">
        <v>2</v>
      </c>
      <c r="I323">
        <v>2</v>
      </c>
      <c r="J323">
        <v>6</v>
      </c>
      <c r="K323">
        <v>7</v>
      </c>
      <c r="L323">
        <v>950</v>
      </c>
      <c r="M323" t="s">
        <v>36</v>
      </c>
      <c r="N323" t="s">
        <v>15</v>
      </c>
      <c r="O323" t="s">
        <v>16</v>
      </c>
      <c r="P323" t="s">
        <v>34</v>
      </c>
      <c r="Q323" t="str">
        <f t="shared" ref="Q323:Q386" si="41">IF(P323="20+ Years","20",IF(P323="15-20 Years","17.5",IF(P323="10+ Years","10",IF(P323="5-10 Years","7.5",IF(P323="1-5 Years","3",IF(P323="0-1 Year","1",""))))))</f>
        <v/>
      </c>
      <c r="R323" s="5">
        <v>46202</v>
      </c>
      <c r="S323" s="8">
        <f t="shared" ref="S323:S386" si="42">G323/L323</f>
        <v>53.684210526315788</v>
      </c>
      <c r="T323">
        <f t="shared" ref="T323:T386" si="43">G323*12</f>
        <v>612000</v>
      </c>
      <c r="U323" t="str">
        <f t="shared" ref="U323:U386" si="44">IF(G323&lt;=30000,"Budget",IF(G323&lt;=60000,"Mid",IF(G323&lt;=100000,"Premium","Luxury")))</f>
        <v>Mid</v>
      </c>
      <c r="V323" t="str">
        <f t="shared" ref="V323:V386" si="45">IF(L323&lt;=500,"Compact",IF(L323&lt;=800,"Medium",IF(L323&lt;=1200,"Large","Spacious")))</f>
        <v>Large</v>
      </c>
      <c r="W323" t="str">
        <f>IF(S323 &lt; VLOOKUP(E323, Locality_Tier_Benchmarks!A:B, 2, FALSE) * 0.7, "Below Tier Range", "Normal")</f>
        <v>Normal</v>
      </c>
      <c r="X323" t="str">
        <f t="shared" ref="X323:X386" si="46">IF(G323&lt;7000,"Below Absolute Floor","Normal")</f>
        <v>Normal</v>
      </c>
      <c r="Y323" t="str">
        <f t="shared" ref="Y323:Y386" si="47">IF(S323&gt;500,"Possible Typo - Check Zero","Normal")</f>
        <v>Normal</v>
      </c>
      <c r="Z323" t="str">
        <f t="shared" si="40"/>
        <v>Pass</v>
      </c>
    </row>
    <row r="324" spans="1:26" x14ac:dyDescent="0.25">
      <c r="A324" s="2" t="s">
        <v>726</v>
      </c>
      <c r="B324" t="s">
        <v>17</v>
      </c>
      <c r="C324" t="s">
        <v>472</v>
      </c>
      <c r="D324" s="2" t="str">
        <f>VLOOKUP(C324,Locality_Reference!A:C,2,)</f>
        <v>Western Line</v>
      </c>
      <c r="E324" s="2" t="str">
        <f>VLOOKUP(C324,Locality_Reference!A:C,3,)</f>
        <v>Mid Suburb</v>
      </c>
      <c r="F324" s="2" t="s">
        <v>1097</v>
      </c>
      <c r="G324" s="8">
        <v>75000</v>
      </c>
      <c r="H324">
        <v>2</v>
      </c>
      <c r="I324">
        <v>2</v>
      </c>
      <c r="J324">
        <v>12</v>
      </c>
      <c r="K324">
        <v>46</v>
      </c>
      <c r="L324">
        <v>629</v>
      </c>
      <c r="M324" t="s">
        <v>33</v>
      </c>
      <c r="N324" t="s">
        <v>29</v>
      </c>
      <c r="O324" t="s">
        <v>16</v>
      </c>
      <c r="P324" t="s">
        <v>31</v>
      </c>
      <c r="Q324" t="str">
        <f t="shared" si="41"/>
        <v>3</v>
      </c>
      <c r="R324" s="5">
        <v>46184</v>
      </c>
      <c r="S324" s="8">
        <f t="shared" si="42"/>
        <v>119.2368839427663</v>
      </c>
      <c r="T324">
        <f t="shared" si="43"/>
        <v>900000</v>
      </c>
      <c r="U324" t="str">
        <f t="shared" si="44"/>
        <v>Premium</v>
      </c>
      <c r="V324" t="str">
        <f t="shared" si="45"/>
        <v>Medium</v>
      </c>
      <c r="W324" t="str">
        <f>IF(S324 &lt; VLOOKUP(E324, Locality_Tier_Benchmarks!A:B, 2, FALSE) * 0.7, "Below Tier Range", "Normal")</f>
        <v>Normal</v>
      </c>
      <c r="X324" t="str">
        <f t="shared" si="46"/>
        <v>Normal</v>
      </c>
      <c r="Y324" t="str">
        <f t="shared" si="47"/>
        <v>Normal</v>
      </c>
      <c r="Z324" t="str">
        <f t="shared" si="40"/>
        <v>Pass</v>
      </c>
    </row>
    <row r="325" spans="1:26" x14ac:dyDescent="0.25">
      <c r="A325" s="2" t="s">
        <v>727</v>
      </c>
      <c r="B325" t="s">
        <v>17</v>
      </c>
      <c r="C325" t="s">
        <v>472</v>
      </c>
      <c r="D325" s="2" t="str">
        <f>VLOOKUP(C325,Locality_Reference!A:C,2,)</f>
        <v>Western Line</v>
      </c>
      <c r="E325" s="2" t="str">
        <f>VLOOKUP(C325,Locality_Reference!A:C,3,)</f>
        <v>Mid Suburb</v>
      </c>
      <c r="F325" s="2" t="s">
        <v>1098</v>
      </c>
      <c r="G325" s="8">
        <v>66000</v>
      </c>
      <c r="H325">
        <v>2</v>
      </c>
      <c r="I325">
        <v>2</v>
      </c>
      <c r="J325">
        <v>2</v>
      </c>
      <c r="K325">
        <v>4</v>
      </c>
      <c r="L325">
        <v>650</v>
      </c>
      <c r="M325" t="s">
        <v>14</v>
      </c>
      <c r="N325" t="s">
        <v>29</v>
      </c>
      <c r="O325" t="s">
        <v>16</v>
      </c>
      <c r="P325" t="s">
        <v>23</v>
      </c>
      <c r="Q325" t="str">
        <f t="shared" si="41"/>
        <v>10</v>
      </c>
      <c r="R325" s="5">
        <v>46196</v>
      </c>
      <c r="S325" s="8">
        <f t="shared" si="42"/>
        <v>101.53846153846153</v>
      </c>
      <c r="T325">
        <f t="shared" si="43"/>
        <v>792000</v>
      </c>
      <c r="U325" t="str">
        <f t="shared" si="44"/>
        <v>Premium</v>
      </c>
      <c r="V325" t="str">
        <f t="shared" si="45"/>
        <v>Medium</v>
      </c>
      <c r="W325" t="str">
        <f>IF(S325 &lt; VLOOKUP(E325, Locality_Tier_Benchmarks!A:B, 2, FALSE) * 0.7, "Below Tier Range", "Normal")</f>
        <v>Normal</v>
      </c>
      <c r="X325" t="str">
        <f t="shared" si="46"/>
        <v>Normal</v>
      </c>
      <c r="Y325" t="str">
        <f t="shared" si="47"/>
        <v>Normal</v>
      </c>
      <c r="Z325" t="str">
        <f t="shared" si="40"/>
        <v>Pass</v>
      </c>
    </row>
    <row r="326" spans="1:26" x14ac:dyDescent="0.25">
      <c r="A326" s="2" t="s">
        <v>728</v>
      </c>
      <c r="B326" t="s">
        <v>17</v>
      </c>
      <c r="C326" t="s">
        <v>472</v>
      </c>
      <c r="D326" s="2" t="str">
        <f>VLOOKUP(C326,Locality_Reference!A:C,2,)</f>
        <v>Western Line</v>
      </c>
      <c r="E326" s="2" t="str">
        <f>VLOOKUP(C326,Locality_Reference!A:C,3,)</f>
        <v>Mid Suburb</v>
      </c>
      <c r="F326" s="2" t="s">
        <v>1099</v>
      </c>
      <c r="G326" s="8">
        <v>63000</v>
      </c>
      <c r="H326">
        <v>2</v>
      </c>
      <c r="I326">
        <v>2</v>
      </c>
      <c r="J326">
        <v>15</v>
      </c>
      <c r="K326">
        <v>23</v>
      </c>
      <c r="L326">
        <v>501</v>
      </c>
      <c r="M326" t="s">
        <v>36</v>
      </c>
      <c r="N326" t="s">
        <v>29</v>
      </c>
      <c r="O326" t="s">
        <v>16</v>
      </c>
      <c r="P326" t="s">
        <v>34</v>
      </c>
      <c r="Q326" t="str">
        <f t="shared" si="41"/>
        <v/>
      </c>
      <c r="R326" s="5">
        <v>46189</v>
      </c>
      <c r="S326" s="8">
        <f t="shared" si="42"/>
        <v>125.74850299401197</v>
      </c>
      <c r="T326">
        <f t="shared" si="43"/>
        <v>756000</v>
      </c>
      <c r="U326" t="str">
        <f t="shared" si="44"/>
        <v>Premium</v>
      </c>
      <c r="V326" t="str">
        <f t="shared" si="45"/>
        <v>Medium</v>
      </c>
      <c r="W326" t="str">
        <f>IF(S326 &lt; VLOOKUP(E326, Locality_Tier_Benchmarks!A:B, 2, FALSE) * 0.7, "Below Tier Range", "Normal")</f>
        <v>Normal</v>
      </c>
      <c r="X326" t="str">
        <f t="shared" si="46"/>
        <v>Normal</v>
      </c>
      <c r="Y326" t="str">
        <f t="shared" si="47"/>
        <v>Normal</v>
      </c>
      <c r="Z326" t="str">
        <f t="shared" si="40"/>
        <v>Pass</v>
      </c>
    </row>
    <row r="327" spans="1:26" x14ac:dyDescent="0.25">
      <c r="A327" s="2" t="s">
        <v>729</v>
      </c>
      <c r="B327" t="s">
        <v>17</v>
      </c>
      <c r="C327" t="s">
        <v>472</v>
      </c>
      <c r="D327" s="2" t="str">
        <f>VLOOKUP(C327,Locality_Reference!A:C,2,)</f>
        <v>Western Line</v>
      </c>
      <c r="E327" s="2" t="str">
        <f>VLOOKUP(C327,Locality_Reference!A:C,3,)</f>
        <v>Mid Suburb</v>
      </c>
      <c r="F327" s="2" t="s">
        <v>1100</v>
      </c>
      <c r="G327" s="8">
        <v>55000</v>
      </c>
      <c r="H327">
        <v>2</v>
      </c>
      <c r="I327">
        <v>2</v>
      </c>
      <c r="J327">
        <v>10</v>
      </c>
      <c r="K327">
        <v>11</v>
      </c>
      <c r="L327">
        <v>800</v>
      </c>
      <c r="M327" t="s">
        <v>36</v>
      </c>
      <c r="N327" t="s">
        <v>29</v>
      </c>
      <c r="O327" t="s">
        <v>16</v>
      </c>
      <c r="P327" t="s">
        <v>47</v>
      </c>
      <c r="Q327" t="str">
        <f t="shared" si="41"/>
        <v>1</v>
      </c>
      <c r="R327" s="5">
        <v>46202</v>
      </c>
      <c r="S327" s="8">
        <f t="shared" si="42"/>
        <v>68.75</v>
      </c>
      <c r="T327">
        <f t="shared" si="43"/>
        <v>660000</v>
      </c>
      <c r="U327" t="str">
        <f t="shared" si="44"/>
        <v>Mid</v>
      </c>
      <c r="V327" t="str">
        <f t="shared" si="45"/>
        <v>Medium</v>
      </c>
      <c r="W327" t="str">
        <f>IF(S327 &lt; VLOOKUP(E327, Locality_Tier_Benchmarks!A:B, 2, FALSE) * 0.7, "Below Tier Range", "Normal")</f>
        <v>Normal</v>
      </c>
      <c r="X327" t="str">
        <f t="shared" si="46"/>
        <v>Normal</v>
      </c>
      <c r="Y327" t="str">
        <f t="shared" si="47"/>
        <v>Normal</v>
      </c>
      <c r="Z327" t="str">
        <f t="shared" si="40"/>
        <v>Pass</v>
      </c>
    </row>
    <row r="328" spans="1:26" x14ac:dyDescent="0.25">
      <c r="A328" s="2" t="s">
        <v>730</v>
      </c>
      <c r="B328" t="s">
        <v>17</v>
      </c>
      <c r="C328" t="s">
        <v>472</v>
      </c>
      <c r="D328" s="2" t="str">
        <f>VLOOKUP(C328,Locality_Reference!A:C,2,)</f>
        <v>Western Line</v>
      </c>
      <c r="E328" s="2" t="str">
        <f>VLOOKUP(C328,Locality_Reference!A:C,3,)</f>
        <v>Mid Suburb</v>
      </c>
      <c r="F328" s="2" t="s">
        <v>1101</v>
      </c>
      <c r="G328" s="8">
        <v>140000</v>
      </c>
      <c r="H328">
        <v>3</v>
      </c>
      <c r="I328">
        <v>2</v>
      </c>
      <c r="J328">
        <v>32</v>
      </c>
      <c r="K328">
        <v>47</v>
      </c>
      <c r="L328">
        <v>1042</v>
      </c>
      <c r="M328" t="s">
        <v>14</v>
      </c>
      <c r="N328" t="s">
        <v>15</v>
      </c>
      <c r="O328" t="s">
        <v>16</v>
      </c>
      <c r="P328" s="11" t="s">
        <v>52</v>
      </c>
      <c r="Q328" t="str">
        <f t="shared" si="41"/>
        <v>7.5</v>
      </c>
      <c r="R328" s="5">
        <v>46184</v>
      </c>
      <c r="S328" s="8">
        <f t="shared" si="42"/>
        <v>134.35700575815738</v>
      </c>
      <c r="T328">
        <f t="shared" si="43"/>
        <v>1680000</v>
      </c>
      <c r="U328" t="str">
        <f t="shared" si="44"/>
        <v>Luxury</v>
      </c>
      <c r="V328" t="str">
        <f t="shared" si="45"/>
        <v>Large</v>
      </c>
      <c r="W328" t="str">
        <f>IF(S328 &lt; VLOOKUP(E328, Locality_Tier_Benchmarks!A:B, 2, FALSE) * 0.7, "Below Tier Range", "Normal")</f>
        <v>Normal</v>
      </c>
      <c r="X328" t="str">
        <f t="shared" si="46"/>
        <v>Normal</v>
      </c>
      <c r="Y328" t="str">
        <f t="shared" si="47"/>
        <v>Normal</v>
      </c>
      <c r="Z328" t="str">
        <f t="shared" si="40"/>
        <v>Pass</v>
      </c>
    </row>
    <row r="329" spans="1:26" x14ac:dyDescent="0.25">
      <c r="A329" s="2" t="s">
        <v>731</v>
      </c>
      <c r="B329" t="s">
        <v>17</v>
      </c>
      <c r="C329" t="s">
        <v>472</v>
      </c>
      <c r="D329" s="2" t="str">
        <f>VLOOKUP(C329,Locality_Reference!A:C,2,)</f>
        <v>Western Line</v>
      </c>
      <c r="E329" s="2" t="str">
        <f>VLOOKUP(C329,Locality_Reference!A:C,3,)</f>
        <v>Mid Suburb</v>
      </c>
      <c r="F329" s="2" t="s">
        <v>1102</v>
      </c>
      <c r="G329" s="8">
        <v>105000</v>
      </c>
      <c r="H329">
        <v>3</v>
      </c>
      <c r="I329">
        <v>3</v>
      </c>
      <c r="J329">
        <v>5</v>
      </c>
      <c r="K329">
        <v>21</v>
      </c>
      <c r="L329">
        <v>1000</v>
      </c>
      <c r="M329" t="s">
        <v>36</v>
      </c>
      <c r="N329" t="s">
        <v>15</v>
      </c>
      <c r="O329" t="s">
        <v>16</v>
      </c>
      <c r="P329" t="s">
        <v>52</v>
      </c>
      <c r="Q329" t="str">
        <f t="shared" si="41"/>
        <v>7.5</v>
      </c>
      <c r="R329" s="5">
        <v>46184</v>
      </c>
      <c r="S329" s="8">
        <f t="shared" si="42"/>
        <v>105</v>
      </c>
      <c r="T329">
        <f t="shared" si="43"/>
        <v>1260000</v>
      </c>
      <c r="U329" t="str">
        <f t="shared" si="44"/>
        <v>Luxury</v>
      </c>
      <c r="V329" t="str">
        <f t="shared" si="45"/>
        <v>Large</v>
      </c>
      <c r="W329" t="str">
        <f>IF(S329 &lt; VLOOKUP(E329, Locality_Tier_Benchmarks!A:B, 2, FALSE) * 0.7, "Below Tier Range", "Normal")</f>
        <v>Normal</v>
      </c>
      <c r="X329" t="str">
        <f t="shared" si="46"/>
        <v>Normal</v>
      </c>
      <c r="Y329" t="str">
        <f t="shared" si="47"/>
        <v>Normal</v>
      </c>
      <c r="Z329" t="str">
        <f t="shared" si="40"/>
        <v>Pass</v>
      </c>
    </row>
    <row r="330" spans="1:26" x14ac:dyDescent="0.25">
      <c r="A330" s="2" t="s">
        <v>732</v>
      </c>
      <c r="B330" t="s">
        <v>17</v>
      </c>
      <c r="C330" t="s">
        <v>472</v>
      </c>
      <c r="D330" s="2" t="str">
        <f>VLOOKUP(C330,Locality_Reference!A:C,2,)</f>
        <v>Western Line</v>
      </c>
      <c r="E330" s="2" t="str">
        <f>VLOOKUP(C330,Locality_Reference!A:C,3,)</f>
        <v>Mid Suburb</v>
      </c>
      <c r="F330" s="2" t="s">
        <v>1103</v>
      </c>
      <c r="G330" s="8">
        <v>90000</v>
      </c>
      <c r="H330">
        <v>3</v>
      </c>
      <c r="I330">
        <v>3</v>
      </c>
      <c r="J330">
        <v>10</v>
      </c>
      <c r="K330">
        <v>20</v>
      </c>
      <c r="L330">
        <v>881</v>
      </c>
      <c r="M330" t="s">
        <v>33</v>
      </c>
      <c r="N330" t="s">
        <v>15</v>
      </c>
      <c r="O330" t="s">
        <v>16</v>
      </c>
      <c r="P330" t="s">
        <v>34</v>
      </c>
      <c r="Q330" t="str">
        <f t="shared" si="41"/>
        <v/>
      </c>
      <c r="R330" s="5">
        <v>46157</v>
      </c>
      <c r="S330" s="8">
        <f t="shared" si="42"/>
        <v>102.15664018161181</v>
      </c>
      <c r="T330">
        <f t="shared" si="43"/>
        <v>1080000</v>
      </c>
      <c r="U330" t="str">
        <f t="shared" si="44"/>
        <v>Premium</v>
      </c>
      <c r="V330" t="str">
        <f t="shared" si="45"/>
        <v>Large</v>
      </c>
      <c r="W330" t="str">
        <f>IF(S330 &lt; VLOOKUP(E330, Locality_Tier_Benchmarks!A:B, 2, FALSE) * 0.7, "Below Tier Range", "Normal")</f>
        <v>Normal</v>
      </c>
      <c r="X330" t="str">
        <f t="shared" si="46"/>
        <v>Normal</v>
      </c>
      <c r="Y330" t="str">
        <f t="shared" si="47"/>
        <v>Normal</v>
      </c>
      <c r="Z330" t="str">
        <f t="shared" si="40"/>
        <v>Pass</v>
      </c>
    </row>
    <row r="331" spans="1:26" x14ac:dyDescent="0.25">
      <c r="A331" s="2" t="s">
        <v>733</v>
      </c>
      <c r="B331" t="s">
        <v>17</v>
      </c>
      <c r="C331" t="s">
        <v>472</v>
      </c>
      <c r="D331" s="2" t="str">
        <f>VLOOKUP(C331,Locality_Reference!A:C,2,)</f>
        <v>Western Line</v>
      </c>
      <c r="E331" s="2" t="str">
        <f>VLOOKUP(C331,Locality_Reference!A:C,3,)</f>
        <v>Mid Suburb</v>
      </c>
      <c r="F331" s="2" t="s">
        <v>1104</v>
      </c>
      <c r="G331" s="8">
        <v>115000</v>
      </c>
      <c r="H331">
        <v>3</v>
      </c>
      <c r="I331">
        <v>3</v>
      </c>
      <c r="J331">
        <v>35</v>
      </c>
      <c r="K331">
        <v>36</v>
      </c>
      <c r="L331">
        <v>1084</v>
      </c>
      <c r="M331" t="s">
        <v>36</v>
      </c>
      <c r="N331" t="s">
        <v>29</v>
      </c>
      <c r="O331" t="s">
        <v>16</v>
      </c>
      <c r="P331" t="s">
        <v>31</v>
      </c>
      <c r="Q331" t="str">
        <f t="shared" si="41"/>
        <v>3</v>
      </c>
      <c r="R331" s="5">
        <v>46184</v>
      </c>
      <c r="S331" s="8">
        <f t="shared" si="42"/>
        <v>106.08856088560886</v>
      </c>
      <c r="T331">
        <f t="shared" si="43"/>
        <v>1380000</v>
      </c>
      <c r="U331" t="str">
        <f t="shared" si="44"/>
        <v>Luxury</v>
      </c>
      <c r="V331" t="str">
        <f t="shared" si="45"/>
        <v>Large</v>
      </c>
      <c r="W331" t="str">
        <f>IF(S331 &lt; VLOOKUP(E331, Locality_Tier_Benchmarks!A:B, 2, FALSE) * 0.7, "Below Tier Range", "Normal")</f>
        <v>Normal</v>
      </c>
      <c r="X331" t="str">
        <f t="shared" si="46"/>
        <v>Normal</v>
      </c>
      <c r="Y331" t="str">
        <f t="shared" si="47"/>
        <v>Normal</v>
      </c>
      <c r="Z331" t="str">
        <f t="shared" si="40"/>
        <v>Pass</v>
      </c>
    </row>
    <row r="332" spans="1:26" x14ac:dyDescent="0.25">
      <c r="A332" s="2" t="s">
        <v>734</v>
      </c>
      <c r="B332" t="s">
        <v>17</v>
      </c>
      <c r="C332" t="s">
        <v>472</v>
      </c>
      <c r="D332" s="2" t="str">
        <f>VLOOKUP(C332,Locality_Reference!A:C,2,)</f>
        <v>Western Line</v>
      </c>
      <c r="E332" s="2" t="str">
        <f>VLOOKUP(C332,Locality_Reference!A:C,3,)</f>
        <v>Mid Suburb</v>
      </c>
      <c r="F332" s="2" t="s">
        <v>1105</v>
      </c>
      <c r="G332" s="8">
        <v>92000</v>
      </c>
      <c r="H332">
        <v>3</v>
      </c>
      <c r="I332">
        <v>2</v>
      </c>
      <c r="J332">
        <v>13</v>
      </c>
      <c r="K332">
        <v>35</v>
      </c>
      <c r="L332">
        <v>921</v>
      </c>
      <c r="M332" t="s">
        <v>36</v>
      </c>
      <c r="N332" t="s">
        <v>15</v>
      </c>
      <c r="O332" t="s">
        <v>16</v>
      </c>
      <c r="P332" t="s">
        <v>52</v>
      </c>
      <c r="Q332" t="str">
        <f t="shared" si="41"/>
        <v>7.5</v>
      </c>
      <c r="R332" s="5">
        <v>46184</v>
      </c>
      <c r="S332" s="8">
        <f t="shared" si="42"/>
        <v>99.891422366992401</v>
      </c>
      <c r="T332">
        <f t="shared" si="43"/>
        <v>1104000</v>
      </c>
      <c r="U332" t="str">
        <f t="shared" si="44"/>
        <v>Premium</v>
      </c>
      <c r="V332" t="str">
        <f t="shared" si="45"/>
        <v>Large</v>
      </c>
      <c r="W332" t="str">
        <f>IF(S332 &lt; VLOOKUP(E332, Locality_Tier_Benchmarks!A:B, 2, FALSE) * 0.7, "Below Tier Range", "Normal")</f>
        <v>Normal</v>
      </c>
      <c r="X332" t="str">
        <f t="shared" si="46"/>
        <v>Normal</v>
      </c>
      <c r="Y332" t="str">
        <f t="shared" si="47"/>
        <v>Normal</v>
      </c>
      <c r="Z332" t="str">
        <f t="shared" si="40"/>
        <v>Pass</v>
      </c>
    </row>
    <row r="333" spans="1:26" x14ac:dyDescent="0.25">
      <c r="A333" s="2" t="s">
        <v>735</v>
      </c>
      <c r="B333" t="s">
        <v>17</v>
      </c>
      <c r="C333" t="s">
        <v>471</v>
      </c>
      <c r="D333" s="2" t="str">
        <f>VLOOKUP(C333,Locality_Reference!A:C,2,)</f>
        <v>Western Line</v>
      </c>
      <c r="E333" s="2" t="str">
        <f>VLOOKUP(C333,Locality_Reference!A:C,3,)</f>
        <v>Mid Suburb</v>
      </c>
      <c r="F333" s="2" t="s">
        <v>1106</v>
      </c>
      <c r="G333" s="8">
        <v>40000</v>
      </c>
      <c r="H333">
        <v>1</v>
      </c>
      <c r="I333">
        <v>1</v>
      </c>
      <c r="J333">
        <v>7</v>
      </c>
      <c r="K333">
        <v>7</v>
      </c>
      <c r="L333">
        <v>400</v>
      </c>
      <c r="M333" t="s">
        <v>36</v>
      </c>
      <c r="N333" t="s">
        <v>29</v>
      </c>
      <c r="O333" t="s">
        <v>16</v>
      </c>
      <c r="P333" t="s">
        <v>34</v>
      </c>
      <c r="Q333" t="str">
        <f t="shared" si="41"/>
        <v/>
      </c>
      <c r="R333" s="5">
        <v>46200</v>
      </c>
      <c r="S333" s="8">
        <f t="shared" si="42"/>
        <v>100</v>
      </c>
      <c r="T333">
        <f t="shared" si="43"/>
        <v>480000</v>
      </c>
      <c r="U333" t="str">
        <f t="shared" si="44"/>
        <v>Mid</v>
      </c>
      <c r="V333" t="str">
        <f t="shared" si="45"/>
        <v>Compact</v>
      </c>
      <c r="W333" t="str">
        <f>IF(S333 &lt; VLOOKUP(E333, Locality_Tier_Benchmarks!A:B, 2, FALSE) * 0.7, "Below Tier Range", "Normal")</f>
        <v>Normal</v>
      </c>
      <c r="X333" t="str">
        <f t="shared" si="46"/>
        <v>Normal</v>
      </c>
      <c r="Y333" t="str">
        <f t="shared" si="47"/>
        <v>Normal</v>
      </c>
      <c r="Z333" t="str">
        <f t="shared" si="40"/>
        <v>Pass</v>
      </c>
    </row>
    <row r="334" spans="1:26" x14ac:dyDescent="0.25">
      <c r="A334" s="2" t="s">
        <v>736</v>
      </c>
      <c r="B334" t="s">
        <v>17</v>
      </c>
      <c r="C334" t="s">
        <v>471</v>
      </c>
      <c r="D334" s="2" t="str">
        <f>VLOOKUP(C334,Locality_Reference!A:C,2,)</f>
        <v>Western Line</v>
      </c>
      <c r="E334" s="2" t="str">
        <f>VLOOKUP(C334,Locality_Reference!A:C,3,)</f>
        <v>Mid Suburb</v>
      </c>
      <c r="F334" s="2" t="s">
        <v>1107</v>
      </c>
      <c r="G334" s="8">
        <v>47000</v>
      </c>
      <c r="H334">
        <v>1</v>
      </c>
      <c r="I334">
        <v>2</v>
      </c>
      <c r="J334">
        <v>11</v>
      </c>
      <c r="K334">
        <v>23</v>
      </c>
      <c r="L334">
        <v>430</v>
      </c>
      <c r="M334" t="s">
        <v>36</v>
      </c>
      <c r="N334" t="s">
        <v>29</v>
      </c>
      <c r="O334" t="s">
        <v>16</v>
      </c>
      <c r="P334" t="s">
        <v>47</v>
      </c>
      <c r="Q334" t="str">
        <f t="shared" si="41"/>
        <v>1</v>
      </c>
      <c r="R334" s="5">
        <v>46193</v>
      </c>
      <c r="S334" s="8">
        <f t="shared" si="42"/>
        <v>109.30232558139535</v>
      </c>
      <c r="T334">
        <f t="shared" si="43"/>
        <v>564000</v>
      </c>
      <c r="U334" t="str">
        <f t="shared" si="44"/>
        <v>Mid</v>
      </c>
      <c r="V334" t="str">
        <f t="shared" si="45"/>
        <v>Compact</v>
      </c>
      <c r="W334" t="str">
        <f>IF(S334 &lt; VLOOKUP(E334, Locality_Tier_Benchmarks!A:B, 2, FALSE) * 0.7, "Below Tier Range", "Normal")</f>
        <v>Normal</v>
      </c>
      <c r="X334" t="str">
        <f t="shared" si="46"/>
        <v>Normal</v>
      </c>
      <c r="Y334" t="str">
        <f t="shared" si="47"/>
        <v>Normal</v>
      </c>
      <c r="Z334" t="str">
        <f t="shared" si="40"/>
        <v>Pass</v>
      </c>
    </row>
    <row r="335" spans="1:26" x14ac:dyDescent="0.25">
      <c r="A335" s="2" t="s">
        <v>737</v>
      </c>
      <c r="B335" t="s">
        <v>17</v>
      </c>
      <c r="C335" t="s">
        <v>471</v>
      </c>
      <c r="D335" s="2" t="str">
        <f>VLOOKUP(C335,Locality_Reference!A:C,2,)</f>
        <v>Western Line</v>
      </c>
      <c r="E335" s="2" t="str">
        <f>VLOOKUP(C335,Locality_Reference!A:C,3,)</f>
        <v>Mid Suburb</v>
      </c>
      <c r="F335" s="2" t="s">
        <v>1108</v>
      </c>
      <c r="G335" s="8">
        <v>40000</v>
      </c>
      <c r="H335">
        <v>1</v>
      </c>
      <c r="I335">
        <v>2</v>
      </c>
      <c r="J335">
        <v>0</v>
      </c>
      <c r="K335">
        <v>1</v>
      </c>
      <c r="L335">
        <v>420</v>
      </c>
      <c r="M335" t="s">
        <v>33</v>
      </c>
      <c r="N335" t="s">
        <v>29</v>
      </c>
      <c r="O335" t="s">
        <v>16</v>
      </c>
      <c r="P335" t="s">
        <v>34</v>
      </c>
      <c r="Q335" t="str">
        <f t="shared" si="41"/>
        <v/>
      </c>
      <c r="R335" s="5">
        <v>46198</v>
      </c>
      <c r="S335" s="8">
        <f t="shared" si="42"/>
        <v>95.238095238095241</v>
      </c>
      <c r="T335">
        <f t="shared" si="43"/>
        <v>480000</v>
      </c>
      <c r="U335" t="str">
        <f t="shared" si="44"/>
        <v>Mid</v>
      </c>
      <c r="V335" t="str">
        <f t="shared" si="45"/>
        <v>Compact</v>
      </c>
      <c r="W335" t="str">
        <f>IF(S335 &lt; VLOOKUP(E335, Locality_Tier_Benchmarks!A:B, 2, FALSE) * 0.7, "Below Tier Range", "Normal")</f>
        <v>Normal</v>
      </c>
      <c r="X335" t="str">
        <f t="shared" si="46"/>
        <v>Normal</v>
      </c>
      <c r="Y335" t="str">
        <f t="shared" si="47"/>
        <v>Normal</v>
      </c>
      <c r="Z335" t="str">
        <f t="shared" si="40"/>
        <v>Pass</v>
      </c>
    </row>
    <row r="336" spans="1:26" x14ac:dyDescent="0.25">
      <c r="A336" s="2" t="s">
        <v>738</v>
      </c>
      <c r="B336" t="s">
        <v>17</v>
      </c>
      <c r="C336" t="s">
        <v>471</v>
      </c>
      <c r="D336" s="2" t="str">
        <f>VLOOKUP(C336,Locality_Reference!A:C,2,)</f>
        <v>Western Line</v>
      </c>
      <c r="E336" s="2" t="str">
        <f>VLOOKUP(C336,Locality_Reference!A:C,3,)</f>
        <v>Mid Suburb</v>
      </c>
      <c r="F336" s="2" t="s">
        <v>1109</v>
      </c>
      <c r="G336" s="8">
        <v>65000</v>
      </c>
      <c r="H336">
        <v>1</v>
      </c>
      <c r="I336">
        <v>2</v>
      </c>
      <c r="J336">
        <v>1</v>
      </c>
      <c r="K336">
        <v>18</v>
      </c>
      <c r="L336">
        <v>450</v>
      </c>
      <c r="M336" t="s">
        <v>36</v>
      </c>
      <c r="N336" t="s">
        <v>29</v>
      </c>
      <c r="O336" t="s">
        <v>16</v>
      </c>
      <c r="P336" t="s">
        <v>34</v>
      </c>
      <c r="Q336" t="str">
        <f t="shared" si="41"/>
        <v/>
      </c>
      <c r="R336" s="5">
        <v>46167</v>
      </c>
      <c r="S336" s="8">
        <f t="shared" si="42"/>
        <v>144.44444444444446</v>
      </c>
      <c r="T336">
        <f t="shared" si="43"/>
        <v>780000</v>
      </c>
      <c r="U336" t="str">
        <f t="shared" si="44"/>
        <v>Premium</v>
      </c>
      <c r="V336" t="str">
        <f t="shared" si="45"/>
        <v>Compact</v>
      </c>
      <c r="W336" t="str">
        <f>IF(S336 &lt; VLOOKUP(E336, Locality_Tier_Benchmarks!A:B, 2, FALSE) * 0.7, "Below Tier Range", "Normal")</f>
        <v>Normal</v>
      </c>
      <c r="X336" t="str">
        <f t="shared" si="46"/>
        <v>Normal</v>
      </c>
      <c r="Y336" t="str">
        <f t="shared" si="47"/>
        <v>Normal</v>
      </c>
      <c r="Z336" t="str">
        <f t="shared" si="40"/>
        <v>Pass</v>
      </c>
    </row>
    <row r="337" spans="1:26" x14ac:dyDescent="0.25">
      <c r="A337" s="2" t="s">
        <v>739</v>
      </c>
      <c r="B337" t="s">
        <v>17</v>
      </c>
      <c r="C337" t="s">
        <v>471</v>
      </c>
      <c r="D337" s="2" t="str">
        <f>VLOOKUP(C337,Locality_Reference!A:C,2,)</f>
        <v>Western Line</v>
      </c>
      <c r="E337" s="2" t="str">
        <f>VLOOKUP(C337,Locality_Reference!A:C,3,)</f>
        <v>Mid Suburb</v>
      </c>
      <c r="F337" s="2" t="s">
        <v>1110</v>
      </c>
      <c r="G337" s="8">
        <v>35000</v>
      </c>
      <c r="H337">
        <v>1</v>
      </c>
      <c r="I337">
        <v>2</v>
      </c>
      <c r="J337">
        <v>7</v>
      </c>
      <c r="K337">
        <v>11</v>
      </c>
      <c r="L337">
        <v>470</v>
      </c>
      <c r="M337" t="s">
        <v>14</v>
      </c>
      <c r="N337" t="s">
        <v>29</v>
      </c>
      <c r="O337" t="s">
        <v>16</v>
      </c>
      <c r="P337" t="s">
        <v>34</v>
      </c>
      <c r="Q337" t="str">
        <f t="shared" si="41"/>
        <v/>
      </c>
      <c r="R337" s="5">
        <v>46191</v>
      </c>
      <c r="S337" s="8">
        <f t="shared" si="42"/>
        <v>74.468085106382972</v>
      </c>
      <c r="T337">
        <f t="shared" si="43"/>
        <v>420000</v>
      </c>
      <c r="U337" t="str">
        <f t="shared" si="44"/>
        <v>Mid</v>
      </c>
      <c r="V337" t="str">
        <f t="shared" si="45"/>
        <v>Compact</v>
      </c>
      <c r="W337" t="str">
        <f>IF(S337 &lt; VLOOKUP(E337, Locality_Tier_Benchmarks!A:B, 2, FALSE) * 0.7, "Below Tier Range", "Normal")</f>
        <v>Normal</v>
      </c>
      <c r="X337" t="str">
        <f t="shared" si="46"/>
        <v>Normal</v>
      </c>
      <c r="Y337" t="str">
        <f t="shared" si="47"/>
        <v>Normal</v>
      </c>
      <c r="Z337" t="str">
        <f t="shared" si="40"/>
        <v>Pass</v>
      </c>
    </row>
    <row r="338" spans="1:26" x14ac:dyDescent="0.25">
      <c r="A338" s="2" t="s">
        <v>740</v>
      </c>
      <c r="B338" t="s">
        <v>17</v>
      </c>
      <c r="C338" t="s">
        <v>471</v>
      </c>
      <c r="D338" s="2" t="str">
        <f>VLOOKUP(C338,Locality_Reference!A:C,2,)</f>
        <v>Western Line</v>
      </c>
      <c r="E338" s="2" t="str">
        <f>VLOOKUP(C338,Locality_Reference!A:C,3,)</f>
        <v>Mid Suburb</v>
      </c>
      <c r="F338" s="2" t="s">
        <v>1111</v>
      </c>
      <c r="G338" s="8">
        <v>135000</v>
      </c>
      <c r="H338">
        <v>2</v>
      </c>
      <c r="I338">
        <v>2</v>
      </c>
      <c r="J338">
        <v>20</v>
      </c>
      <c r="K338">
        <v>27</v>
      </c>
      <c r="L338">
        <v>900</v>
      </c>
      <c r="M338" t="s">
        <v>14</v>
      </c>
      <c r="N338" t="s">
        <v>29</v>
      </c>
      <c r="O338" t="s">
        <v>16</v>
      </c>
      <c r="P338" t="s">
        <v>31</v>
      </c>
      <c r="Q338" t="str">
        <f t="shared" si="41"/>
        <v>3</v>
      </c>
      <c r="R338" s="5">
        <v>46148</v>
      </c>
      <c r="S338" s="8">
        <f t="shared" si="42"/>
        <v>150</v>
      </c>
      <c r="T338">
        <f t="shared" si="43"/>
        <v>1620000</v>
      </c>
      <c r="U338" t="str">
        <f t="shared" si="44"/>
        <v>Luxury</v>
      </c>
      <c r="V338" t="str">
        <f t="shared" si="45"/>
        <v>Large</v>
      </c>
      <c r="W338" t="str">
        <f>IF(S338 &lt; VLOOKUP(E338, Locality_Tier_Benchmarks!A:B, 2, FALSE) * 0.7, "Below Tier Range", "Normal")</f>
        <v>Normal</v>
      </c>
      <c r="X338" t="str">
        <f t="shared" si="46"/>
        <v>Normal</v>
      </c>
      <c r="Y338" t="str">
        <f t="shared" si="47"/>
        <v>Normal</v>
      </c>
      <c r="Z338" t="str">
        <f t="shared" si="40"/>
        <v>Pass</v>
      </c>
    </row>
    <row r="339" spans="1:26" x14ac:dyDescent="0.25">
      <c r="A339" s="2" t="s">
        <v>741</v>
      </c>
      <c r="B339" t="s">
        <v>17</v>
      </c>
      <c r="C339" t="s">
        <v>471</v>
      </c>
      <c r="D339" s="2" t="str">
        <f>VLOOKUP(C339,Locality_Reference!A:C,2,)</f>
        <v>Western Line</v>
      </c>
      <c r="E339" s="2" t="str">
        <f>VLOOKUP(C339,Locality_Reference!A:C,3,)</f>
        <v>Mid Suburb</v>
      </c>
      <c r="F339" s="2" t="s">
        <v>1106</v>
      </c>
      <c r="G339" s="8">
        <v>55000</v>
      </c>
      <c r="H339">
        <v>2</v>
      </c>
      <c r="I339">
        <v>2</v>
      </c>
      <c r="J339">
        <v>3</v>
      </c>
      <c r="K339">
        <v>10</v>
      </c>
      <c r="L339">
        <v>761</v>
      </c>
      <c r="M339" t="s">
        <v>36</v>
      </c>
      <c r="N339" t="s">
        <v>15</v>
      </c>
      <c r="O339" t="s">
        <v>16</v>
      </c>
      <c r="P339" t="s">
        <v>23</v>
      </c>
      <c r="Q339" t="str">
        <f t="shared" si="41"/>
        <v>10</v>
      </c>
      <c r="R339" s="5">
        <v>46181</v>
      </c>
      <c r="S339" s="8">
        <f t="shared" si="42"/>
        <v>72.273324572930349</v>
      </c>
      <c r="T339">
        <f t="shared" si="43"/>
        <v>660000</v>
      </c>
      <c r="U339" t="str">
        <f t="shared" si="44"/>
        <v>Mid</v>
      </c>
      <c r="V339" t="str">
        <f t="shared" si="45"/>
        <v>Medium</v>
      </c>
      <c r="W339" t="str">
        <f>IF(S339 &lt; VLOOKUP(E339, Locality_Tier_Benchmarks!A:B, 2, FALSE) * 0.7, "Below Tier Range", "Normal")</f>
        <v>Normal</v>
      </c>
      <c r="X339" t="str">
        <f t="shared" si="46"/>
        <v>Normal</v>
      </c>
      <c r="Y339" t="str">
        <f t="shared" si="47"/>
        <v>Normal</v>
      </c>
      <c r="Z339" t="str">
        <f t="shared" si="40"/>
        <v>Pass</v>
      </c>
    </row>
    <row r="340" spans="1:26" x14ac:dyDescent="0.25">
      <c r="A340" s="2" t="s">
        <v>742</v>
      </c>
      <c r="B340" t="s">
        <v>17</v>
      </c>
      <c r="C340" t="s">
        <v>471</v>
      </c>
      <c r="D340" s="2" t="str">
        <f>VLOOKUP(C340,Locality_Reference!A:C,2,)</f>
        <v>Western Line</v>
      </c>
      <c r="E340" s="2" t="str">
        <f>VLOOKUP(C340,Locality_Reference!A:C,3,)</f>
        <v>Mid Suburb</v>
      </c>
      <c r="F340" s="2" t="s">
        <v>1107</v>
      </c>
      <c r="G340" s="8">
        <v>65000</v>
      </c>
      <c r="H340">
        <v>2</v>
      </c>
      <c r="I340">
        <v>2</v>
      </c>
      <c r="J340">
        <v>13</v>
      </c>
      <c r="K340">
        <v>23</v>
      </c>
      <c r="L340">
        <v>595</v>
      </c>
      <c r="M340" t="s">
        <v>33</v>
      </c>
      <c r="N340" t="s">
        <v>29</v>
      </c>
      <c r="O340" t="s">
        <v>16</v>
      </c>
      <c r="P340" t="s">
        <v>34</v>
      </c>
      <c r="Q340" t="str">
        <f t="shared" si="41"/>
        <v/>
      </c>
      <c r="R340" s="5">
        <v>46168</v>
      </c>
      <c r="S340" s="8">
        <f t="shared" si="42"/>
        <v>109.24369747899159</v>
      </c>
      <c r="T340">
        <f t="shared" si="43"/>
        <v>780000</v>
      </c>
      <c r="U340" t="str">
        <f t="shared" si="44"/>
        <v>Premium</v>
      </c>
      <c r="V340" t="str">
        <f t="shared" si="45"/>
        <v>Medium</v>
      </c>
      <c r="W340" t="str">
        <f>IF(S340 &lt; VLOOKUP(E340, Locality_Tier_Benchmarks!A:B, 2, FALSE) * 0.7, "Below Tier Range", "Normal")</f>
        <v>Normal</v>
      </c>
      <c r="X340" t="str">
        <f t="shared" si="46"/>
        <v>Normal</v>
      </c>
      <c r="Y340" t="str">
        <f t="shared" si="47"/>
        <v>Normal</v>
      </c>
      <c r="Z340" t="str">
        <f t="shared" si="40"/>
        <v>Pass</v>
      </c>
    </row>
    <row r="341" spans="1:26" x14ac:dyDescent="0.25">
      <c r="A341" s="2" t="s">
        <v>743</v>
      </c>
      <c r="B341" t="s">
        <v>17</v>
      </c>
      <c r="C341" t="s">
        <v>471</v>
      </c>
      <c r="D341" s="2" t="str">
        <f>VLOOKUP(C341,Locality_Reference!A:C,2,)</f>
        <v>Western Line</v>
      </c>
      <c r="E341" s="2" t="str">
        <f>VLOOKUP(C341,Locality_Reference!A:C,3,)</f>
        <v>Mid Suburb</v>
      </c>
      <c r="F341" s="2" t="s">
        <v>1112</v>
      </c>
      <c r="G341" s="8">
        <v>67000</v>
      </c>
      <c r="H341">
        <v>2</v>
      </c>
      <c r="I341">
        <v>2</v>
      </c>
      <c r="J341">
        <v>3</v>
      </c>
      <c r="K341">
        <v>6</v>
      </c>
      <c r="L341">
        <v>680</v>
      </c>
      <c r="M341" t="s">
        <v>14</v>
      </c>
      <c r="N341" t="s">
        <v>29</v>
      </c>
      <c r="O341" t="s">
        <v>16</v>
      </c>
      <c r="P341" t="s">
        <v>23</v>
      </c>
      <c r="Q341" t="str">
        <f t="shared" si="41"/>
        <v>10</v>
      </c>
      <c r="R341" s="5">
        <v>46148</v>
      </c>
      <c r="S341" s="8">
        <f t="shared" si="42"/>
        <v>98.529411764705884</v>
      </c>
      <c r="T341">
        <f t="shared" si="43"/>
        <v>804000</v>
      </c>
      <c r="U341" t="str">
        <f t="shared" si="44"/>
        <v>Premium</v>
      </c>
      <c r="V341" t="str">
        <f t="shared" si="45"/>
        <v>Medium</v>
      </c>
      <c r="W341" t="str">
        <f>IF(S341 &lt; VLOOKUP(E341, Locality_Tier_Benchmarks!A:B, 2, FALSE) * 0.7, "Below Tier Range", "Normal")</f>
        <v>Normal</v>
      </c>
      <c r="X341" t="str">
        <f t="shared" si="46"/>
        <v>Normal</v>
      </c>
      <c r="Y341" t="str">
        <f t="shared" si="47"/>
        <v>Normal</v>
      </c>
      <c r="Z341" t="str">
        <f t="shared" si="40"/>
        <v>Pass</v>
      </c>
    </row>
    <row r="342" spans="1:26" x14ac:dyDescent="0.25">
      <c r="A342" s="2" t="s">
        <v>744</v>
      </c>
      <c r="B342" t="s">
        <v>17</v>
      </c>
      <c r="C342" t="s">
        <v>471</v>
      </c>
      <c r="D342" s="2" t="str">
        <f>VLOOKUP(C342,Locality_Reference!A:C,2,)</f>
        <v>Western Line</v>
      </c>
      <c r="E342" s="2" t="str">
        <f>VLOOKUP(C342,Locality_Reference!A:C,3,)</f>
        <v>Mid Suburb</v>
      </c>
      <c r="F342" s="2" t="s">
        <v>1113</v>
      </c>
      <c r="G342" s="8">
        <v>65000</v>
      </c>
      <c r="H342">
        <v>2</v>
      </c>
      <c r="I342">
        <v>2</v>
      </c>
      <c r="J342">
        <v>4</v>
      </c>
      <c r="K342">
        <v>8</v>
      </c>
      <c r="L342">
        <v>550</v>
      </c>
      <c r="M342" t="s">
        <v>14</v>
      </c>
      <c r="N342" t="s">
        <v>29</v>
      </c>
      <c r="O342" t="s">
        <v>16</v>
      </c>
      <c r="P342" t="s">
        <v>23</v>
      </c>
      <c r="Q342" t="str">
        <f t="shared" si="41"/>
        <v>10</v>
      </c>
      <c r="R342" s="5">
        <v>46185</v>
      </c>
      <c r="S342" s="8">
        <f t="shared" si="42"/>
        <v>118.18181818181819</v>
      </c>
      <c r="T342">
        <f t="shared" si="43"/>
        <v>780000</v>
      </c>
      <c r="U342" t="str">
        <f t="shared" si="44"/>
        <v>Premium</v>
      </c>
      <c r="V342" t="str">
        <f t="shared" si="45"/>
        <v>Medium</v>
      </c>
      <c r="W342" t="str">
        <f>IF(S342 &lt; VLOOKUP(E342, Locality_Tier_Benchmarks!A:B, 2, FALSE) * 0.7, "Below Tier Range", "Normal")</f>
        <v>Normal</v>
      </c>
      <c r="X342" t="str">
        <f t="shared" si="46"/>
        <v>Normal</v>
      </c>
      <c r="Y342" t="str">
        <f t="shared" si="47"/>
        <v>Normal</v>
      </c>
      <c r="Z342" t="str">
        <f t="shared" si="40"/>
        <v>Pass</v>
      </c>
    </row>
    <row r="343" spans="1:26" x14ac:dyDescent="0.25">
      <c r="A343" s="2" t="s">
        <v>745</v>
      </c>
      <c r="B343" t="s">
        <v>17</v>
      </c>
      <c r="C343" t="s">
        <v>471</v>
      </c>
      <c r="D343" s="2" t="str">
        <f>VLOOKUP(C343,Locality_Reference!A:C,2,)</f>
        <v>Western Line</v>
      </c>
      <c r="E343" s="2" t="str">
        <f>VLOOKUP(C343,Locality_Reference!A:C,3,)</f>
        <v>Mid Suburb</v>
      </c>
      <c r="F343" s="2" t="s">
        <v>1111</v>
      </c>
      <c r="G343" s="8">
        <v>140000</v>
      </c>
      <c r="H343">
        <v>3</v>
      </c>
      <c r="I343">
        <v>3</v>
      </c>
      <c r="J343">
        <v>9</v>
      </c>
      <c r="K343">
        <v>27</v>
      </c>
      <c r="L343">
        <v>987</v>
      </c>
      <c r="M343" t="s">
        <v>14</v>
      </c>
      <c r="N343" t="s">
        <v>29</v>
      </c>
      <c r="O343" t="s">
        <v>16</v>
      </c>
      <c r="P343" t="s">
        <v>23</v>
      </c>
      <c r="Q343" t="str">
        <f t="shared" si="41"/>
        <v>10</v>
      </c>
      <c r="R343" s="5">
        <v>46150</v>
      </c>
      <c r="S343" s="8">
        <f t="shared" si="42"/>
        <v>141.84397163120568</v>
      </c>
      <c r="T343">
        <f t="shared" si="43"/>
        <v>1680000</v>
      </c>
      <c r="U343" t="str">
        <f t="shared" si="44"/>
        <v>Luxury</v>
      </c>
      <c r="V343" t="str">
        <f t="shared" si="45"/>
        <v>Large</v>
      </c>
      <c r="W343" t="str">
        <f>IF(S343 &lt; VLOOKUP(E343, Locality_Tier_Benchmarks!A:B, 2, FALSE) * 0.7, "Below Tier Range", "Normal")</f>
        <v>Normal</v>
      </c>
      <c r="X343" t="str">
        <f t="shared" si="46"/>
        <v>Normal</v>
      </c>
      <c r="Y343" t="str">
        <f t="shared" si="47"/>
        <v>Normal</v>
      </c>
      <c r="Z343" t="str">
        <f t="shared" si="40"/>
        <v>Pass</v>
      </c>
    </row>
    <row r="344" spans="1:26" x14ac:dyDescent="0.25">
      <c r="A344" s="2" t="s">
        <v>746</v>
      </c>
      <c r="B344" t="s">
        <v>17</v>
      </c>
      <c r="C344" t="s">
        <v>471</v>
      </c>
      <c r="D344" s="2" t="str">
        <f>VLOOKUP(C344,Locality_Reference!A:C,2,)</f>
        <v>Western Line</v>
      </c>
      <c r="E344" s="2" t="str">
        <f>VLOOKUP(C344,Locality_Reference!A:C,3,)</f>
        <v>Mid Suburb</v>
      </c>
      <c r="F344" s="2" t="s">
        <v>1114</v>
      </c>
      <c r="G344" s="8">
        <v>95000</v>
      </c>
      <c r="H344">
        <v>3</v>
      </c>
      <c r="I344">
        <v>3</v>
      </c>
      <c r="J344">
        <v>6</v>
      </c>
      <c r="K344">
        <v>11</v>
      </c>
      <c r="L344">
        <v>1150</v>
      </c>
      <c r="M344" t="s">
        <v>33</v>
      </c>
      <c r="N344" t="s">
        <v>15</v>
      </c>
      <c r="O344" t="s">
        <v>16</v>
      </c>
      <c r="P344" t="s">
        <v>34</v>
      </c>
      <c r="Q344" t="str">
        <f t="shared" si="41"/>
        <v/>
      </c>
      <c r="R344" s="5">
        <v>46200</v>
      </c>
      <c r="S344" s="8">
        <f t="shared" si="42"/>
        <v>82.608695652173907</v>
      </c>
      <c r="T344">
        <f t="shared" si="43"/>
        <v>1140000</v>
      </c>
      <c r="U344" t="str">
        <f t="shared" si="44"/>
        <v>Premium</v>
      </c>
      <c r="V344" t="str">
        <f t="shared" si="45"/>
        <v>Large</v>
      </c>
      <c r="W344" t="str">
        <f>IF(S344 &lt; VLOOKUP(E344, Locality_Tier_Benchmarks!A:B, 2, FALSE) * 0.7, "Below Tier Range", "Normal")</f>
        <v>Normal</v>
      </c>
      <c r="X344" t="str">
        <f t="shared" si="46"/>
        <v>Normal</v>
      </c>
      <c r="Y344" t="str">
        <f t="shared" si="47"/>
        <v>Normal</v>
      </c>
      <c r="Z344" t="str">
        <f t="shared" si="40"/>
        <v>Pass</v>
      </c>
    </row>
    <row r="345" spans="1:26" x14ac:dyDescent="0.25">
      <c r="A345" s="2" t="s">
        <v>747</v>
      </c>
      <c r="B345" t="s">
        <v>366</v>
      </c>
      <c r="C345" t="s">
        <v>471</v>
      </c>
      <c r="D345" s="2" t="str">
        <f>VLOOKUP(C345,Locality_Reference!A:C,2,)</f>
        <v>Western Line</v>
      </c>
      <c r="E345" s="2" t="str">
        <f>VLOOKUP(C345,Locality_Reference!A:C,3,)</f>
        <v>Mid Suburb</v>
      </c>
      <c r="F345" s="2" t="s">
        <v>1115</v>
      </c>
      <c r="G345" s="8">
        <v>130000</v>
      </c>
      <c r="H345">
        <v>3</v>
      </c>
      <c r="I345">
        <v>3</v>
      </c>
      <c r="J345">
        <v>11</v>
      </c>
      <c r="K345">
        <v>12</v>
      </c>
      <c r="L345">
        <v>1060</v>
      </c>
      <c r="M345" t="s">
        <v>14</v>
      </c>
      <c r="N345" t="s">
        <v>29</v>
      </c>
      <c r="O345" t="s">
        <v>16</v>
      </c>
      <c r="P345" t="s">
        <v>52</v>
      </c>
      <c r="Q345" t="str">
        <f t="shared" si="41"/>
        <v>7.5</v>
      </c>
      <c r="R345" s="5">
        <v>46170</v>
      </c>
      <c r="S345" s="8">
        <f t="shared" si="42"/>
        <v>122.64150943396227</v>
      </c>
      <c r="T345">
        <f t="shared" si="43"/>
        <v>1560000</v>
      </c>
      <c r="U345" t="str">
        <f t="shared" si="44"/>
        <v>Luxury</v>
      </c>
      <c r="V345" t="str">
        <f t="shared" si="45"/>
        <v>Large</v>
      </c>
      <c r="W345" t="str">
        <f>IF(S345 &lt; VLOOKUP(E345, Locality_Tier_Benchmarks!A:B, 2, FALSE) * 0.7, "Below Tier Range", "Normal")</f>
        <v>Normal</v>
      </c>
      <c r="X345" t="str">
        <f t="shared" si="46"/>
        <v>Normal</v>
      </c>
      <c r="Y345" t="str">
        <f t="shared" si="47"/>
        <v>Normal</v>
      </c>
      <c r="Z345" t="str">
        <f t="shared" si="40"/>
        <v>Pass</v>
      </c>
    </row>
    <row r="346" spans="1:26" x14ac:dyDescent="0.25">
      <c r="A346" s="2" t="s">
        <v>748</v>
      </c>
      <c r="B346" t="s">
        <v>366</v>
      </c>
      <c r="C346" t="s">
        <v>471</v>
      </c>
      <c r="D346" s="2" t="str">
        <f>VLOOKUP(C346,Locality_Reference!A:C,2,)</f>
        <v>Western Line</v>
      </c>
      <c r="E346" s="2" t="str">
        <f>VLOOKUP(C346,Locality_Reference!A:C,3,)</f>
        <v>Mid Suburb</v>
      </c>
      <c r="F346" s="2" t="s">
        <v>1116</v>
      </c>
      <c r="G346" s="8">
        <v>130000</v>
      </c>
      <c r="H346">
        <v>3</v>
      </c>
      <c r="I346">
        <v>2</v>
      </c>
      <c r="J346">
        <v>12</v>
      </c>
      <c r="K346">
        <v>27</v>
      </c>
      <c r="L346">
        <v>985</v>
      </c>
      <c r="M346" t="s">
        <v>33</v>
      </c>
      <c r="N346" t="s">
        <v>29</v>
      </c>
      <c r="O346" t="s">
        <v>16</v>
      </c>
      <c r="P346" t="s">
        <v>31</v>
      </c>
      <c r="Q346" t="str">
        <f t="shared" si="41"/>
        <v>3</v>
      </c>
      <c r="R346" s="5">
        <v>46179</v>
      </c>
      <c r="S346" s="8">
        <f t="shared" si="42"/>
        <v>131.97969543147209</v>
      </c>
      <c r="T346">
        <f t="shared" si="43"/>
        <v>1560000</v>
      </c>
      <c r="U346" t="str">
        <f t="shared" si="44"/>
        <v>Luxury</v>
      </c>
      <c r="V346" t="str">
        <f t="shared" si="45"/>
        <v>Large</v>
      </c>
      <c r="W346" t="str">
        <f>IF(S346 &lt; VLOOKUP(E346, Locality_Tier_Benchmarks!A:B, 2, FALSE) * 0.7, "Below Tier Range", "Normal")</f>
        <v>Normal</v>
      </c>
      <c r="X346" t="str">
        <f t="shared" si="46"/>
        <v>Normal</v>
      </c>
      <c r="Y346" t="str">
        <f t="shared" si="47"/>
        <v>Normal</v>
      </c>
      <c r="Z346" t="str">
        <f t="shared" si="40"/>
        <v>Pass</v>
      </c>
    </row>
    <row r="347" spans="1:26" x14ac:dyDescent="0.25">
      <c r="A347" s="2" t="s">
        <v>749</v>
      </c>
      <c r="B347" t="s">
        <v>17</v>
      </c>
      <c r="C347" t="s">
        <v>470</v>
      </c>
      <c r="D347" s="2" t="str">
        <f>VLOOKUP(C347,Locality_Reference!A:C,2,)</f>
        <v>Western Line</v>
      </c>
      <c r="E347" s="2" t="str">
        <f>VLOOKUP(C347,Locality_Reference!A:C,3,)</f>
        <v>Mid Suburb</v>
      </c>
      <c r="F347" s="2" t="s">
        <v>1117</v>
      </c>
      <c r="G347" s="8">
        <v>36000</v>
      </c>
      <c r="H347">
        <v>1</v>
      </c>
      <c r="I347">
        <v>1</v>
      </c>
      <c r="J347">
        <v>3</v>
      </c>
      <c r="K347">
        <v>7</v>
      </c>
      <c r="L347">
        <v>425</v>
      </c>
      <c r="M347" t="s">
        <v>36</v>
      </c>
      <c r="N347" t="s">
        <v>29</v>
      </c>
      <c r="O347" t="s">
        <v>16</v>
      </c>
      <c r="P347" t="s">
        <v>23</v>
      </c>
      <c r="Q347" t="str">
        <f t="shared" si="41"/>
        <v>10</v>
      </c>
      <c r="R347" s="5">
        <v>46202</v>
      </c>
      <c r="S347" s="8">
        <f t="shared" si="42"/>
        <v>84.705882352941174</v>
      </c>
      <c r="T347">
        <f t="shared" si="43"/>
        <v>432000</v>
      </c>
      <c r="U347" t="str">
        <f t="shared" si="44"/>
        <v>Mid</v>
      </c>
      <c r="V347" t="str">
        <f t="shared" si="45"/>
        <v>Compact</v>
      </c>
      <c r="W347" t="str">
        <f>IF(S347 &lt; VLOOKUP(E347, Locality_Tier_Benchmarks!A:B, 2, FALSE) * 0.7, "Below Tier Range", "Normal")</f>
        <v>Normal</v>
      </c>
      <c r="X347" t="str">
        <f t="shared" si="46"/>
        <v>Normal</v>
      </c>
      <c r="Y347" t="str">
        <f t="shared" si="47"/>
        <v>Normal</v>
      </c>
      <c r="Z347" t="str">
        <f t="shared" si="40"/>
        <v>Pass</v>
      </c>
    </row>
    <row r="348" spans="1:26" x14ac:dyDescent="0.25">
      <c r="A348" s="2" t="s">
        <v>750</v>
      </c>
      <c r="B348" t="s">
        <v>17</v>
      </c>
      <c r="C348" t="s">
        <v>470</v>
      </c>
      <c r="D348" s="2" t="str">
        <f>VLOOKUP(C348,Locality_Reference!A:C,2,)</f>
        <v>Western Line</v>
      </c>
      <c r="E348" s="2" t="str">
        <f>VLOOKUP(C348,Locality_Reference!A:C,3,)</f>
        <v>Mid Suburb</v>
      </c>
      <c r="F348" s="2" t="s">
        <v>1118</v>
      </c>
      <c r="G348" s="8">
        <v>47000</v>
      </c>
      <c r="H348">
        <v>1</v>
      </c>
      <c r="I348">
        <v>2</v>
      </c>
      <c r="J348">
        <v>10</v>
      </c>
      <c r="K348">
        <v>22</v>
      </c>
      <c r="L348">
        <v>468</v>
      </c>
      <c r="M348" t="s">
        <v>33</v>
      </c>
      <c r="N348" t="s">
        <v>15</v>
      </c>
      <c r="O348" t="s">
        <v>16</v>
      </c>
      <c r="P348" t="s">
        <v>34</v>
      </c>
      <c r="Q348" t="str">
        <f t="shared" si="41"/>
        <v/>
      </c>
      <c r="R348" s="5">
        <v>46196</v>
      </c>
      <c r="S348" s="8">
        <f t="shared" si="42"/>
        <v>100.42735042735043</v>
      </c>
      <c r="T348">
        <f t="shared" si="43"/>
        <v>564000</v>
      </c>
      <c r="U348" t="str">
        <f t="shared" si="44"/>
        <v>Mid</v>
      </c>
      <c r="V348" t="str">
        <f t="shared" si="45"/>
        <v>Compact</v>
      </c>
      <c r="W348" t="str">
        <f>IF(S348 &lt; VLOOKUP(E348, Locality_Tier_Benchmarks!A:B, 2, FALSE) * 0.7, "Below Tier Range", "Normal")</f>
        <v>Normal</v>
      </c>
      <c r="X348" t="str">
        <f t="shared" si="46"/>
        <v>Normal</v>
      </c>
      <c r="Y348" t="str">
        <f t="shared" si="47"/>
        <v>Normal</v>
      </c>
      <c r="Z348" t="str">
        <f t="shared" si="40"/>
        <v>Pass</v>
      </c>
    </row>
    <row r="349" spans="1:26" x14ac:dyDescent="0.25">
      <c r="A349" s="2" t="s">
        <v>751</v>
      </c>
      <c r="B349" t="s">
        <v>17</v>
      </c>
      <c r="C349" t="s">
        <v>470</v>
      </c>
      <c r="D349" s="2" t="str">
        <f>VLOOKUP(C349,Locality_Reference!A:C,2,)</f>
        <v>Western Line</v>
      </c>
      <c r="E349" s="2" t="str">
        <f>VLOOKUP(C349,Locality_Reference!A:C,3,)</f>
        <v>Mid Suburb</v>
      </c>
      <c r="F349" s="2" t="s">
        <v>1119</v>
      </c>
      <c r="G349" s="8">
        <v>48000</v>
      </c>
      <c r="H349">
        <v>1</v>
      </c>
      <c r="I349">
        <v>2</v>
      </c>
      <c r="J349">
        <v>11</v>
      </c>
      <c r="K349">
        <v>23</v>
      </c>
      <c r="L349">
        <v>475</v>
      </c>
      <c r="M349" t="s">
        <v>36</v>
      </c>
      <c r="N349" t="s">
        <v>15</v>
      </c>
      <c r="O349" t="s">
        <v>16</v>
      </c>
      <c r="P349" t="s">
        <v>47</v>
      </c>
      <c r="Q349" t="str">
        <f t="shared" si="41"/>
        <v>1</v>
      </c>
      <c r="R349" s="5">
        <v>46200</v>
      </c>
      <c r="S349" s="8">
        <f t="shared" si="42"/>
        <v>101.05263157894737</v>
      </c>
      <c r="T349">
        <f t="shared" si="43"/>
        <v>576000</v>
      </c>
      <c r="U349" t="str">
        <f t="shared" si="44"/>
        <v>Mid</v>
      </c>
      <c r="V349" t="str">
        <f t="shared" si="45"/>
        <v>Compact</v>
      </c>
      <c r="W349" t="str">
        <f>IF(S349 &lt; VLOOKUP(E349, Locality_Tier_Benchmarks!A:B, 2, FALSE) * 0.7, "Below Tier Range", "Normal")</f>
        <v>Normal</v>
      </c>
      <c r="X349" t="str">
        <f t="shared" si="46"/>
        <v>Normal</v>
      </c>
      <c r="Y349" t="str">
        <f t="shared" si="47"/>
        <v>Normal</v>
      </c>
      <c r="Z349" t="str">
        <f t="shared" si="40"/>
        <v>Pass</v>
      </c>
    </row>
    <row r="350" spans="1:26" x14ac:dyDescent="0.25">
      <c r="A350" s="2" t="s">
        <v>752</v>
      </c>
      <c r="B350" t="s">
        <v>17</v>
      </c>
      <c r="C350" t="s">
        <v>470</v>
      </c>
      <c r="D350" s="2" t="str">
        <f>VLOOKUP(C350,Locality_Reference!A:C,2,)</f>
        <v>Western Line</v>
      </c>
      <c r="E350" s="2" t="str">
        <f>VLOOKUP(C350,Locality_Reference!A:C,3,)</f>
        <v>Mid Suburb</v>
      </c>
      <c r="F350" s="2" t="s">
        <v>1120</v>
      </c>
      <c r="G350" s="8">
        <v>43000</v>
      </c>
      <c r="H350">
        <v>1</v>
      </c>
      <c r="I350">
        <v>2</v>
      </c>
      <c r="J350">
        <v>10</v>
      </c>
      <c r="K350">
        <v>22</v>
      </c>
      <c r="L350">
        <v>420</v>
      </c>
      <c r="M350" t="s">
        <v>36</v>
      </c>
      <c r="N350" t="s">
        <v>15</v>
      </c>
      <c r="O350" t="s">
        <v>16</v>
      </c>
      <c r="P350" t="s">
        <v>34</v>
      </c>
      <c r="Q350" t="str">
        <f t="shared" si="41"/>
        <v/>
      </c>
      <c r="R350" s="5">
        <v>46200</v>
      </c>
      <c r="S350" s="8">
        <f t="shared" si="42"/>
        <v>102.38095238095238</v>
      </c>
      <c r="T350">
        <f t="shared" si="43"/>
        <v>516000</v>
      </c>
      <c r="U350" t="str">
        <f t="shared" si="44"/>
        <v>Mid</v>
      </c>
      <c r="V350" t="str">
        <f t="shared" si="45"/>
        <v>Compact</v>
      </c>
      <c r="W350" t="str">
        <f>IF(S350 &lt; VLOOKUP(E350, Locality_Tier_Benchmarks!A:B, 2, FALSE) * 0.7, "Below Tier Range", "Normal")</f>
        <v>Normal</v>
      </c>
      <c r="X350" t="str">
        <f t="shared" si="46"/>
        <v>Normal</v>
      </c>
      <c r="Y350" t="str">
        <f t="shared" si="47"/>
        <v>Normal</v>
      </c>
      <c r="Z350" t="str">
        <f t="shared" si="40"/>
        <v>Pass</v>
      </c>
    </row>
    <row r="351" spans="1:26" x14ac:dyDescent="0.25">
      <c r="A351" s="2" t="s">
        <v>753</v>
      </c>
      <c r="B351" t="s">
        <v>17</v>
      </c>
      <c r="C351" t="s">
        <v>470</v>
      </c>
      <c r="D351" s="2" t="str">
        <f>VLOOKUP(C351,Locality_Reference!A:C,2,)</f>
        <v>Western Line</v>
      </c>
      <c r="E351" s="2" t="str">
        <f>VLOOKUP(C351,Locality_Reference!A:C,3,)</f>
        <v>Mid Suburb</v>
      </c>
      <c r="F351" s="2" t="s">
        <v>1121</v>
      </c>
      <c r="G351" s="8">
        <v>48000</v>
      </c>
      <c r="H351">
        <v>1</v>
      </c>
      <c r="I351">
        <v>2</v>
      </c>
      <c r="J351">
        <v>1</v>
      </c>
      <c r="K351">
        <v>21</v>
      </c>
      <c r="L351">
        <v>353</v>
      </c>
      <c r="M351" t="s">
        <v>36</v>
      </c>
      <c r="N351" t="s">
        <v>29</v>
      </c>
      <c r="O351" t="s">
        <v>16</v>
      </c>
      <c r="P351" t="s">
        <v>31</v>
      </c>
      <c r="Q351" t="str">
        <f t="shared" si="41"/>
        <v>3</v>
      </c>
      <c r="R351" s="5">
        <v>46167</v>
      </c>
      <c r="S351" s="8">
        <f t="shared" si="42"/>
        <v>135.97733711048159</v>
      </c>
      <c r="T351">
        <f t="shared" si="43"/>
        <v>576000</v>
      </c>
      <c r="U351" t="str">
        <f t="shared" si="44"/>
        <v>Mid</v>
      </c>
      <c r="V351" t="str">
        <f t="shared" si="45"/>
        <v>Compact</v>
      </c>
      <c r="W351" t="str">
        <f>IF(S351 &lt; VLOOKUP(E351, Locality_Tier_Benchmarks!A:B, 2, FALSE) * 0.7, "Below Tier Range", "Normal")</f>
        <v>Normal</v>
      </c>
      <c r="X351" t="str">
        <f t="shared" si="46"/>
        <v>Normal</v>
      </c>
      <c r="Y351" t="str">
        <f t="shared" si="47"/>
        <v>Normal</v>
      </c>
      <c r="Z351" t="str">
        <f t="shared" si="40"/>
        <v>Pass</v>
      </c>
    </row>
    <row r="352" spans="1:26" x14ac:dyDescent="0.25">
      <c r="A352" s="2" t="s">
        <v>754</v>
      </c>
      <c r="B352" t="s">
        <v>17</v>
      </c>
      <c r="C352" t="s">
        <v>470</v>
      </c>
      <c r="D352" s="2" t="str">
        <f>VLOOKUP(C352,Locality_Reference!A:C,2,)</f>
        <v>Western Line</v>
      </c>
      <c r="E352" s="2" t="str">
        <f>VLOOKUP(C352,Locality_Reference!A:C,3,)</f>
        <v>Mid Suburb</v>
      </c>
      <c r="F352" s="2" t="s">
        <v>1122</v>
      </c>
      <c r="G352" s="8">
        <v>62000</v>
      </c>
      <c r="H352">
        <v>2</v>
      </c>
      <c r="I352">
        <v>2</v>
      </c>
      <c r="J352">
        <v>20</v>
      </c>
      <c r="K352">
        <v>41</v>
      </c>
      <c r="L352">
        <v>648</v>
      </c>
      <c r="M352" t="s">
        <v>36</v>
      </c>
      <c r="N352" t="s">
        <v>29</v>
      </c>
      <c r="O352" t="s">
        <v>16</v>
      </c>
      <c r="P352" t="s">
        <v>31</v>
      </c>
      <c r="Q352" t="str">
        <f t="shared" si="41"/>
        <v>3</v>
      </c>
      <c r="R352" s="5">
        <v>46182</v>
      </c>
      <c r="S352" s="8">
        <f t="shared" si="42"/>
        <v>95.679012345679013</v>
      </c>
      <c r="T352">
        <f t="shared" si="43"/>
        <v>744000</v>
      </c>
      <c r="U352" t="str">
        <f t="shared" si="44"/>
        <v>Premium</v>
      </c>
      <c r="V352" t="str">
        <f t="shared" si="45"/>
        <v>Medium</v>
      </c>
      <c r="W352" t="str">
        <f>IF(S352 &lt; VLOOKUP(E352, Locality_Tier_Benchmarks!A:B, 2, FALSE) * 0.7, "Below Tier Range", "Normal")</f>
        <v>Normal</v>
      </c>
      <c r="X352" t="str">
        <f t="shared" si="46"/>
        <v>Normal</v>
      </c>
      <c r="Y352" t="str">
        <f t="shared" si="47"/>
        <v>Normal</v>
      </c>
      <c r="Z352" t="str">
        <f t="shared" si="40"/>
        <v>Pass</v>
      </c>
    </row>
    <row r="353" spans="1:26" x14ac:dyDescent="0.25">
      <c r="A353" s="2" t="s">
        <v>755</v>
      </c>
      <c r="B353" t="s">
        <v>17</v>
      </c>
      <c r="C353" t="s">
        <v>470</v>
      </c>
      <c r="D353" s="2" t="str">
        <f>VLOOKUP(C353,Locality_Reference!A:C,2,)</f>
        <v>Western Line</v>
      </c>
      <c r="E353" s="2" t="str">
        <f>VLOOKUP(C353,Locality_Reference!A:C,3,)</f>
        <v>Mid Suburb</v>
      </c>
      <c r="F353" s="2" t="s">
        <v>1123</v>
      </c>
      <c r="G353" s="8">
        <v>100000</v>
      </c>
      <c r="H353">
        <v>2</v>
      </c>
      <c r="I353">
        <v>2</v>
      </c>
      <c r="J353">
        <v>32</v>
      </c>
      <c r="K353">
        <v>40</v>
      </c>
      <c r="L353">
        <v>703</v>
      </c>
      <c r="M353" t="s">
        <v>14</v>
      </c>
      <c r="N353" t="s">
        <v>29</v>
      </c>
      <c r="O353" t="s">
        <v>16</v>
      </c>
      <c r="P353" t="s">
        <v>47</v>
      </c>
      <c r="Q353" t="str">
        <f t="shared" si="41"/>
        <v>1</v>
      </c>
      <c r="R353" s="5">
        <v>46201</v>
      </c>
      <c r="S353" s="8">
        <f t="shared" si="42"/>
        <v>142.24751066856331</v>
      </c>
      <c r="T353">
        <f t="shared" si="43"/>
        <v>1200000</v>
      </c>
      <c r="U353" t="str">
        <f t="shared" si="44"/>
        <v>Premium</v>
      </c>
      <c r="V353" t="str">
        <f t="shared" si="45"/>
        <v>Medium</v>
      </c>
      <c r="W353" t="str">
        <f>IF(S353 &lt; VLOOKUP(E353, Locality_Tier_Benchmarks!A:B, 2, FALSE) * 0.7, "Below Tier Range", "Normal")</f>
        <v>Normal</v>
      </c>
      <c r="X353" t="str">
        <f t="shared" si="46"/>
        <v>Normal</v>
      </c>
      <c r="Y353" t="str">
        <f t="shared" si="47"/>
        <v>Normal</v>
      </c>
      <c r="Z353" t="str">
        <f t="shared" si="40"/>
        <v>Pass</v>
      </c>
    </row>
    <row r="354" spans="1:26" x14ac:dyDescent="0.25">
      <c r="A354" s="2" t="s">
        <v>756</v>
      </c>
      <c r="B354" t="s">
        <v>17</v>
      </c>
      <c r="C354" t="s">
        <v>470</v>
      </c>
      <c r="D354" s="2" t="str">
        <f>VLOOKUP(C354,Locality_Reference!A:C,2,)</f>
        <v>Western Line</v>
      </c>
      <c r="E354" s="2" t="str">
        <f>VLOOKUP(C354,Locality_Reference!A:C,3,)</f>
        <v>Mid Suburb</v>
      </c>
      <c r="F354" s="2" t="s">
        <v>1124</v>
      </c>
      <c r="G354" s="8">
        <v>55000</v>
      </c>
      <c r="H354">
        <v>2</v>
      </c>
      <c r="I354">
        <v>2</v>
      </c>
      <c r="J354">
        <v>1</v>
      </c>
      <c r="K354">
        <v>7</v>
      </c>
      <c r="L354">
        <v>500</v>
      </c>
      <c r="M354" t="s">
        <v>14</v>
      </c>
      <c r="N354" t="s">
        <v>29</v>
      </c>
      <c r="O354" t="s">
        <v>16</v>
      </c>
      <c r="P354" t="s">
        <v>23</v>
      </c>
      <c r="Q354" t="str">
        <f t="shared" si="41"/>
        <v>10</v>
      </c>
      <c r="R354" s="5">
        <v>46194</v>
      </c>
      <c r="S354" s="8">
        <f t="shared" si="42"/>
        <v>110</v>
      </c>
      <c r="T354">
        <f t="shared" si="43"/>
        <v>660000</v>
      </c>
      <c r="U354" t="str">
        <f t="shared" si="44"/>
        <v>Mid</v>
      </c>
      <c r="V354" t="str">
        <f t="shared" si="45"/>
        <v>Compact</v>
      </c>
      <c r="W354" t="str">
        <f>IF(S354 &lt; VLOOKUP(E354, Locality_Tier_Benchmarks!A:B, 2, FALSE) * 0.7, "Below Tier Range", "Normal")</f>
        <v>Normal</v>
      </c>
      <c r="X354" t="str">
        <f t="shared" si="46"/>
        <v>Normal</v>
      </c>
      <c r="Y354" t="str">
        <f t="shared" si="47"/>
        <v>Normal</v>
      </c>
      <c r="Z354" t="str">
        <f t="shared" si="40"/>
        <v>Pass</v>
      </c>
    </row>
    <row r="355" spans="1:26" x14ac:dyDescent="0.25">
      <c r="A355" s="2" t="s">
        <v>757</v>
      </c>
      <c r="B355" t="s">
        <v>17</v>
      </c>
      <c r="C355" t="s">
        <v>470</v>
      </c>
      <c r="D355" s="2" t="str">
        <f>VLOOKUP(C355,Locality_Reference!A:C,2,)</f>
        <v>Western Line</v>
      </c>
      <c r="E355" s="2" t="str">
        <f>VLOOKUP(C355,Locality_Reference!A:C,3,)</f>
        <v>Mid Suburb</v>
      </c>
      <c r="F355" s="2" t="s">
        <v>1120</v>
      </c>
      <c r="G355" s="8">
        <v>70000</v>
      </c>
      <c r="H355">
        <v>2</v>
      </c>
      <c r="I355">
        <v>2</v>
      </c>
      <c r="J355">
        <v>18</v>
      </c>
      <c r="K355">
        <v>22</v>
      </c>
      <c r="L355">
        <v>820</v>
      </c>
      <c r="M355" t="s">
        <v>14</v>
      </c>
      <c r="N355" t="s">
        <v>29</v>
      </c>
      <c r="O355" t="s">
        <v>16</v>
      </c>
      <c r="P355" t="s">
        <v>34</v>
      </c>
      <c r="Q355" t="str">
        <f t="shared" si="41"/>
        <v/>
      </c>
      <c r="R355" s="5">
        <v>46191</v>
      </c>
      <c r="S355" s="8">
        <f t="shared" si="42"/>
        <v>85.365853658536579</v>
      </c>
      <c r="T355">
        <f t="shared" si="43"/>
        <v>840000</v>
      </c>
      <c r="U355" t="str">
        <f t="shared" si="44"/>
        <v>Premium</v>
      </c>
      <c r="V355" t="str">
        <f t="shared" si="45"/>
        <v>Large</v>
      </c>
      <c r="W355" t="str">
        <f>IF(S355 &lt; VLOOKUP(E355, Locality_Tier_Benchmarks!A:B, 2, FALSE) * 0.7, "Below Tier Range", "Normal")</f>
        <v>Normal</v>
      </c>
      <c r="X355" t="str">
        <f t="shared" si="46"/>
        <v>Normal</v>
      </c>
      <c r="Y355" t="str">
        <f t="shared" si="47"/>
        <v>Normal</v>
      </c>
      <c r="Z355" t="str">
        <f t="shared" si="40"/>
        <v>Pass</v>
      </c>
    </row>
    <row r="356" spans="1:26" x14ac:dyDescent="0.25">
      <c r="A356" s="2" t="s">
        <v>758</v>
      </c>
      <c r="B356" t="s">
        <v>17</v>
      </c>
      <c r="C356" t="s">
        <v>470</v>
      </c>
      <c r="D356" s="2" t="str">
        <f>VLOOKUP(C356,Locality_Reference!A:C,2,)</f>
        <v>Western Line</v>
      </c>
      <c r="E356" s="2" t="str">
        <f>VLOOKUP(C356,Locality_Reference!A:C,3,)</f>
        <v>Mid Suburb</v>
      </c>
      <c r="F356" s="2" t="s">
        <v>1125</v>
      </c>
      <c r="G356" s="8">
        <v>65000</v>
      </c>
      <c r="H356">
        <v>2</v>
      </c>
      <c r="I356">
        <v>2</v>
      </c>
      <c r="J356">
        <v>22</v>
      </c>
      <c r="K356">
        <v>24</v>
      </c>
      <c r="L356">
        <v>597</v>
      </c>
      <c r="M356" t="s">
        <v>33</v>
      </c>
      <c r="N356" t="s">
        <v>29</v>
      </c>
      <c r="O356" t="s">
        <v>16</v>
      </c>
      <c r="P356" t="s">
        <v>47</v>
      </c>
      <c r="Q356" t="str">
        <f t="shared" si="41"/>
        <v>1</v>
      </c>
      <c r="R356" s="5">
        <v>46154</v>
      </c>
      <c r="S356" s="8">
        <f t="shared" si="42"/>
        <v>108.87772194304857</v>
      </c>
      <c r="T356">
        <f t="shared" si="43"/>
        <v>780000</v>
      </c>
      <c r="U356" t="str">
        <f t="shared" si="44"/>
        <v>Premium</v>
      </c>
      <c r="V356" t="str">
        <f t="shared" si="45"/>
        <v>Medium</v>
      </c>
      <c r="W356" t="str">
        <f>IF(S356 &lt; VLOOKUP(E356, Locality_Tier_Benchmarks!A:B, 2, FALSE) * 0.7, "Below Tier Range", "Normal")</f>
        <v>Normal</v>
      </c>
      <c r="X356" t="str">
        <f t="shared" si="46"/>
        <v>Normal</v>
      </c>
      <c r="Y356" t="str">
        <f t="shared" si="47"/>
        <v>Normal</v>
      </c>
      <c r="Z356" t="str">
        <f t="shared" si="40"/>
        <v>Pass</v>
      </c>
    </row>
    <row r="357" spans="1:26" x14ac:dyDescent="0.25">
      <c r="A357" s="2" t="s">
        <v>759</v>
      </c>
      <c r="B357" t="s">
        <v>17</v>
      </c>
      <c r="C357" t="s">
        <v>470</v>
      </c>
      <c r="D357" s="2" t="str">
        <f>VLOOKUP(C357,Locality_Reference!A:C,2,)</f>
        <v>Western Line</v>
      </c>
      <c r="E357" s="2" t="str">
        <f>VLOOKUP(C357,Locality_Reference!A:C,3,)</f>
        <v>Mid Suburb</v>
      </c>
      <c r="F357" s="2" t="s">
        <v>1126</v>
      </c>
      <c r="G357" s="8">
        <v>230000</v>
      </c>
      <c r="H357">
        <v>3</v>
      </c>
      <c r="I357">
        <v>3</v>
      </c>
      <c r="J357">
        <v>20</v>
      </c>
      <c r="K357">
        <v>40</v>
      </c>
      <c r="L357">
        <v>1100</v>
      </c>
      <c r="M357" t="s">
        <v>14</v>
      </c>
      <c r="N357" t="s">
        <v>15</v>
      </c>
      <c r="O357" t="s">
        <v>16</v>
      </c>
      <c r="P357" t="s">
        <v>34</v>
      </c>
      <c r="Q357" t="str">
        <f t="shared" si="41"/>
        <v/>
      </c>
      <c r="R357" s="5">
        <v>46198</v>
      </c>
      <c r="S357" s="8">
        <f t="shared" si="42"/>
        <v>209.09090909090909</v>
      </c>
      <c r="T357">
        <f t="shared" si="43"/>
        <v>2760000</v>
      </c>
      <c r="U357" t="str">
        <f t="shared" si="44"/>
        <v>Luxury</v>
      </c>
      <c r="V357" t="str">
        <f t="shared" si="45"/>
        <v>Large</v>
      </c>
      <c r="W357" t="str">
        <f>IF(S357 &lt; VLOOKUP(E357, Locality_Tier_Benchmarks!A:B, 2, FALSE) * 0.7, "Below Tier Range", "Normal")</f>
        <v>Normal</v>
      </c>
      <c r="X357" t="str">
        <f t="shared" si="46"/>
        <v>Normal</v>
      </c>
      <c r="Y357" t="str">
        <f t="shared" si="47"/>
        <v>Normal</v>
      </c>
      <c r="Z357" t="str">
        <f t="shared" si="40"/>
        <v>Pass</v>
      </c>
    </row>
    <row r="358" spans="1:26" x14ac:dyDescent="0.25">
      <c r="A358" s="2" t="s">
        <v>760</v>
      </c>
      <c r="B358" t="s">
        <v>17</v>
      </c>
      <c r="C358" t="s">
        <v>470</v>
      </c>
      <c r="D358" s="2" t="str">
        <f>VLOOKUP(C358,Locality_Reference!A:C,2,)</f>
        <v>Western Line</v>
      </c>
      <c r="E358" s="2" t="str">
        <f>VLOOKUP(C358,Locality_Reference!A:C,3,)</f>
        <v>Mid Suburb</v>
      </c>
      <c r="F358" s="2" t="s">
        <v>1127</v>
      </c>
      <c r="G358" s="8">
        <v>180000</v>
      </c>
      <c r="H358">
        <v>3</v>
      </c>
      <c r="I358">
        <v>3</v>
      </c>
      <c r="J358">
        <v>13</v>
      </c>
      <c r="K358">
        <v>19</v>
      </c>
      <c r="L358">
        <v>1400</v>
      </c>
      <c r="M358" t="s">
        <v>14</v>
      </c>
      <c r="N358" t="s">
        <v>15</v>
      </c>
      <c r="O358" t="s">
        <v>16</v>
      </c>
      <c r="P358" t="s">
        <v>34</v>
      </c>
      <c r="Q358" t="str">
        <f t="shared" si="41"/>
        <v/>
      </c>
      <c r="R358" s="5">
        <v>46194</v>
      </c>
      <c r="S358" s="8">
        <f t="shared" si="42"/>
        <v>128.57142857142858</v>
      </c>
      <c r="T358">
        <f t="shared" si="43"/>
        <v>2160000</v>
      </c>
      <c r="U358" t="str">
        <f t="shared" si="44"/>
        <v>Luxury</v>
      </c>
      <c r="V358" t="str">
        <f t="shared" si="45"/>
        <v>Spacious</v>
      </c>
      <c r="W358" t="str">
        <f>IF(S358 &lt; VLOOKUP(E358, Locality_Tier_Benchmarks!A:B, 2, FALSE) * 0.7, "Below Tier Range", "Normal")</f>
        <v>Normal</v>
      </c>
      <c r="X358" t="str">
        <f t="shared" si="46"/>
        <v>Normal</v>
      </c>
      <c r="Y358" t="str">
        <f t="shared" si="47"/>
        <v>Normal</v>
      </c>
      <c r="Z358" t="str">
        <f t="shared" si="40"/>
        <v>Pass</v>
      </c>
    </row>
    <row r="359" spans="1:26" x14ac:dyDescent="0.25">
      <c r="A359" s="2" t="s">
        <v>761</v>
      </c>
      <c r="B359" t="s">
        <v>17</v>
      </c>
      <c r="C359" t="s">
        <v>470</v>
      </c>
      <c r="D359" s="2" t="str">
        <f>VLOOKUP(C359,Locality_Reference!A:C,2,)</f>
        <v>Western Line</v>
      </c>
      <c r="E359" s="2" t="str">
        <f>VLOOKUP(C359,Locality_Reference!A:C,3,)</f>
        <v>Mid Suburb</v>
      </c>
      <c r="F359" s="2" t="s">
        <v>1128</v>
      </c>
      <c r="G359" s="8">
        <v>165000</v>
      </c>
      <c r="H359">
        <v>3</v>
      </c>
      <c r="I359">
        <v>3</v>
      </c>
      <c r="J359">
        <v>17</v>
      </c>
      <c r="K359">
        <v>34</v>
      </c>
      <c r="L359">
        <v>1210</v>
      </c>
      <c r="M359" t="s">
        <v>33</v>
      </c>
      <c r="N359" t="s">
        <v>29</v>
      </c>
      <c r="O359" t="s">
        <v>16</v>
      </c>
      <c r="P359" t="s">
        <v>47</v>
      </c>
      <c r="Q359" t="str">
        <f t="shared" si="41"/>
        <v>1</v>
      </c>
      <c r="R359" s="5">
        <v>46155</v>
      </c>
      <c r="S359" s="8">
        <f t="shared" si="42"/>
        <v>136.36363636363637</v>
      </c>
      <c r="T359">
        <f t="shared" si="43"/>
        <v>1980000</v>
      </c>
      <c r="U359" t="str">
        <f t="shared" si="44"/>
        <v>Luxury</v>
      </c>
      <c r="V359" t="str">
        <f t="shared" si="45"/>
        <v>Spacious</v>
      </c>
      <c r="W359" t="str">
        <f>IF(S359 &lt; VLOOKUP(E359, Locality_Tier_Benchmarks!A:B, 2, FALSE) * 0.7, "Below Tier Range", "Normal")</f>
        <v>Normal</v>
      </c>
      <c r="X359" t="str">
        <f t="shared" si="46"/>
        <v>Normal</v>
      </c>
      <c r="Y359" t="str">
        <f t="shared" si="47"/>
        <v>Normal</v>
      </c>
      <c r="Z359" t="str">
        <f t="shared" si="40"/>
        <v>Pass</v>
      </c>
    </row>
    <row r="360" spans="1:26" x14ac:dyDescent="0.25">
      <c r="A360" s="2" t="s">
        <v>762</v>
      </c>
      <c r="B360" t="s">
        <v>17</v>
      </c>
      <c r="C360" t="s">
        <v>470</v>
      </c>
      <c r="D360" s="2" t="str">
        <f>VLOOKUP(C360,Locality_Reference!A:C,2,)</f>
        <v>Western Line</v>
      </c>
      <c r="E360" s="2" t="str">
        <f>VLOOKUP(C360,Locality_Reference!A:C,3,)</f>
        <v>Mid Suburb</v>
      </c>
      <c r="F360" s="2" t="s">
        <v>1129</v>
      </c>
      <c r="G360" s="8">
        <v>100000</v>
      </c>
      <c r="H360">
        <v>3</v>
      </c>
      <c r="I360">
        <v>3</v>
      </c>
      <c r="J360">
        <v>16</v>
      </c>
      <c r="K360">
        <v>22</v>
      </c>
      <c r="L360">
        <v>1145</v>
      </c>
      <c r="M360" t="s">
        <v>33</v>
      </c>
      <c r="N360" t="s">
        <v>15</v>
      </c>
      <c r="O360" t="s">
        <v>16</v>
      </c>
      <c r="P360" t="s">
        <v>47</v>
      </c>
      <c r="Q360" t="str">
        <f t="shared" si="41"/>
        <v>1</v>
      </c>
      <c r="R360" s="5">
        <v>46175</v>
      </c>
      <c r="S360" s="8">
        <f t="shared" si="42"/>
        <v>87.336244541484717</v>
      </c>
      <c r="T360">
        <f t="shared" si="43"/>
        <v>1200000</v>
      </c>
      <c r="U360" t="str">
        <f t="shared" si="44"/>
        <v>Premium</v>
      </c>
      <c r="V360" t="str">
        <f t="shared" si="45"/>
        <v>Large</v>
      </c>
      <c r="W360" t="str">
        <f>IF(S360 &lt; VLOOKUP(E360, Locality_Tier_Benchmarks!A:B, 2, FALSE) * 0.7, "Below Tier Range", "Normal")</f>
        <v>Normal</v>
      </c>
      <c r="X360" t="str">
        <f t="shared" si="46"/>
        <v>Normal</v>
      </c>
      <c r="Y360" t="str">
        <f t="shared" si="47"/>
        <v>Normal</v>
      </c>
      <c r="Z360" t="str">
        <f t="shared" si="40"/>
        <v>Pass</v>
      </c>
    </row>
    <row r="361" spans="1:26" x14ac:dyDescent="0.25">
      <c r="A361" s="2" t="s">
        <v>763</v>
      </c>
      <c r="B361" t="s">
        <v>17</v>
      </c>
      <c r="C361" t="s">
        <v>470</v>
      </c>
      <c r="D361" s="2" t="str">
        <f>VLOOKUP(C361,Locality_Reference!A:C,2,)</f>
        <v>Western Line</v>
      </c>
      <c r="E361" s="2" t="str">
        <f>VLOOKUP(C361,Locality_Reference!A:C,3,)</f>
        <v>Mid Suburb</v>
      </c>
      <c r="F361" s="2" t="s">
        <v>1120</v>
      </c>
      <c r="G361" s="8">
        <v>117000</v>
      </c>
      <c r="H361">
        <v>3</v>
      </c>
      <c r="I361">
        <v>2</v>
      </c>
      <c r="J361">
        <v>16</v>
      </c>
      <c r="K361">
        <v>22</v>
      </c>
      <c r="L361">
        <v>1098</v>
      </c>
      <c r="M361" t="s">
        <v>36</v>
      </c>
      <c r="N361" t="s">
        <v>15</v>
      </c>
      <c r="O361" t="s">
        <v>16</v>
      </c>
      <c r="P361" t="s">
        <v>31</v>
      </c>
      <c r="Q361" t="str">
        <f t="shared" si="41"/>
        <v>3</v>
      </c>
      <c r="R361" s="5">
        <v>46148</v>
      </c>
      <c r="S361" s="8">
        <f t="shared" si="42"/>
        <v>106.55737704918033</v>
      </c>
      <c r="T361">
        <f t="shared" si="43"/>
        <v>1404000</v>
      </c>
      <c r="U361" t="str">
        <f t="shared" si="44"/>
        <v>Luxury</v>
      </c>
      <c r="V361" t="str">
        <f t="shared" si="45"/>
        <v>Large</v>
      </c>
      <c r="W361" t="str">
        <f>IF(S361 &lt; VLOOKUP(E361, Locality_Tier_Benchmarks!A:B, 2, FALSE) * 0.7, "Below Tier Range", "Normal")</f>
        <v>Normal</v>
      </c>
      <c r="X361" t="str">
        <f t="shared" si="46"/>
        <v>Normal</v>
      </c>
      <c r="Y361" t="str">
        <f t="shared" si="47"/>
        <v>Normal</v>
      </c>
      <c r="Z361" t="str">
        <f t="shared" si="40"/>
        <v>Pass</v>
      </c>
    </row>
    <row r="362" spans="1:26" x14ac:dyDescent="0.25">
      <c r="A362" s="2" t="s">
        <v>764</v>
      </c>
      <c r="B362" t="s">
        <v>17</v>
      </c>
      <c r="C362" t="s">
        <v>469</v>
      </c>
      <c r="D362" s="2" t="str">
        <f>VLOOKUP(C362,Locality_Reference!A:C,2,)</f>
        <v>Western Line</v>
      </c>
      <c r="E362" s="2" t="str">
        <f>VLOOKUP(C362,Locality_Reference!A:C,3,)</f>
        <v>Mid Suburb</v>
      </c>
      <c r="F362" s="2" t="s">
        <v>1130</v>
      </c>
      <c r="G362" s="8">
        <v>53000</v>
      </c>
      <c r="H362">
        <v>1</v>
      </c>
      <c r="I362">
        <v>2</v>
      </c>
      <c r="J362">
        <v>7</v>
      </c>
      <c r="K362">
        <v>12</v>
      </c>
      <c r="L362">
        <v>450</v>
      </c>
      <c r="M362" t="s">
        <v>33</v>
      </c>
      <c r="N362" t="s">
        <v>15</v>
      </c>
      <c r="O362" t="s">
        <v>16</v>
      </c>
      <c r="P362" t="s">
        <v>47</v>
      </c>
      <c r="Q362" t="str">
        <f t="shared" si="41"/>
        <v>1</v>
      </c>
      <c r="R362" s="5">
        <v>46191</v>
      </c>
      <c r="S362" s="8">
        <f t="shared" si="42"/>
        <v>117.77777777777777</v>
      </c>
      <c r="T362">
        <f t="shared" si="43"/>
        <v>636000</v>
      </c>
      <c r="U362" t="str">
        <f t="shared" si="44"/>
        <v>Mid</v>
      </c>
      <c r="V362" t="str">
        <f t="shared" si="45"/>
        <v>Compact</v>
      </c>
      <c r="W362" t="str">
        <f>IF(S362 &lt; VLOOKUP(E362, Locality_Tier_Benchmarks!A:B, 2, FALSE) * 0.7, "Below Tier Range", "Normal")</f>
        <v>Normal</v>
      </c>
      <c r="X362" t="str">
        <f t="shared" si="46"/>
        <v>Normal</v>
      </c>
      <c r="Y362" t="str">
        <f t="shared" si="47"/>
        <v>Normal</v>
      </c>
      <c r="Z362" t="str">
        <f t="shared" si="40"/>
        <v>Pass</v>
      </c>
    </row>
    <row r="363" spans="1:26" x14ac:dyDescent="0.25">
      <c r="A363" s="2" t="s">
        <v>765</v>
      </c>
      <c r="B363" t="s">
        <v>17</v>
      </c>
      <c r="C363" t="s">
        <v>469</v>
      </c>
      <c r="D363" s="2" t="str">
        <f>VLOOKUP(C363,Locality_Reference!A:C,2,)</f>
        <v>Western Line</v>
      </c>
      <c r="E363" s="2" t="str">
        <f>VLOOKUP(C363,Locality_Reference!A:C,3,)</f>
        <v>Mid Suburb</v>
      </c>
      <c r="F363" s="2" t="s">
        <v>1131</v>
      </c>
      <c r="G363" s="8">
        <v>49000</v>
      </c>
      <c r="H363">
        <v>1</v>
      </c>
      <c r="I363">
        <v>2</v>
      </c>
      <c r="J363">
        <v>3</v>
      </c>
      <c r="K363">
        <v>10</v>
      </c>
      <c r="L363">
        <v>350</v>
      </c>
      <c r="M363" t="s">
        <v>36</v>
      </c>
      <c r="N363" t="s">
        <v>29</v>
      </c>
      <c r="O363" t="s">
        <v>16</v>
      </c>
      <c r="P363" t="s">
        <v>34</v>
      </c>
      <c r="Q363" t="str">
        <f t="shared" si="41"/>
        <v/>
      </c>
      <c r="R363" s="5">
        <v>46188</v>
      </c>
      <c r="S363" s="8">
        <f t="shared" si="42"/>
        <v>140</v>
      </c>
      <c r="T363">
        <f t="shared" si="43"/>
        <v>588000</v>
      </c>
      <c r="U363" t="str">
        <f t="shared" si="44"/>
        <v>Mid</v>
      </c>
      <c r="V363" t="str">
        <f t="shared" si="45"/>
        <v>Compact</v>
      </c>
      <c r="W363" t="str">
        <f>IF(S363 &lt; VLOOKUP(E363, Locality_Tier_Benchmarks!A:B, 2, FALSE) * 0.7, "Below Tier Range", "Normal")</f>
        <v>Normal</v>
      </c>
      <c r="X363" t="str">
        <f t="shared" si="46"/>
        <v>Normal</v>
      </c>
      <c r="Y363" t="str">
        <f t="shared" si="47"/>
        <v>Normal</v>
      </c>
      <c r="Z363" t="str">
        <f t="shared" si="40"/>
        <v>Pass</v>
      </c>
    </row>
    <row r="364" spans="1:26" x14ac:dyDescent="0.25">
      <c r="A364" s="2" t="s">
        <v>766</v>
      </c>
      <c r="B364" t="s">
        <v>17</v>
      </c>
      <c r="C364" t="s">
        <v>469</v>
      </c>
      <c r="D364" s="2" t="str">
        <f>VLOOKUP(C364,Locality_Reference!A:C,2,)</f>
        <v>Western Line</v>
      </c>
      <c r="E364" s="2" t="str">
        <f>VLOOKUP(C364,Locality_Reference!A:C,3,)</f>
        <v>Mid Suburb</v>
      </c>
      <c r="F364" s="2" t="s">
        <v>1132</v>
      </c>
      <c r="G364" s="8">
        <v>65000</v>
      </c>
      <c r="H364">
        <v>1</v>
      </c>
      <c r="I364">
        <v>2</v>
      </c>
      <c r="J364">
        <v>13</v>
      </c>
      <c r="K364">
        <v>13</v>
      </c>
      <c r="L364">
        <v>430</v>
      </c>
      <c r="M364" t="s">
        <v>33</v>
      </c>
      <c r="N364" t="s">
        <v>15</v>
      </c>
      <c r="O364" t="s">
        <v>16</v>
      </c>
      <c r="P364" t="s">
        <v>34</v>
      </c>
      <c r="Q364" t="str">
        <f t="shared" si="41"/>
        <v/>
      </c>
      <c r="R364" s="5">
        <v>46197</v>
      </c>
      <c r="S364" s="8">
        <f t="shared" si="42"/>
        <v>151.16279069767441</v>
      </c>
      <c r="T364">
        <f t="shared" si="43"/>
        <v>780000</v>
      </c>
      <c r="U364" t="str">
        <f t="shared" si="44"/>
        <v>Premium</v>
      </c>
      <c r="V364" t="str">
        <f t="shared" si="45"/>
        <v>Compact</v>
      </c>
      <c r="W364" t="str">
        <f>IF(S364 &lt; VLOOKUP(E364, Locality_Tier_Benchmarks!A:B, 2, FALSE) * 0.7, "Below Tier Range", "Normal")</f>
        <v>Normal</v>
      </c>
      <c r="X364" t="str">
        <f t="shared" si="46"/>
        <v>Normal</v>
      </c>
      <c r="Y364" t="str">
        <f t="shared" si="47"/>
        <v>Normal</v>
      </c>
      <c r="Z364" t="str">
        <f t="shared" si="40"/>
        <v>Pass</v>
      </c>
    </row>
    <row r="365" spans="1:26" x14ac:dyDescent="0.25">
      <c r="A365" s="2" t="s">
        <v>767</v>
      </c>
      <c r="B365" t="s">
        <v>17</v>
      </c>
      <c r="C365" t="s">
        <v>469</v>
      </c>
      <c r="D365" s="2" t="str">
        <f>VLOOKUP(C365,Locality_Reference!A:C,2,)</f>
        <v>Western Line</v>
      </c>
      <c r="E365" s="2" t="str">
        <f>VLOOKUP(C365,Locality_Reference!A:C,3,)</f>
        <v>Mid Suburb</v>
      </c>
      <c r="F365" s="2" t="s">
        <v>1133</v>
      </c>
      <c r="G365" s="8">
        <v>55000</v>
      </c>
      <c r="H365">
        <v>1</v>
      </c>
      <c r="I365">
        <v>2</v>
      </c>
      <c r="J365">
        <v>4</v>
      </c>
      <c r="K365">
        <v>11</v>
      </c>
      <c r="L365">
        <v>450</v>
      </c>
      <c r="M365" t="s">
        <v>33</v>
      </c>
      <c r="N365" t="s">
        <v>15</v>
      </c>
      <c r="O365" t="s">
        <v>16</v>
      </c>
      <c r="P365" t="s">
        <v>47</v>
      </c>
      <c r="Q365" t="str">
        <f t="shared" si="41"/>
        <v>1</v>
      </c>
      <c r="R365" s="5">
        <v>46191</v>
      </c>
      <c r="S365" s="8">
        <f t="shared" si="42"/>
        <v>122.22222222222223</v>
      </c>
      <c r="T365">
        <f t="shared" si="43"/>
        <v>660000</v>
      </c>
      <c r="U365" t="str">
        <f t="shared" si="44"/>
        <v>Mid</v>
      </c>
      <c r="V365" t="str">
        <f t="shared" si="45"/>
        <v>Compact</v>
      </c>
      <c r="W365" t="str">
        <f>IF(S365 &lt; VLOOKUP(E365, Locality_Tier_Benchmarks!A:B, 2, FALSE) * 0.7, "Below Tier Range", "Normal")</f>
        <v>Normal</v>
      </c>
      <c r="X365" t="str">
        <f t="shared" si="46"/>
        <v>Normal</v>
      </c>
      <c r="Y365" t="str">
        <f t="shared" si="47"/>
        <v>Normal</v>
      </c>
      <c r="Z365" t="str">
        <f t="shared" si="40"/>
        <v>Pass</v>
      </c>
    </row>
    <row r="366" spans="1:26" x14ac:dyDescent="0.25">
      <c r="A366" s="2" t="s">
        <v>768</v>
      </c>
      <c r="B366" t="s">
        <v>17</v>
      </c>
      <c r="C366" t="s">
        <v>469</v>
      </c>
      <c r="D366" s="2" t="str">
        <f>VLOOKUP(C366,Locality_Reference!A:C,2,)</f>
        <v>Western Line</v>
      </c>
      <c r="E366" s="2" t="str">
        <f>VLOOKUP(C366,Locality_Reference!A:C,3,)</f>
        <v>Mid Suburb</v>
      </c>
      <c r="F366" s="2" t="s">
        <v>1134</v>
      </c>
      <c r="G366" s="8">
        <v>42000</v>
      </c>
      <c r="H366">
        <v>1</v>
      </c>
      <c r="I366">
        <v>1</v>
      </c>
      <c r="J366">
        <v>2</v>
      </c>
      <c r="K366">
        <v>3</v>
      </c>
      <c r="L366">
        <v>400</v>
      </c>
      <c r="M366" t="s">
        <v>36</v>
      </c>
      <c r="N366" t="s">
        <v>15</v>
      </c>
      <c r="O366" t="s">
        <v>16</v>
      </c>
      <c r="P366" t="s">
        <v>31</v>
      </c>
      <c r="Q366" t="str">
        <f t="shared" si="41"/>
        <v>3</v>
      </c>
      <c r="R366" s="5">
        <v>46198</v>
      </c>
      <c r="S366" s="8">
        <f t="shared" si="42"/>
        <v>105</v>
      </c>
      <c r="T366">
        <f t="shared" si="43"/>
        <v>504000</v>
      </c>
      <c r="U366" t="str">
        <f t="shared" si="44"/>
        <v>Mid</v>
      </c>
      <c r="V366" t="str">
        <f t="shared" si="45"/>
        <v>Compact</v>
      </c>
      <c r="W366" t="str">
        <f>IF(S366 &lt; VLOOKUP(E366, Locality_Tier_Benchmarks!A:B, 2, FALSE) * 0.7, "Below Tier Range", "Normal")</f>
        <v>Normal</v>
      </c>
      <c r="X366" t="str">
        <f t="shared" si="46"/>
        <v>Normal</v>
      </c>
      <c r="Y366" t="str">
        <f t="shared" si="47"/>
        <v>Normal</v>
      </c>
      <c r="Z366" t="str">
        <f t="shared" si="40"/>
        <v>Pass</v>
      </c>
    </row>
    <row r="367" spans="1:26" x14ac:dyDescent="0.25">
      <c r="A367" s="2" t="s">
        <v>769</v>
      </c>
      <c r="B367" t="s">
        <v>17</v>
      </c>
      <c r="C367" t="s">
        <v>469</v>
      </c>
      <c r="D367" s="2" t="str">
        <f>VLOOKUP(C367,Locality_Reference!A:C,2,)</f>
        <v>Western Line</v>
      </c>
      <c r="E367" s="2" t="str">
        <f>VLOOKUP(C367,Locality_Reference!A:C,3,)</f>
        <v>Mid Suburb</v>
      </c>
      <c r="F367" s="2" t="s">
        <v>1135</v>
      </c>
      <c r="G367" s="8">
        <v>70000</v>
      </c>
      <c r="H367">
        <v>2</v>
      </c>
      <c r="I367">
        <v>2</v>
      </c>
      <c r="J367">
        <v>4</v>
      </c>
      <c r="K367">
        <v>10</v>
      </c>
      <c r="L367">
        <v>728</v>
      </c>
      <c r="M367" t="s">
        <v>33</v>
      </c>
      <c r="N367" t="s">
        <v>15</v>
      </c>
      <c r="O367" t="s">
        <v>16</v>
      </c>
      <c r="P367" t="s">
        <v>31</v>
      </c>
      <c r="Q367" t="str">
        <f t="shared" si="41"/>
        <v>3</v>
      </c>
      <c r="R367" s="5">
        <v>46178</v>
      </c>
      <c r="S367" s="8">
        <f t="shared" si="42"/>
        <v>96.15384615384616</v>
      </c>
      <c r="T367">
        <f t="shared" si="43"/>
        <v>840000</v>
      </c>
      <c r="U367" t="str">
        <f t="shared" si="44"/>
        <v>Premium</v>
      </c>
      <c r="V367" t="str">
        <f t="shared" si="45"/>
        <v>Medium</v>
      </c>
      <c r="W367" t="str">
        <f>IF(S367 &lt; VLOOKUP(E367, Locality_Tier_Benchmarks!A:B, 2, FALSE) * 0.7, "Below Tier Range", "Normal")</f>
        <v>Normal</v>
      </c>
      <c r="X367" t="str">
        <f t="shared" si="46"/>
        <v>Normal</v>
      </c>
      <c r="Y367" t="str">
        <f t="shared" si="47"/>
        <v>Normal</v>
      </c>
      <c r="Z367" t="str">
        <f t="shared" si="40"/>
        <v>Pass</v>
      </c>
    </row>
    <row r="368" spans="1:26" x14ac:dyDescent="0.25">
      <c r="A368" s="2" t="s">
        <v>770</v>
      </c>
      <c r="B368" t="s">
        <v>17</v>
      </c>
      <c r="C368" t="s">
        <v>469</v>
      </c>
      <c r="D368" s="2" t="str">
        <f>VLOOKUP(C368,Locality_Reference!A:C,2,)</f>
        <v>Western Line</v>
      </c>
      <c r="E368" s="2" t="str">
        <f>VLOOKUP(C368,Locality_Reference!A:C,3,)</f>
        <v>Mid Suburb</v>
      </c>
      <c r="F368" s="2" t="s">
        <v>1136</v>
      </c>
      <c r="G368" s="8">
        <v>83000</v>
      </c>
      <c r="H368">
        <v>2</v>
      </c>
      <c r="I368">
        <v>2</v>
      </c>
      <c r="J368">
        <v>2</v>
      </c>
      <c r="K368">
        <v>6</v>
      </c>
      <c r="L368">
        <v>650</v>
      </c>
      <c r="M368" t="s">
        <v>36</v>
      </c>
      <c r="N368" t="s">
        <v>15</v>
      </c>
      <c r="O368" t="s">
        <v>16</v>
      </c>
      <c r="P368" t="s">
        <v>52</v>
      </c>
      <c r="Q368" t="str">
        <f t="shared" si="41"/>
        <v>7.5</v>
      </c>
      <c r="R368" s="5">
        <v>46178</v>
      </c>
      <c r="S368" s="8">
        <f t="shared" si="42"/>
        <v>127.69230769230769</v>
      </c>
      <c r="T368">
        <f t="shared" si="43"/>
        <v>996000</v>
      </c>
      <c r="U368" t="str">
        <f t="shared" si="44"/>
        <v>Premium</v>
      </c>
      <c r="V368" t="str">
        <f t="shared" si="45"/>
        <v>Medium</v>
      </c>
      <c r="W368" t="str">
        <f>IF(S368 &lt; VLOOKUP(E368, Locality_Tier_Benchmarks!A:B, 2, FALSE) * 0.7, "Below Tier Range", "Normal")</f>
        <v>Normal</v>
      </c>
      <c r="X368" t="str">
        <f t="shared" si="46"/>
        <v>Normal</v>
      </c>
      <c r="Y368" t="str">
        <f t="shared" si="47"/>
        <v>Normal</v>
      </c>
      <c r="Z368" t="str">
        <f t="shared" si="40"/>
        <v>Pass</v>
      </c>
    </row>
    <row r="369" spans="1:26" x14ac:dyDescent="0.25">
      <c r="A369" s="2" t="s">
        <v>771</v>
      </c>
      <c r="B369" t="s">
        <v>17</v>
      </c>
      <c r="C369" t="s">
        <v>469</v>
      </c>
      <c r="D369" s="2" t="str">
        <f>VLOOKUP(C369,Locality_Reference!A:C,2,)</f>
        <v>Western Line</v>
      </c>
      <c r="E369" s="2" t="str">
        <f>VLOOKUP(C369,Locality_Reference!A:C,3,)</f>
        <v>Mid Suburb</v>
      </c>
      <c r="F369" s="2" t="s">
        <v>1137</v>
      </c>
      <c r="G369" s="8">
        <v>80000</v>
      </c>
      <c r="H369">
        <v>2</v>
      </c>
      <c r="I369">
        <v>2</v>
      </c>
      <c r="J369">
        <v>3</v>
      </c>
      <c r="K369">
        <v>7</v>
      </c>
      <c r="L369">
        <v>800</v>
      </c>
      <c r="M369" t="s">
        <v>36</v>
      </c>
      <c r="N369" t="s">
        <v>29</v>
      </c>
      <c r="O369" t="s">
        <v>16</v>
      </c>
      <c r="P369" t="s">
        <v>34</v>
      </c>
      <c r="Q369" t="str">
        <f t="shared" si="41"/>
        <v/>
      </c>
      <c r="R369" s="5">
        <v>46183</v>
      </c>
      <c r="S369" s="8">
        <f t="shared" si="42"/>
        <v>100</v>
      </c>
      <c r="T369">
        <f t="shared" si="43"/>
        <v>960000</v>
      </c>
      <c r="U369" t="str">
        <f t="shared" si="44"/>
        <v>Premium</v>
      </c>
      <c r="V369" t="str">
        <f t="shared" si="45"/>
        <v>Medium</v>
      </c>
      <c r="W369" t="str">
        <f>IF(S369 &lt; VLOOKUP(E369, Locality_Tier_Benchmarks!A:B, 2, FALSE) * 0.7, "Below Tier Range", "Normal")</f>
        <v>Normal</v>
      </c>
      <c r="X369" t="str">
        <f t="shared" si="46"/>
        <v>Normal</v>
      </c>
      <c r="Y369" t="str">
        <f t="shared" si="47"/>
        <v>Normal</v>
      </c>
      <c r="Z369" t="str">
        <f t="shared" si="40"/>
        <v>Pass</v>
      </c>
    </row>
    <row r="370" spans="1:26" x14ac:dyDescent="0.25">
      <c r="A370" s="2" t="s">
        <v>772</v>
      </c>
      <c r="B370" t="s">
        <v>17</v>
      </c>
      <c r="C370" t="s">
        <v>469</v>
      </c>
      <c r="D370" s="2" t="str">
        <f>VLOOKUP(C370,Locality_Reference!A:C,2,)</f>
        <v>Western Line</v>
      </c>
      <c r="E370" s="2" t="str">
        <f>VLOOKUP(C370,Locality_Reference!A:C,3,)</f>
        <v>Mid Suburb</v>
      </c>
      <c r="F370" s="2" t="s">
        <v>1138</v>
      </c>
      <c r="G370" s="8">
        <v>90000</v>
      </c>
      <c r="H370">
        <v>2</v>
      </c>
      <c r="I370">
        <v>2</v>
      </c>
      <c r="J370">
        <v>6</v>
      </c>
      <c r="K370">
        <v>9</v>
      </c>
      <c r="L370">
        <v>680</v>
      </c>
      <c r="M370" t="s">
        <v>36</v>
      </c>
      <c r="N370" t="s">
        <v>15</v>
      </c>
      <c r="O370" t="s">
        <v>16</v>
      </c>
      <c r="P370" t="s">
        <v>47</v>
      </c>
      <c r="Q370" t="str">
        <f t="shared" si="41"/>
        <v>1</v>
      </c>
      <c r="R370" s="5">
        <v>46198</v>
      </c>
      <c r="S370" s="8">
        <f t="shared" si="42"/>
        <v>132.35294117647058</v>
      </c>
      <c r="T370">
        <f t="shared" si="43"/>
        <v>1080000</v>
      </c>
      <c r="U370" t="str">
        <f t="shared" si="44"/>
        <v>Premium</v>
      </c>
      <c r="V370" t="str">
        <f t="shared" si="45"/>
        <v>Medium</v>
      </c>
      <c r="W370" t="str">
        <f>IF(S370 &lt; VLOOKUP(E370, Locality_Tier_Benchmarks!A:B, 2, FALSE) * 0.7, "Below Tier Range", "Normal")</f>
        <v>Normal</v>
      </c>
      <c r="X370" t="str">
        <f t="shared" si="46"/>
        <v>Normal</v>
      </c>
      <c r="Y370" t="str">
        <f t="shared" si="47"/>
        <v>Normal</v>
      </c>
      <c r="Z370" t="str">
        <f t="shared" si="40"/>
        <v>Pass</v>
      </c>
    </row>
    <row r="371" spans="1:26" x14ac:dyDescent="0.25">
      <c r="A371" s="2" t="s">
        <v>773</v>
      </c>
      <c r="B371" t="s">
        <v>17</v>
      </c>
      <c r="C371" t="s">
        <v>469</v>
      </c>
      <c r="D371" s="2" t="str">
        <f>VLOOKUP(C371,Locality_Reference!A:C,2,)</f>
        <v>Western Line</v>
      </c>
      <c r="E371" s="2" t="str">
        <f>VLOOKUP(C371,Locality_Reference!A:C,3,)</f>
        <v>Mid Suburb</v>
      </c>
      <c r="F371" s="2" t="s">
        <v>1139</v>
      </c>
      <c r="G371" s="8">
        <v>90000</v>
      </c>
      <c r="H371">
        <v>2</v>
      </c>
      <c r="I371">
        <v>2</v>
      </c>
      <c r="J371">
        <v>4</v>
      </c>
      <c r="K371">
        <v>8</v>
      </c>
      <c r="L371">
        <v>686</v>
      </c>
      <c r="M371" t="s">
        <v>14</v>
      </c>
      <c r="N371" t="s">
        <v>15</v>
      </c>
      <c r="O371" t="s">
        <v>16</v>
      </c>
      <c r="P371" t="s">
        <v>31</v>
      </c>
      <c r="Q371" t="str">
        <f t="shared" si="41"/>
        <v>3</v>
      </c>
      <c r="R371" s="5">
        <v>46195</v>
      </c>
      <c r="S371" s="8">
        <f t="shared" si="42"/>
        <v>131.19533527696794</v>
      </c>
      <c r="T371">
        <f t="shared" si="43"/>
        <v>1080000</v>
      </c>
      <c r="U371" t="str">
        <f t="shared" si="44"/>
        <v>Premium</v>
      </c>
      <c r="V371" t="str">
        <f t="shared" si="45"/>
        <v>Medium</v>
      </c>
      <c r="W371" t="str">
        <f>IF(S371 &lt; VLOOKUP(E371, Locality_Tier_Benchmarks!A:B, 2, FALSE) * 0.7, "Below Tier Range", "Normal")</f>
        <v>Normal</v>
      </c>
      <c r="X371" t="str">
        <f t="shared" si="46"/>
        <v>Normal</v>
      </c>
      <c r="Y371" t="str">
        <f t="shared" si="47"/>
        <v>Normal</v>
      </c>
      <c r="Z371" t="str">
        <f t="shared" si="40"/>
        <v>Pass</v>
      </c>
    </row>
    <row r="372" spans="1:26" x14ac:dyDescent="0.25">
      <c r="A372" s="2" t="s">
        <v>774</v>
      </c>
      <c r="B372" t="s">
        <v>17</v>
      </c>
      <c r="C372" t="s">
        <v>469</v>
      </c>
      <c r="D372" s="2" t="str">
        <f>VLOOKUP(C372,Locality_Reference!A:C,2,)</f>
        <v>Western Line</v>
      </c>
      <c r="E372" s="2" t="str">
        <f>VLOOKUP(C372,Locality_Reference!A:C,3,)</f>
        <v>Mid Suburb</v>
      </c>
      <c r="F372" s="2" t="s">
        <v>1140</v>
      </c>
      <c r="G372" s="8">
        <v>125000</v>
      </c>
      <c r="H372">
        <v>3</v>
      </c>
      <c r="I372">
        <v>3</v>
      </c>
      <c r="J372">
        <v>4</v>
      </c>
      <c r="K372">
        <v>6</v>
      </c>
      <c r="L372">
        <v>900</v>
      </c>
      <c r="M372" t="s">
        <v>36</v>
      </c>
      <c r="N372" t="s">
        <v>15</v>
      </c>
      <c r="O372" t="s">
        <v>16</v>
      </c>
      <c r="P372" t="s">
        <v>47</v>
      </c>
      <c r="Q372" t="str">
        <f t="shared" si="41"/>
        <v>1</v>
      </c>
      <c r="R372" s="5">
        <v>46196</v>
      </c>
      <c r="S372" s="8">
        <f t="shared" si="42"/>
        <v>138.88888888888889</v>
      </c>
      <c r="T372">
        <f t="shared" si="43"/>
        <v>1500000</v>
      </c>
      <c r="U372" t="str">
        <f t="shared" si="44"/>
        <v>Luxury</v>
      </c>
      <c r="V372" t="str">
        <f t="shared" si="45"/>
        <v>Large</v>
      </c>
      <c r="W372" t="str">
        <f>IF(S372 &lt; VLOOKUP(E372, Locality_Tier_Benchmarks!A:B, 2, FALSE) * 0.7, "Below Tier Range", "Normal")</f>
        <v>Normal</v>
      </c>
      <c r="X372" t="str">
        <f t="shared" si="46"/>
        <v>Normal</v>
      </c>
      <c r="Y372" t="str">
        <f t="shared" si="47"/>
        <v>Normal</v>
      </c>
      <c r="Z372" t="str">
        <f t="shared" si="40"/>
        <v>Pass</v>
      </c>
    </row>
    <row r="373" spans="1:26" x14ac:dyDescent="0.25">
      <c r="A373" s="2" t="s">
        <v>775</v>
      </c>
      <c r="B373" t="s">
        <v>17</v>
      </c>
      <c r="C373" t="s">
        <v>469</v>
      </c>
      <c r="D373" s="2" t="str">
        <f>VLOOKUP(C373,Locality_Reference!A:C,2,)</f>
        <v>Western Line</v>
      </c>
      <c r="E373" s="2" t="str">
        <f>VLOOKUP(C373,Locality_Reference!A:C,3,)</f>
        <v>Mid Suburb</v>
      </c>
      <c r="F373" s="2" t="s">
        <v>1141</v>
      </c>
      <c r="G373" s="8">
        <v>130000</v>
      </c>
      <c r="H373">
        <v>3</v>
      </c>
      <c r="I373">
        <v>3</v>
      </c>
      <c r="J373">
        <v>5</v>
      </c>
      <c r="K373">
        <v>8</v>
      </c>
      <c r="L373">
        <v>824</v>
      </c>
      <c r="M373" t="s">
        <v>33</v>
      </c>
      <c r="N373" t="s">
        <v>15</v>
      </c>
      <c r="O373" t="s">
        <v>16</v>
      </c>
      <c r="P373" t="s">
        <v>47</v>
      </c>
      <c r="Q373" t="str">
        <f t="shared" si="41"/>
        <v>1</v>
      </c>
      <c r="R373" s="5">
        <v>46195</v>
      </c>
      <c r="S373" s="8">
        <f t="shared" si="42"/>
        <v>157.76699029126215</v>
      </c>
      <c r="T373">
        <f t="shared" si="43"/>
        <v>1560000</v>
      </c>
      <c r="U373" t="str">
        <f t="shared" si="44"/>
        <v>Luxury</v>
      </c>
      <c r="V373" t="str">
        <f t="shared" si="45"/>
        <v>Large</v>
      </c>
      <c r="W373" t="str">
        <f>IF(S373 &lt; VLOOKUP(E373, Locality_Tier_Benchmarks!A:B, 2, FALSE) * 0.7, "Below Tier Range", "Normal")</f>
        <v>Normal</v>
      </c>
      <c r="X373" t="str">
        <f t="shared" si="46"/>
        <v>Normal</v>
      </c>
      <c r="Y373" t="str">
        <f t="shared" si="47"/>
        <v>Normal</v>
      </c>
      <c r="Z373" t="str">
        <f t="shared" si="40"/>
        <v>Pass</v>
      </c>
    </row>
    <row r="374" spans="1:26" x14ac:dyDescent="0.25">
      <c r="A374" s="2" t="s">
        <v>776</v>
      </c>
      <c r="B374" t="s">
        <v>17</v>
      </c>
      <c r="C374" t="s">
        <v>469</v>
      </c>
      <c r="D374" s="2" t="str">
        <f>VLOOKUP(C374,Locality_Reference!A:C,2,)</f>
        <v>Western Line</v>
      </c>
      <c r="E374" s="2" t="str">
        <f>VLOOKUP(C374,Locality_Reference!A:C,3,)</f>
        <v>Mid Suburb</v>
      </c>
      <c r="F374" s="2" t="s">
        <v>1142</v>
      </c>
      <c r="G374" s="8">
        <v>150000</v>
      </c>
      <c r="H374">
        <v>3</v>
      </c>
      <c r="I374">
        <v>4</v>
      </c>
      <c r="J374">
        <v>4</v>
      </c>
      <c r="K374">
        <v>7</v>
      </c>
      <c r="L374">
        <v>1060</v>
      </c>
      <c r="M374" t="s">
        <v>36</v>
      </c>
      <c r="N374" t="s">
        <v>15</v>
      </c>
      <c r="O374" t="s">
        <v>16</v>
      </c>
      <c r="P374" t="s">
        <v>52</v>
      </c>
      <c r="Q374" t="str">
        <f t="shared" si="41"/>
        <v>7.5</v>
      </c>
      <c r="R374" s="5">
        <v>46191</v>
      </c>
      <c r="S374" s="8">
        <f t="shared" si="42"/>
        <v>141.50943396226415</v>
      </c>
      <c r="T374">
        <f t="shared" si="43"/>
        <v>1800000</v>
      </c>
      <c r="U374" t="str">
        <f t="shared" si="44"/>
        <v>Luxury</v>
      </c>
      <c r="V374" t="str">
        <f t="shared" si="45"/>
        <v>Large</v>
      </c>
      <c r="W374" t="str">
        <f>IF(S374 &lt; VLOOKUP(E374, Locality_Tier_Benchmarks!A:B, 2, FALSE) * 0.7, "Below Tier Range", "Normal")</f>
        <v>Normal</v>
      </c>
      <c r="X374" t="str">
        <f t="shared" si="46"/>
        <v>Normal</v>
      </c>
      <c r="Y374" t="str">
        <f t="shared" si="47"/>
        <v>Normal</v>
      </c>
      <c r="Z374" t="str">
        <f t="shared" si="40"/>
        <v>Pass</v>
      </c>
    </row>
    <row r="375" spans="1:26" x14ac:dyDescent="0.25">
      <c r="A375" s="2" t="s">
        <v>777</v>
      </c>
      <c r="B375" t="s">
        <v>17</v>
      </c>
      <c r="C375" t="s">
        <v>469</v>
      </c>
      <c r="D375" s="2" t="str">
        <f>VLOOKUP(C375,Locality_Reference!A:C,2,)</f>
        <v>Western Line</v>
      </c>
      <c r="E375" s="2" t="str">
        <f>VLOOKUP(C375,Locality_Reference!A:C,3,)</f>
        <v>Mid Suburb</v>
      </c>
      <c r="F375" s="2" t="s">
        <v>1143</v>
      </c>
      <c r="G375" s="8">
        <v>130000</v>
      </c>
      <c r="H375">
        <v>3</v>
      </c>
      <c r="I375">
        <v>3</v>
      </c>
      <c r="J375">
        <v>5</v>
      </c>
      <c r="K375">
        <v>6</v>
      </c>
      <c r="L375">
        <v>1050</v>
      </c>
      <c r="M375" t="s">
        <v>36</v>
      </c>
      <c r="N375" t="s">
        <v>15</v>
      </c>
      <c r="O375" t="s">
        <v>16</v>
      </c>
      <c r="P375" t="s">
        <v>23</v>
      </c>
      <c r="Q375" t="str">
        <f t="shared" si="41"/>
        <v>10</v>
      </c>
      <c r="R375" s="5">
        <v>46165</v>
      </c>
      <c r="S375" s="8">
        <f t="shared" si="42"/>
        <v>123.80952380952381</v>
      </c>
      <c r="T375">
        <f t="shared" si="43"/>
        <v>1560000</v>
      </c>
      <c r="U375" t="str">
        <f t="shared" si="44"/>
        <v>Luxury</v>
      </c>
      <c r="V375" t="str">
        <f t="shared" si="45"/>
        <v>Large</v>
      </c>
      <c r="W375" t="str">
        <f>IF(S375 &lt; VLOOKUP(E375, Locality_Tier_Benchmarks!A:B, 2, FALSE) * 0.7, "Below Tier Range", "Normal")</f>
        <v>Normal</v>
      </c>
      <c r="X375" t="str">
        <f t="shared" si="46"/>
        <v>Normal</v>
      </c>
      <c r="Y375" t="str">
        <f t="shared" si="47"/>
        <v>Normal</v>
      </c>
      <c r="Z375" t="str">
        <f t="shared" si="40"/>
        <v>Pass</v>
      </c>
    </row>
    <row r="376" spans="1:26" x14ac:dyDescent="0.25">
      <c r="A376" s="2" t="s">
        <v>778</v>
      </c>
      <c r="B376" t="s">
        <v>17</v>
      </c>
      <c r="C376" t="s">
        <v>469</v>
      </c>
      <c r="D376" s="2" t="str">
        <f>VLOOKUP(C376,Locality_Reference!A:C,2,)</f>
        <v>Western Line</v>
      </c>
      <c r="E376" s="2" t="str">
        <f>VLOOKUP(C376,Locality_Reference!A:C,3,)</f>
        <v>Mid Suburb</v>
      </c>
      <c r="F376" s="2" t="s">
        <v>1144</v>
      </c>
      <c r="G376" s="8">
        <v>150000</v>
      </c>
      <c r="H376">
        <v>3</v>
      </c>
      <c r="I376">
        <v>3</v>
      </c>
      <c r="J376">
        <v>5</v>
      </c>
      <c r="K376">
        <v>6</v>
      </c>
      <c r="L376">
        <v>1200</v>
      </c>
      <c r="M376" t="s">
        <v>14</v>
      </c>
      <c r="N376" t="s">
        <v>15</v>
      </c>
      <c r="O376" t="s">
        <v>16</v>
      </c>
      <c r="P376" t="s">
        <v>34</v>
      </c>
      <c r="Q376" t="str">
        <f t="shared" si="41"/>
        <v/>
      </c>
      <c r="R376" s="5">
        <v>46192</v>
      </c>
      <c r="S376" s="8">
        <f t="shared" si="42"/>
        <v>125</v>
      </c>
      <c r="T376">
        <f t="shared" si="43"/>
        <v>1800000</v>
      </c>
      <c r="U376" t="str">
        <f t="shared" si="44"/>
        <v>Luxury</v>
      </c>
      <c r="V376" t="str">
        <f t="shared" si="45"/>
        <v>Large</v>
      </c>
      <c r="W376" t="str">
        <f>IF(S376 &lt; VLOOKUP(E376, Locality_Tier_Benchmarks!A:B, 2, FALSE) * 0.7, "Below Tier Range", "Normal")</f>
        <v>Normal</v>
      </c>
      <c r="X376" t="str">
        <f t="shared" si="46"/>
        <v>Normal</v>
      </c>
      <c r="Y376" t="str">
        <f t="shared" si="47"/>
        <v>Normal</v>
      </c>
      <c r="Z376" t="str">
        <f t="shared" si="40"/>
        <v>Pass</v>
      </c>
    </row>
    <row r="377" spans="1:26" x14ac:dyDescent="0.25">
      <c r="A377" s="2" t="s">
        <v>779</v>
      </c>
      <c r="B377" t="s">
        <v>17</v>
      </c>
      <c r="C377" t="s">
        <v>468</v>
      </c>
      <c r="D377" s="2" t="str">
        <f>VLOOKUP(C377,Locality_Reference!A:C,2,)</f>
        <v>Western Line</v>
      </c>
      <c r="E377" s="2" t="str">
        <f>VLOOKUP(C377,Locality_Reference!A:C,3,)</f>
        <v>Mid Suburb</v>
      </c>
      <c r="F377" s="2" t="s">
        <v>1145</v>
      </c>
      <c r="G377" s="8">
        <v>50000</v>
      </c>
      <c r="H377">
        <v>1</v>
      </c>
      <c r="I377">
        <v>1</v>
      </c>
      <c r="J377">
        <v>2</v>
      </c>
      <c r="K377">
        <v>5</v>
      </c>
      <c r="L377">
        <v>450</v>
      </c>
      <c r="M377" t="s">
        <v>14</v>
      </c>
      <c r="N377" t="s">
        <v>15</v>
      </c>
      <c r="O377" t="s">
        <v>16</v>
      </c>
      <c r="P377" t="s">
        <v>34</v>
      </c>
      <c r="Q377" t="str">
        <f t="shared" si="41"/>
        <v/>
      </c>
      <c r="R377" s="5">
        <v>46197</v>
      </c>
      <c r="S377" s="8">
        <f t="shared" si="42"/>
        <v>111.11111111111111</v>
      </c>
      <c r="T377">
        <f t="shared" si="43"/>
        <v>600000</v>
      </c>
      <c r="U377" t="str">
        <f t="shared" si="44"/>
        <v>Mid</v>
      </c>
      <c r="V377" t="str">
        <f t="shared" si="45"/>
        <v>Compact</v>
      </c>
      <c r="W377" t="str">
        <f>IF(S377 &lt; VLOOKUP(E377, Locality_Tier_Benchmarks!A:B, 2, FALSE) * 0.7, "Below Tier Range", "Normal")</f>
        <v>Normal</v>
      </c>
      <c r="X377" t="str">
        <f t="shared" si="46"/>
        <v>Normal</v>
      </c>
      <c r="Y377" t="str">
        <f t="shared" si="47"/>
        <v>Normal</v>
      </c>
      <c r="Z377" t="str">
        <f t="shared" si="40"/>
        <v>Pass</v>
      </c>
    </row>
    <row r="378" spans="1:26" x14ac:dyDescent="0.25">
      <c r="A378" s="2" t="s">
        <v>780</v>
      </c>
      <c r="B378" t="s">
        <v>17</v>
      </c>
      <c r="C378" t="s">
        <v>468</v>
      </c>
      <c r="D378" s="2" t="str">
        <f>VLOOKUP(C378,Locality_Reference!A:C,2,)</f>
        <v>Western Line</v>
      </c>
      <c r="E378" s="2" t="str">
        <f>VLOOKUP(C378,Locality_Reference!A:C,3,)</f>
        <v>Mid Suburb</v>
      </c>
      <c r="F378" s="2" t="s">
        <v>1146</v>
      </c>
      <c r="G378" s="8">
        <v>70000</v>
      </c>
      <c r="H378">
        <v>1</v>
      </c>
      <c r="I378">
        <v>1</v>
      </c>
      <c r="J378">
        <v>3</v>
      </c>
      <c r="K378">
        <v>7</v>
      </c>
      <c r="L378">
        <v>500</v>
      </c>
      <c r="M378" t="s">
        <v>14</v>
      </c>
      <c r="N378" t="s">
        <v>29</v>
      </c>
      <c r="O378" t="s">
        <v>16</v>
      </c>
      <c r="P378" t="s">
        <v>23</v>
      </c>
      <c r="Q378" t="str">
        <f t="shared" si="41"/>
        <v>10</v>
      </c>
      <c r="R378" s="5">
        <v>46150</v>
      </c>
      <c r="S378" s="8">
        <f t="shared" si="42"/>
        <v>140</v>
      </c>
      <c r="T378">
        <f t="shared" si="43"/>
        <v>840000</v>
      </c>
      <c r="U378" t="str">
        <f t="shared" si="44"/>
        <v>Premium</v>
      </c>
      <c r="V378" t="str">
        <f t="shared" si="45"/>
        <v>Compact</v>
      </c>
      <c r="W378" t="str">
        <f>IF(S378 &lt; VLOOKUP(E378, Locality_Tier_Benchmarks!A:B, 2, FALSE) * 0.7, "Below Tier Range", "Normal")</f>
        <v>Normal</v>
      </c>
      <c r="X378" t="str">
        <f t="shared" si="46"/>
        <v>Normal</v>
      </c>
      <c r="Y378" t="str">
        <f t="shared" si="47"/>
        <v>Normal</v>
      </c>
      <c r="Z378" t="str">
        <f t="shared" si="40"/>
        <v>Pass</v>
      </c>
    </row>
    <row r="379" spans="1:26" x14ac:dyDescent="0.25">
      <c r="A379" s="2" t="s">
        <v>781</v>
      </c>
      <c r="B379" t="s">
        <v>17</v>
      </c>
      <c r="C379" t="s">
        <v>468</v>
      </c>
      <c r="D379" s="2" t="str">
        <f>VLOOKUP(C379,Locality_Reference!A:C,2,)</f>
        <v>Western Line</v>
      </c>
      <c r="E379" s="2" t="str">
        <f>VLOOKUP(C379,Locality_Reference!A:C,3,)</f>
        <v>Mid Suburb</v>
      </c>
      <c r="F379" s="2" t="s">
        <v>1147</v>
      </c>
      <c r="G379" s="8">
        <v>25000</v>
      </c>
      <c r="H379">
        <v>1</v>
      </c>
      <c r="I379">
        <v>1</v>
      </c>
      <c r="J379">
        <v>0</v>
      </c>
      <c r="K379">
        <v>2</v>
      </c>
      <c r="L379">
        <v>150</v>
      </c>
      <c r="M379" t="s">
        <v>33</v>
      </c>
      <c r="N379" t="s">
        <v>29</v>
      </c>
      <c r="O379" t="s">
        <v>16</v>
      </c>
      <c r="P379" t="s">
        <v>23</v>
      </c>
      <c r="Q379" t="str">
        <f t="shared" si="41"/>
        <v>10</v>
      </c>
      <c r="R379" s="5">
        <v>46189</v>
      </c>
      <c r="S379" s="8">
        <f t="shared" si="42"/>
        <v>166.66666666666666</v>
      </c>
      <c r="T379">
        <f t="shared" si="43"/>
        <v>300000</v>
      </c>
      <c r="U379" t="str">
        <f t="shared" si="44"/>
        <v>Budget</v>
      </c>
      <c r="V379" t="str">
        <f t="shared" si="45"/>
        <v>Compact</v>
      </c>
      <c r="W379" t="str">
        <f>IF(S379 &lt; VLOOKUP(E379, Locality_Tier_Benchmarks!A:B, 2, FALSE) * 0.7, "Below Tier Range", "Normal")</f>
        <v>Normal</v>
      </c>
      <c r="X379" t="str">
        <f t="shared" si="46"/>
        <v>Normal</v>
      </c>
      <c r="Y379" t="str">
        <f t="shared" si="47"/>
        <v>Normal</v>
      </c>
      <c r="Z379" t="str">
        <f t="shared" si="40"/>
        <v>Pass</v>
      </c>
    </row>
    <row r="380" spans="1:26" x14ac:dyDescent="0.25">
      <c r="A380" s="2" t="s">
        <v>782</v>
      </c>
      <c r="B380" t="s">
        <v>17</v>
      </c>
      <c r="C380" t="s">
        <v>468</v>
      </c>
      <c r="D380" s="2" t="str">
        <f>VLOOKUP(C380,Locality_Reference!A:C,2,)</f>
        <v>Western Line</v>
      </c>
      <c r="E380" s="2" t="str">
        <f>VLOOKUP(C380,Locality_Reference!A:C,3,)</f>
        <v>Mid Suburb</v>
      </c>
      <c r="F380" s="2" t="s">
        <v>1148</v>
      </c>
      <c r="G380" s="8">
        <v>25000</v>
      </c>
      <c r="H380">
        <v>1</v>
      </c>
      <c r="I380">
        <v>1</v>
      </c>
      <c r="J380">
        <v>1</v>
      </c>
      <c r="K380">
        <v>7</v>
      </c>
      <c r="L380">
        <v>225</v>
      </c>
      <c r="M380" t="s">
        <v>33</v>
      </c>
      <c r="N380" t="s">
        <v>29</v>
      </c>
      <c r="O380" t="s">
        <v>16</v>
      </c>
      <c r="P380" t="s">
        <v>23</v>
      </c>
      <c r="Q380" t="str">
        <f t="shared" si="41"/>
        <v>10</v>
      </c>
      <c r="R380" s="5">
        <v>46158</v>
      </c>
      <c r="S380" s="8">
        <f t="shared" si="42"/>
        <v>111.11111111111111</v>
      </c>
      <c r="T380">
        <f t="shared" si="43"/>
        <v>300000</v>
      </c>
      <c r="U380" t="str">
        <f t="shared" si="44"/>
        <v>Budget</v>
      </c>
      <c r="V380" t="str">
        <f t="shared" si="45"/>
        <v>Compact</v>
      </c>
      <c r="W380" t="str">
        <f>IF(S380 &lt; VLOOKUP(E380, Locality_Tier_Benchmarks!A:B, 2, FALSE) * 0.7, "Below Tier Range", "Normal")</f>
        <v>Normal</v>
      </c>
      <c r="X380" t="str">
        <f t="shared" si="46"/>
        <v>Normal</v>
      </c>
      <c r="Y380" t="str">
        <f t="shared" si="47"/>
        <v>Normal</v>
      </c>
      <c r="Z380" t="str">
        <f t="shared" si="40"/>
        <v>Pass</v>
      </c>
    </row>
    <row r="381" spans="1:26" x14ac:dyDescent="0.25">
      <c r="A381" s="2" t="s">
        <v>783</v>
      </c>
      <c r="B381" t="s">
        <v>366</v>
      </c>
      <c r="C381" t="s">
        <v>468</v>
      </c>
      <c r="D381" s="2" t="str">
        <f>VLOOKUP(C381,Locality_Reference!A:C,2,)</f>
        <v>Western Line</v>
      </c>
      <c r="E381" s="2" t="str">
        <f>VLOOKUP(C381,Locality_Reference!A:C,3,)</f>
        <v>Mid Suburb</v>
      </c>
      <c r="F381" s="2" t="s">
        <v>1149</v>
      </c>
      <c r="G381" s="8">
        <v>65000</v>
      </c>
      <c r="H381">
        <v>1</v>
      </c>
      <c r="I381">
        <v>2</v>
      </c>
      <c r="J381">
        <v>2</v>
      </c>
      <c r="K381">
        <v>7</v>
      </c>
      <c r="L381">
        <v>500</v>
      </c>
      <c r="M381" t="s">
        <v>14</v>
      </c>
      <c r="N381" t="s">
        <v>29</v>
      </c>
      <c r="O381" t="s">
        <v>16</v>
      </c>
      <c r="P381" t="s">
        <v>1150</v>
      </c>
      <c r="Q381" t="str">
        <f t="shared" si="41"/>
        <v>20</v>
      </c>
      <c r="R381" s="5">
        <v>46187</v>
      </c>
      <c r="S381" s="8">
        <f t="shared" si="42"/>
        <v>130</v>
      </c>
      <c r="T381">
        <f t="shared" si="43"/>
        <v>780000</v>
      </c>
      <c r="U381" t="str">
        <f t="shared" si="44"/>
        <v>Premium</v>
      </c>
      <c r="V381" t="str">
        <f t="shared" si="45"/>
        <v>Compact</v>
      </c>
      <c r="W381" t="str">
        <f>IF(S381 &lt; VLOOKUP(E381, Locality_Tier_Benchmarks!A:B, 2, FALSE) * 0.7, "Below Tier Range", "Normal")</f>
        <v>Normal</v>
      </c>
      <c r="X381" t="str">
        <f t="shared" si="46"/>
        <v>Normal</v>
      </c>
      <c r="Y381" t="str">
        <f t="shared" si="47"/>
        <v>Normal</v>
      </c>
      <c r="Z381" t="str">
        <f t="shared" si="40"/>
        <v>Pass</v>
      </c>
    </row>
    <row r="382" spans="1:26" x14ac:dyDescent="0.25">
      <c r="A382" s="2" t="s">
        <v>784</v>
      </c>
      <c r="B382" t="s">
        <v>17</v>
      </c>
      <c r="C382" t="s">
        <v>468</v>
      </c>
      <c r="D382" s="2" t="str">
        <f>VLOOKUP(C382,Locality_Reference!A:C,2,)</f>
        <v>Western Line</v>
      </c>
      <c r="E382" s="2" t="str">
        <f>VLOOKUP(C382,Locality_Reference!A:C,3,)</f>
        <v>Mid Suburb</v>
      </c>
      <c r="F382" s="2" t="s">
        <v>1151</v>
      </c>
      <c r="G382" s="8">
        <v>135000</v>
      </c>
      <c r="H382">
        <v>2</v>
      </c>
      <c r="I382">
        <v>2</v>
      </c>
      <c r="J382">
        <v>2</v>
      </c>
      <c r="K382">
        <v>5</v>
      </c>
      <c r="L382">
        <v>600</v>
      </c>
      <c r="M382" t="s">
        <v>14</v>
      </c>
      <c r="N382" t="s">
        <v>29</v>
      </c>
      <c r="O382" t="s">
        <v>16</v>
      </c>
      <c r="P382" t="s">
        <v>52</v>
      </c>
      <c r="Q382" t="str">
        <f t="shared" si="41"/>
        <v>7.5</v>
      </c>
      <c r="R382" s="5">
        <v>46191</v>
      </c>
      <c r="S382" s="8">
        <f t="shared" si="42"/>
        <v>225</v>
      </c>
      <c r="T382">
        <f t="shared" si="43"/>
        <v>1620000</v>
      </c>
      <c r="U382" t="str">
        <f t="shared" si="44"/>
        <v>Luxury</v>
      </c>
      <c r="V382" t="str">
        <f t="shared" si="45"/>
        <v>Medium</v>
      </c>
      <c r="W382" t="str">
        <f>IF(S382 &lt; VLOOKUP(E382, Locality_Tier_Benchmarks!A:B, 2, FALSE) * 0.7, "Below Tier Range", "Normal")</f>
        <v>Normal</v>
      </c>
      <c r="X382" t="str">
        <f t="shared" si="46"/>
        <v>Normal</v>
      </c>
      <c r="Y382" t="str">
        <f t="shared" si="47"/>
        <v>Normal</v>
      </c>
      <c r="Z382" t="str">
        <f t="shared" si="40"/>
        <v>Pass</v>
      </c>
    </row>
    <row r="383" spans="1:26" x14ac:dyDescent="0.25">
      <c r="A383" s="2" t="s">
        <v>785</v>
      </c>
      <c r="B383" t="s">
        <v>17</v>
      </c>
      <c r="C383" t="s">
        <v>468</v>
      </c>
      <c r="D383" s="2" t="str">
        <f>VLOOKUP(C383,Locality_Reference!A:C,2,)</f>
        <v>Western Line</v>
      </c>
      <c r="E383" s="2" t="str">
        <f>VLOOKUP(C383,Locality_Reference!A:C,3,)</f>
        <v>Mid Suburb</v>
      </c>
      <c r="F383" s="2" t="s">
        <v>1152</v>
      </c>
      <c r="G383" s="8">
        <v>275000</v>
      </c>
      <c r="H383">
        <v>2</v>
      </c>
      <c r="I383">
        <v>3</v>
      </c>
      <c r="J383">
        <v>1</v>
      </c>
      <c r="K383">
        <v>17</v>
      </c>
      <c r="L383">
        <v>800</v>
      </c>
      <c r="M383" t="s">
        <v>14</v>
      </c>
      <c r="N383" t="s">
        <v>29</v>
      </c>
      <c r="O383" t="s">
        <v>16</v>
      </c>
      <c r="P383" t="s">
        <v>31</v>
      </c>
      <c r="Q383" t="str">
        <f t="shared" si="41"/>
        <v>3</v>
      </c>
      <c r="R383" s="5">
        <v>46143</v>
      </c>
      <c r="S383" s="8">
        <f t="shared" si="42"/>
        <v>343.75</v>
      </c>
      <c r="T383">
        <f t="shared" si="43"/>
        <v>3300000</v>
      </c>
      <c r="U383" t="str">
        <f t="shared" si="44"/>
        <v>Luxury</v>
      </c>
      <c r="V383" t="str">
        <f t="shared" si="45"/>
        <v>Medium</v>
      </c>
      <c r="W383" t="str">
        <f>IF(S383 &lt; VLOOKUP(E383, Locality_Tier_Benchmarks!A:B, 2, FALSE) * 0.7, "Below Tier Range", "Normal")</f>
        <v>Normal</v>
      </c>
      <c r="X383" t="str">
        <f t="shared" si="46"/>
        <v>Normal</v>
      </c>
      <c r="Y383" t="str">
        <f t="shared" si="47"/>
        <v>Normal</v>
      </c>
      <c r="Z383" t="str">
        <f t="shared" si="40"/>
        <v>Pass</v>
      </c>
    </row>
    <row r="384" spans="1:26" x14ac:dyDescent="0.25">
      <c r="A384" s="2" t="s">
        <v>786</v>
      </c>
      <c r="B384" t="s">
        <v>17</v>
      </c>
      <c r="C384" t="s">
        <v>468</v>
      </c>
      <c r="D384" s="2" t="str">
        <f>VLOOKUP(C384,Locality_Reference!A:C,2,)</f>
        <v>Western Line</v>
      </c>
      <c r="E384" s="2" t="str">
        <f>VLOOKUP(C384,Locality_Reference!A:C,3,)</f>
        <v>Mid Suburb</v>
      </c>
      <c r="F384" s="2" t="s">
        <v>1153</v>
      </c>
      <c r="G384" s="8">
        <v>120000</v>
      </c>
      <c r="H384">
        <v>2</v>
      </c>
      <c r="I384">
        <v>2</v>
      </c>
      <c r="J384">
        <v>6</v>
      </c>
      <c r="K384">
        <v>7</v>
      </c>
      <c r="L384">
        <v>700</v>
      </c>
      <c r="M384" t="s">
        <v>14</v>
      </c>
      <c r="N384" t="s">
        <v>29</v>
      </c>
      <c r="O384" t="s">
        <v>16</v>
      </c>
      <c r="P384" t="s">
        <v>34</v>
      </c>
      <c r="Q384" t="str">
        <f t="shared" si="41"/>
        <v/>
      </c>
      <c r="R384" s="5">
        <v>46150</v>
      </c>
      <c r="S384" s="8">
        <f t="shared" si="42"/>
        <v>171.42857142857142</v>
      </c>
      <c r="T384">
        <f t="shared" si="43"/>
        <v>1440000</v>
      </c>
      <c r="U384" t="str">
        <f t="shared" si="44"/>
        <v>Luxury</v>
      </c>
      <c r="V384" t="str">
        <f t="shared" si="45"/>
        <v>Medium</v>
      </c>
      <c r="W384" t="str">
        <f>IF(S384 &lt; VLOOKUP(E384, Locality_Tier_Benchmarks!A:B, 2, FALSE) * 0.7, "Below Tier Range", "Normal")</f>
        <v>Normal</v>
      </c>
      <c r="X384" t="str">
        <f t="shared" si="46"/>
        <v>Normal</v>
      </c>
      <c r="Y384" t="str">
        <f t="shared" si="47"/>
        <v>Normal</v>
      </c>
      <c r="Z384" t="str">
        <f t="shared" si="40"/>
        <v>Pass</v>
      </c>
    </row>
    <row r="385" spans="1:26" x14ac:dyDescent="0.25">
      <c r="A385" s="2" t="s">
        <v>787</v>
      </c>
      <c r="B385" t="s">
        <v>17</v>
      </c>
      <c r="C385" t="s">
        <v>468</v>
      </c>
      <c r="D385" s="2" t="str">
        <f>VLOOKUP(C385,Locality_Reference!A:C,2,)</f>
        <v>Western Line</v>
      </c>
      <c r="E385" s="2" t="str">
        <f>VLOOKUP(C385,Locality_Reference!A:C,3,)</f>
        <v>Mid Suburb</v>
      </c>
      <c r="F385" s="2" t="s">
        <v>1154</v>
      </c>
      <c r="G385" s="8">
        <v>95000</v>
      </c>
      <c r="H385">
        <v>2</v>
      </c>
      <c r="I385">
        <v>2</v>
      </c>
      <c r="J385">
        <v>6</v>
      </c>
      <c r="K385">
        <v>10</v>
      </c>
      <c r="L385">
        <v>700</v>
      </c>
      <c r="M385" t="s">
        <v>14</v>
      </c>
      <c r="N385" t="s">
        <v>15</v>
      </c>
      <c r="O385" t="s">
        <v>16</v>
      </c>
      <c r="P385" t="s">
        <v>52</v>
      </c>
      <c r="Q385" t="str">
        <f t="shared" si="41"/>
        <v>7.5</v>
      </c>
      <c r="R385" s="5">
        <v>46148</v>
      </c>
      <c r="S385" s="8">
        <f t="shared" si="42"/>
        <v>135.71428571428572</v>
      </c>
      <c r="T385">
        <f t="shared" si="43"/>
        <v>1140000</v>
      </c>
      <c r="U385" t="str">
        <f t="shared" si="44"/>
        <v>Premium</v>
      </c>
      <c r="V385" t="str">
        <f t="shared" si="45"/>
        <v>Medium</v>
      </c>
      <c r="W385" t="str">
        <f>IF(S385 &lt; VLOOKUP(E385, Locality_Tier_Benchmarks!A:B, 2, FALSE) * 0.7, "Below Tier Range", "Normal")</f>
        <v>Normal</v>
      </c>
      <c r="X385" t="str">
        <f t="shared" si="46"/>
        <v>Normal</v>
      </c>
      <c r="Y385" t="str">
        <f t="shared" si="47"/>
        <v>Normal</v>
      </c>
      <c r="Z385" t="str">
        <f t="shared" si="40"/>
        <v>Pass</v>
      </c>
    </row>
    <row r="386" spans="1:26" x14ac:dyDescent="0.25">
      <c r="A386" s="2" t="s">
        <v>788</v>
      </c>
      <c r="B386" t="s">
        <v>17</v>
      </c>
      <c r="C386" t="s">
        <v>468</v>
      </c>
      <c r="D386" s="2" t="str">
        <f>VLOOKUP(C386,Locality_Reference!A:C,2,)</f>
        <v>Western Line</v>
      </c>
      <c r="E386" s="2" t="str">
        <f>VLOOKUP(C386,Locality_Reference!A:C,3,)</f>
        <v>Mid Suburb</v>
      </c>
      <c r="F386" s="2" t="s">
        <v>1155</v>
      </c>
      <c r="G386" s="8">
        <v>110000</v>
      </c>
      <c r="H386">
        <v>2</v>
      </c>
      <c r="I386">
        <v>2</v>
      </c>
      <c r="J386">
        <v>2</v>
      </c>
      <c r="K386">
        <v>11</v>
      </c>
      <c r="L386">
        <v>694</v>
      </c>
      <c r="M386" t="s">
        <v>33</v>
      </c>
      <c r="N386" t="s">
        <v>29</v>
      </c>
      <c r="O386" t="s">
        <v>16</v>
      </c>
      <c r="P386" t="s">
        <v>34</v>
      </c>
      <c r="Q386" t="str">
        <f t="shared" si="41"/>
        <v/>
      </c>
      <c r="R386" s="5">
        <v>46200</v>
      </c>
      <c r="S386" s="8">
        <f t="shared" si="42"/>
        <v>158.5014409221902</v>
      </c>
      <c r="T386">
        <f t="shared" si="43"/>
        <v>1320000</v>
      </c>
      <c r="U386" t="str">
        <f t="shared" si="44"/>
        <v>Luxury</v>
      </c>
      <c r="V386" t="str">
        <f t="shared" si="45"/>
        <v>Medium</v>
      </c>
      <c r="W386" t="str">
        <f>IF(S386 &lt; VLOOKUP(E386, Locality_Tier_Benchmarks!A:B, 2, FALSE) * 0.7, "Below Tier Range", "Normal")</f>
        <v>Normal</v>
      </c>
      <c r="X386" t="str">
        <f t="shared" si="46"/>
        <v>Normal</v>
      </c>
      <c r="Y386" t="str">
        <f t="shared" si="47"/>
        <v>Normal</v>
      </c>
      <c r="Z386" t="str">
        <f t="shared" ref="Z386:Z449" si="48">IF(OR(W386&lt;&gt;"Normal",X386&lt;&gt;"Normal",Y386&lt;&gt;"Normal"),"Review","Pass")</f>
        <v>Pass</v>
      </c>
    </row>
    <row r="387" spans="1:26" x14ac:dyDescent="0.25">
      <c r="A387" s="2" t="s">
        <v>789</v>
      </c>
      <c r="B387" t="s">
        <v>17</v>
      </c>
      <c r="C387" t="s">
        <v>468</v>
      </c>
      <c r="D387" s="2" t="str">
        <f>VLOOKUP(C387,Locality_Reference!A:C,2,)</f>
        <v>Western Line</v>
      </c>
      <c r="E387" s="2" t="str">
        <f>VLOOKUP(C387,Locality_Reference!A:C,3,)</f>
        <v>Mid Suburb</v>
      </c>
      <c r="F387" s="2" t="s">
        <v>1156</v>
      </c>
      <c r="G387" s="8">
        <v>240000</v>
      </c>
      <c r="H387">
        <v>3</v>
      </c>
      <c r="I387">
        <v>3</v>
      </c>
      <c r="J387">
        <v>4</v>
      </c>
      <c r="K387">
        <v>15</v>
      </c>
      <c r="L387">
        <v>1222</v>
      </c>
      <c r="M387" t="s">
        <v>33</v>
      </c>
      <c r="N387" t="s">
        <v>15</v>
      </c>
      <c r="O387" t="s">
        <v>16</v>
      </c>
      <c r="P387" t="s">
        <v>34</v>
      </c>
      <c r="Q387" t="str">
        <f t="shared" ref="Q387:Q450" si="49">IF(P387="20+ Years","20",IF(P387="15-20 Years","17.5",IF(P387="10+ Years","10",IF(P387="5-10 Years","7.5",IF(P387="1-5 Years","3",IF(P387="0-1 Year","1",""))))))</f>
        <v/>
      </c>
      <c r="R387" s="5">
        <v>46193</v>
      </c>
      <c r="S387" s="8">
        <f t="shared" ref="S387:S450" si="50">G387/L387</f>
        <v>196.39934533551556</v>
      </c>
      <c r="T387">
        <f t="shared" ref="T387:T450" si="51">G387*12</f>
        <v>2880000</v>
      </c>
      <c r="U387" t="str">
        <f t="shared" ref="U387:U450" si="52">IF(G387&lt;=30000,"Budget",IF(G387&lt;=60000,"Mid",IF(G387&lt;=100000,"Premium","Luxury")))</f>
        <v>Luxury</v>
      </c>
      <c r="V387" t="str">
        <f t="shared" ref="V387:V450" si="53">IF(L387&lt;=500,"Compact",IF(L387&lt;=800,"Medium",IF(L387&lt;=1200,"Large","Spacious")))</f>
        <v>Spacious</v>
      </c>
      <c r="W387" t="str">
        <f>IF(S387 &lt; VLOOKUP(E387, Locality_Tier_Benchmarks!A:B, 2, FALSE) * 0.7, "Below Tier Range", "Normal")</f>
        <v>Normal</v>
      </c>
      <c r="X387" t="str">
        <f t="shared" ref="X387:X450" si="54">IF(G387&lt;7000,"Below Absolute Floor","Normal")</f>
        <v>Normal</v>
      </c>
      <c r="Y387" t="str">
        <f t="shared" ref="Y387:Y450" si="55">IF(S387&gt;500,"Possible Typo - Check Zero","Normal")</f>
        <v>Normal</v>
      </c>
      <c r="Z387" t="str">
        <f t="shared" si="48"/>
        <v>Pass</v>
      </c>
    </row>
    <row r="388" spans="1:26" x14ac:dyDescent="0.25">
      <c r="A388" s="2" t="s">
        <v>790</v>
      </c>
      <c r="B388" t="s">
        <v>17</v>
      </c>
      <c r="C388" t="s">
        <v>468</v>
      </c>
      <c r="D388" s="2" t="str">
        <f>VLOOKUP(C388,Locality_Reference!A:C,2,)</f>
        <v>Western Line</v>
      </c>
      <c r="E388" s="2" t="str">
        <f>VLOOKUP(C388,Locality_Reference!A:C,3,)</f>
        <v>Mid Suburb</v>
      </c>
      <c r="F388" s="2" t="s">
        <v>1157</v>
      </c>
      <c r="G388" s="8">
        <v>250000</v>
      </c>
      <c r="H388">
        <v>3</v>
      </c>
      <c r="I388">
        <v>3</v>
      </c>
      <c r="J388">
        <v>6</v>
      </c>
      <c r="K388">
        <v>16</v>
      </c>
      <c r="L388">
        <v>1537</v>
      </c>
      <c r="M388" t="s">
        <v>36</v>
      </c>
      <c r="N388" t="s">
        <v>29</v>
      </c>
      <c r="O388" t="s">
        <v>16</v>
      </c>
      <c r="P388" t="s">
        <v>47</v>
      </c>
      <c r="Q388" t="str">
        <f t="shared" si="49"/>
        <v>1</v>
      </c>
      <c r="R388" s="5">
        <v>46148</v>
      </c>
      <c r="S388" s="8">
        <f t="shared" si="50"/>
        <v>162.65452179570593</v>
      </c>
      <c r="T388">
        <f t="shared" si="51"/>
        <v>3000000</v>
      </c>
      <c r="U388" t="str">
        <f t="shared" si="52"/>
        <v>Luxury</v>
      </c>
      <c r="V388" t="str">
        <f t="shared" si="53"/>
        <v>Spacious</v>
      </c>
      <c r="W388" t="str">
        <f>IF(S388 &lt; VLOOKUP(E388, Locality_Tier_Benchmarks!A:B, 2, FALSE) * 0.7, "Below Tier Range", "Normal")</f>
        <v>Normal</v>
      </c>
      <c r="X388" t="str">
        <f t="shared" si="54"/>
        <v>Normal</v>
      </c>
      <c r="Y388" t="str">
        <f t="shared" si="55"/>
        <v>Normal</v>
      </c>
      <c r="Z388" t="str">
        <f t="shared" si="48"/>
        <v>Pass</v>
      </c>
    </row>
    <row r="389" spans="1:26" x14ac:dyDescent="0.25">
      <c r="A389" s="2" t="s">
        <v>791</v>
      </c>
      <c r="B389" t="s">
        <v>17</v>
      </c>
      <c r="C389" t="s">
        <v>468</v>
      </c>
      <c r="D389" s="2" t="str">
        <f>VLOOKUP(C389,Locality_Reference!A:C,2,)</f>
        <v>Western Line</v>
      </c>
      <c r="E389" s="2" t="str">
        <f>VLOOKUP(C389,Locality_Reference!A:C,3,)</f>
        <v>Mid Suburb</v>
      </c>
      <c r="F389" s="2" t="s">
        <v>1152</v>
      </c>
      <c r="G389" s="8">
        <v>275000</v>
      </c>
      <c r="H389">
        <v>3</v>
      </c>
      <c r="I389">
        <v>3</v>
      </c>
      <c r="J389">
        <v>5</v>
      </c>
      <c r="K389">
        <v>17</v>
      </c>
      <c r="L389">
        <v>1279.94</v>
      </c>
      <c r="M389" t="s">
        <v>36</v>
      </c>
      <c r="N389" t="s">
        <v>29</v>
      </c>
      <c r="O389" t="s">
        <v>16</v>
      </c>
      <c r="P389" t="s">
        <v>31</v>
      </c>
      <c r="Q389" t="str">
        <f t="shared" si="49"/>
        <v>3</v>
      </c>
      <c r="R389" s="5">
        <v>46148</v>
      </c>
      <c r="S389" s="8">
        <f t="shared" si="50"/>
        <v>214.85382127287215</v>
      </c>
      <c r="T389">
        <f t="shared" si="51"/>
        <v>3300000</v>
      </c>
      <c r="U389" t="str">
        <f t="shared" si="52"/>
        <v>Luxury</v>
      </c>
      <c r="V389" t="str">
        <f t="shared" si="53"/>
        <v>Spacious</v>
      </c>
      <c r="W389" t="str">
        <f>IF(S389 &lt; VLOOKUP(E389, Locality_Tier_Benchmarks!A:B, 2, FALSE) * 0.7, "Below Tier Range", "Normal")</f>
        <v>Normal</v>
      </c>
      <c r="X389" t="str">
        <f t="shared" si="54"/>
        <v>Normal</v>
      </c>
      <c r="Y389" t="str">
        <f t="shared" si="55"/>
        <v>Normal</v>
      </c>
      <c r="Z389" t="str">
        <f t="shared" si="48"/>
        <v>Pass</v>
      </c>
    </row>
    <row r="390" spans="1:26" x14ac:dyDescent="0.25">
      <c r="A390" s="2" t="s">
        <v>792</v>
      </c>
      <c r="B390" t="s">
        <v>17</v>
      </c>
      <c r="C390" t="s">
        <v>468</v>
      </c>
      <c r="D390" s="2" t="str">
        <f>VLOOKUP(C390,Locality_Reference!A:C,2,)</f>
        <v>Western Line</v>
      </c>
      <c r="E390" s="2" t="str">
        <f>VLOOKUP(C390,Locality_Reference!A:C,3,)</f>
        <v>Mid Suburb</v>
      </c>
      <c r="F390" s="2" t="s">
        <v>1153</v>
      </c>
      <c r="G390" s="8">
        <v>165000</v>
      </c>
      <c r="H390">
        <v>3</v>
      </c>
      <c r="I390">
        <v>3</v>
      </c>
      <c r="J390">
        <v>6</v>
      </c>
      <c r="K390">
        <v>7</v>
      </c>
      <c r="L390">
        <v>1050</v>
      </c>
      <c r="M390" t="s">
        <v>14</v>
      </c>
      <c r="N390" t="s">
        <v>29</v>
      </c>
      <c r="O390" t="s">
        <v>16</v>
      </c>
      <c r="P390" t="s">
        <v>34</v>
      </c>
      <c r="Q390" t="str">
        <f t="shared" si="49"/>
        <v/>
      </c>
      <c r="R390" s="5">
        <v>46150</v>
      </c>
      <c r="S390" s="8">
        <f t="shared" si="50"/>
        <v>157.14285714285714</v>
      </c>
      <c r="T390">
        <f t="shared" si="51"/>
        <v>1980000</v>
      </c>
      <c r="U390" t="str">
        <f t="shared" si="52"/>
        <v>Luxury</v>
      </c>
      <c r="V390" t="str">
        <f t="shared" si="53"/>
        <v>Large</v>
      </c>
      <c r="W390" t="str">
        <f>IF(S390 &lt; VLOOKUP(E390, Locality_Tier_Benchmarks!A:B, 2, FALSE) * 0.7, "Below Tier Range", "Normal")</f>
        <v>Normal</v>
      </c>
      <c r="X390" t="str">
        <f t="shared" si="54"/>
        <v>Normal</v>
      </c>
      <c r="Y390" t="str">
        <f t="shared" si="55"/>
        <v>Normal</v>
      </c>
      <c r="Z390" t="str">
        <f t="shared" si="48"/>
        <v>Pass</v>
      </c>
    </row>
    <row r="391" spans="1:26" x14ac:dyDescent="0.25">
      <c r="A391" s="2" t="s">
        <v>793</v>
      </c>
      <c r="B391" t="s">
        <v>17</v>
      </c>
      <c r="C391" t="s">
        <v>468</v>
      </c>
      <c r="D391" s="2" t="str">
        <f>VLOOKUP(C391,Locality_Reference!A:C,2,)</f>
        <v>Western Line</v>
      </c>
      <c r="E391" s="2" t="str">
        <f>VLOOKUP(C391,Locality_Reference!A:C,3,)</f>
        <v>Mid Suburb</v>
      </c>
      <c r="F391" s="2" t="s">
        <v>1158</v>
      </c>
      <c r="G391" s="8">
        <v>140000</v>
      </c>
      <c r="H391">
        <v>3</v>
      </c>
      <c r="I391">
        <v>2</v>
      </c>
      <c r="J391">
        <v>3</v>
      </c>
      <c r="K391">
        <v>7</v>
      </c>
      <c r="L391">
        <v>1075</v>
      </c>
      <c r="M391" t="s">
        <v>14</v>
      </c>
      <c r="N391" t="s">
        <v>15</v>
      </c>
      <c r="O391" t="s">
        <v>16</v>
      </c>
      <c r="P391" t="s">
        <v>23</v>
      </c>
      <c r="Q391" t="str">
        <f t="shared" si="49"/>
        <v>10</v>
      </c>
      <c r="R391" s="5">
        <v>46195</v>
      </c>
      <c r="S391" s="8">
        <f t="shared" si="50"/>
        <v>130.23255813953489</v>
      </c>
      <c r="T391">
        <f t="shared" si="51"/>
        <v>1680000</v>
      </c>
      <c r="U391" t="str">
        <f t="shared" si="52"/>
        <v>Luxury</v>
      </c>
      <c r="V391" t="str">
        <f t="shared" si="53"/>
        <v>Large</v>
      </c>
      <c r="W391" t="str">
        <f>IF(S391 &lt; VLOOKUP(E391, Locality_Tier_Benchmarks!A:B, 2, FALSE) * 0.7, "Below Tier Range", "Normal")</f>
        <v>Normal</v>
      </c>
      <c r="X391" t="str">
        <f t="shared" si="54"/>
        <v>Normal</v>
      </c>
      <c r="Y391" t="str">
        <f t="shared" si="55"/>
        <v>Normal</v>
      </c>
      <c r="Z391" t="str">
        <f t="shared" si="48"/>
        <v>Pass</v>
      </c>
    </row>
    <row r="392" spans="1:26" x14ac:dyDescent="0.25">
      <c r="A392" s="2" t="s">
        <v>794</v>
      </c>
      <c r="B392" t="s">
        <v>17</v>
      </c>
      <c r="C392" t="s">
        <v>467</v>
      </c>
      <c r="D392" s="2" t="str">
        <f>VLOOKUP(C392,Locality_Reference!A:C,2,)</f>
        <v>Western Line</v>
      </c>
      <c r="E392" s="2" t="str">
        <f>VLOOKUP(C392,Locality_Reference!A:C,3,)</f>
        <v>Mid Suburb</v>
      </c>
      <c r="F392" s="2" t="s">
        <v>1159</v>
      </c>
      <c r="G392" s="8">
        <v>59999</v>
      </c>
      <c r="H392">
        <v>1</v>
      </c>
      <c r="I392">
        <v>2</v>
      </c>
      <c r="J392">
        <v>1</v>
      </c>
      <c r="K392">
        <v>7</v>
      </c>
      <c r="L392">
        <v>450</v>
      </c>
      <c r="M392" t="s">
        <v>33</v>
      </c>
      <c r="N392" t="s">
        <v>29</v>
      </c>
      <c r="O392" t="s">
        <v>16</v>
      </c>
      <c r="P392" t="s">
        <v>23</v>
      </c>
      <c r="Q392" t="str">
        <f t="shared" si="49"/>
        <v>10</v>
      </c>
      <c r="R392" s="5">
        <v>46202</v>
      </c>
      <c r="S392" s="8">
        <f t="shared" si="50"/>
        <v>133.33111111111111</v>
      </c>
      <c r="T392">
        <f t="shared" si="51"/>
        <v>719988</v>
      </c>
      <c r="U392" t="str">
        <f t="shared" si="52"/>
        <v>Mid</v>
      </c>
      <c r="V392" t="str">
        <f t="shared" si="53"/>
        <v>Compact</v>
      </c>
      <c r="W392" t="str">
        <f>IF(S392 &lt; VLOOKUP(E392, Locality_Tier_Benchmarks!A:B, 2, FALSE) * 0.7, "Below Tier Range", "Normal")</f>
        <v>Normal</v>
      </c>
      <c r="X392" t="str">
        <f t="shared" si="54"/>
        <v>Normal</v>
      </c>
      <c r="Y392" t="str">
        <f t="shared" si="55"/>
        <v>Normal</v>
      </c>
      <c r="Z392" t="str">
        <f t="shared" si="48"/>
        <v>Pass</v>
      </c>
    </row>
    <row r="393" spans="1:26" x14ac:dyDescent="0.25">
      <c r="A393" s="2" t="s">
        <v>795</v>
      </c>
      <c r="B393" t="s">
        <v>17</v>
      </c>
      <c r="C393" t="s">
        <v>467</v>
      </c>
      <c r="D393" s="2" t="str">
        <f>VLOOKUP(C393,Locality_Reference!A:C,2,)</f>
        <v>Western Line</v>
      </c>
      <c r="E393" s="2" t="str">
        <f>VLOOKUP(C393,Locality_Reference!A:C,3,)</f>
        <v>Mid Suburb</v>
      </c>
      <c r="F393" s="2" t="s">
        <v>1160</v>
      </c>
      <c r="G393" s="8">
        <v>55000</v>
      </c>
      <c r="H393">
        <v>1</v>
      </c>
      <c r="I393">
        <v>2</v>
      </c>
      <c r="J393">
        <v>6</v>
      </c>
      <c r="K393">
        <v>7</v>
      </c>
      <c r="L393">
        <v>550</v>
      </c>
      <c r="M393" t="s">
        <v>36</v>
      </c>
      <c r="N393" t="s">
        <v>29</v>
      </c>
      <c r="O393" t="s">
        <v>16</v>
      </c>
      <c r="P393" t="s">
        <v>23</v>
      </c>
      <c r="Q393" t="str">
        <f t="shared" si="49"/>
        <v>10</v>
      </c>
      <c r="R393" s="5">
        <v>46185</v>
      </c>
      <c r="S393" s="8">
        <f t="shared" si="50"/>
        <v>100</v>
      </c>
      <c r="T393">
        <f t="shared" si="51"/>
        <v>660000</v>
      </c>
      <c r="U393" t="str">
        <f t="shared" si="52"/>
        <v>Mid</v>
      </c>
      <c r="V393" t="str">
        <f t="shared" si="53"/>
        <v>Medium</v>
      </c>
      <c r="W393" t="str">
        <f>IF(S393 &lt; VLOOKUP(E393, Locality_Tier_Benchmarks!A:B, 2, FALSE) * 0.7, "Below Tier Range", "Normal")</f>
        <v>Normal</v>
      </c>
      <c r="X393" t="str">
        <f t="shared" si="54"/>
        <v>Normal</v>
      </c>
      <c r="Y393" t="str">
        <f t="shared" si="55"/>
        <v>Normal</v>
      </c>
      <c r="Z393" t="str">
        <f t="shared" si="48"/>
        <v>Pass</v>
      </c>
    </row>
    <row r="394" spans="1:26" x14ac:dyDescent="0.25">
      <c r="A394" s="2" t="s">
        <v>796</v>
      </c>
      <c r="B394" t="s">
        <v>17</v>
      </c>
      <c r="C394" t="s">
        <v>467</v>
      </c>
      <c r="D394" s="2" t="str">
        <f>VLOOKUP(C394,Locality_Reference!A:C,2,)</f>
        <v>Western Line</v>
      </c>
      <c r="E394" s="2" t="str">
        <f>VLOOKUP(C394,Locality_Reference!A:C,3,)</f>
        <v>Mid Suburb</v>
      </c>
      <c r="F394" s="2" t="s">
        <v>1161</v>
      </c>
      <c r="G394" s="8">
        <v>45000</v>
      </c>
      <c r="H394">
        <v>1</v>
      </c>
      <c r="I394">
        <v>2</v>
      </c>
      <c r="J394">
        <v>1</v>
      </c>
      <c r="K394">
        <v>5</v>
      </c>
      <c r="L394">
        <v>402</v>
      </c>
      <c r="M394" t="s">
        <v>33</v>
      </c>
      <c r="N394" t="s">
        <v>29</v>
      </c>
      <c r="O394" t="s">
        <v>16</v>
      </c>
      <c r="P394" t="s">
        <v>31</v>
      </c>
      <c r="Q394" t="str">
        <f t="shared" si="49"/>
        <v>3</v>
      </c>
      <c r="R394" s="5">
        <v>46200</v>
      </c>
      <c r="S394" s="8">
        <f t="shared" si="50"/>
        <v>111.94029850746269</v>
      </c>
      <c r="T394">
        <f t="shared" si="51"/>
        <v>540000</v>
      </c>
      <c r="U394" t="str">
        <f t="shared" si="52"/>
        <v>Mid</v>
      </c>
      <c r="V394" t="str">
        <f t="shared" si="53"/>
        <v>Compact</v>
      </c>
      <c r="W394" t="str">
        <f>IF(S394 &lt; VLOOKUP(E394, Locality_Tier_Benchmarks!A:B, 2, FALSE) * 0.7, "Below Tier Range", "Normal")</f>
        <v>Normal</v>
      </c>
      <c r="X394" t="str">
        <f t="shared" si="54"/>
        <v>Normal</v>
      </c>
      <c r="Y394" t="str">
        <f t="shared" si="55"/>
        <v>Normal</v>
      </c>
      <c r="Z394" t="str">
        <f t="shared" si="48"/>
        <v>Pass</v>
      </c>
    </row>
    <row r="395" spans="1:26" x14ac:dyDescent="0.25">
      <c r="A395" s="2" t="s">
        <v>797</v>
      </c>
      <c r="B395" t="s">
        <v>17</v>
      </c>
      <c r="C395" t="s">
        <v>467</v>
      </c>
      <c r="D395" s="2" t="str">
        <f>VLOOKUP(C395,Locality_Reference!A:C,2,)</f>
        <v>Western Line</v>
      </c>
      <c r="E395" s="2" t="str">
        <f>VLOOKUP(C395,Locality_Reference!A:C,3,)</f>
        <v>Mid Suburb</v>
      </c>
      <c r="F395" s="2" t="s">
        <v>1162</v>
      </c>
      <c r="G395" s="8">
        <v>38000</v>
      </c>
      <c r="H395">
        <v>1</v>
      </c>
      <c r="I395">
        <v>1</v>
      </c>
      <c r="J395">
        <v>4</v>
      </c>
      <c r="K395">
        <v>4</v>
      </c>
      <c r="L395">
        <v>500</v>
      </c>
      <c r="M395" t="s">
        <v>33</v>
      </c>
      <c r="N395" t="s">
        <v>29</v>
      </c>
      <c r="O395" t="s">
        <v>16</v>
      </c>
      <c r="P395" t="s">
        <v>34</v>
      </c>
      <c r="Q395" t="str">
        <f t="shared" si="49"/>
        <v/>
      </c>
      <c r="R395" s="5">
        <v>46197</v>
      </c>
      <c r="S395" s="8">
        <f t="shared" si="50"/>
        <v>76</v>
      </c>
      <c r="T395">
        <f t="shared" si="51"/>
        <v>456000</v>
      </c>
      <c r="U395" t="str">
        <f t="shared" si="52"/>
        <v>Mid</v>
      </c>
      <c r="V395" t="str">
        <f t="shared" si="53"/>
        <v>Compact</v>
      </c>
      <c r="W395" t="str">
        <f>IF(S395 &lt; VLOOKUP(E395, Locality_Tier_Benchmarks!A:B, 2, FALSE) * 0.7, "Below Tier Range", "Normal")</f>
        <v>Normal</v>
      </c>
      <c r="X395" t="str">
        <f t="shared" si="54"/>
        <v>Normal</v>
      </c>
      <c r="Y395" t="str">
        <f t="shared" si="55"/>
        <v>Normal</v>
      </c>
      <c r="Z395" t="str">
        <f t="shared" si="48"/>
        <v>Pass</v>
      </c>
    </row>
    <row r="396" spans="1:26" x14ac:dyDescent="0.25">
      <c r="A396" s="2" t="s">
        <v>798</v>
      </c>
      <c r="B396" t="s">
        <v>17</v>
      </c>
      <c r="C396" t="s">
        <v>467</v>
      </c>
      <c r="D396" s="2" t="str">
        <f>VLOOKUP(C396,Locality_Reference!A:C,2,)</f>
        <v>Western Line</v>
      </c>
      <c r="E396" s="2" t="str">
        <f>VLOOKUP(C396,Locality_Reference!A:C,3,)</f>
        <v>Mid Suburb</v>
      </c>
      <c r="F396" s="2" t="s">
        <v>1163</v>
      </c>
      <c r="G396" s="8">
        <v>50000</v>
      </c>
      <c r="H396">
        <v>1</v>
      </c>
      <c r="I396">
        <v>1</v>
      </c>
      <c r="J396">
        <v>7</v>
      </c>
      <c r="K396">
        <v>7</v>
      </c>
      <c r="L396">
        <v>400</v>
      </c>
      <c r="M396" t="s">
        <v>36</v>
      </c>
      <c r="N396" t="s">
        <v>29</v>
      </c>
      <c r="O396" t="s">
        <v>16</v>
      </c>
      <c r="P396" t="s">
        <v>52</v>
      </c>
      <c r="Q396" t="str">
        <f t="shared" si="49"/>
        <v>7.5</v>
      </c>
      <c r="R396" s="5">
        <v>46187</v>
      </c>
      <c r="S396" s="8">
        <f t="shared" si="50"/>
        <v>125</v>
      </c>
      <c r="T396">
        <f t="shared" si="51"/>
        <v>600000</v>
      </c>
      <c r="U396" t="str">
        <f t="shared" si="52"/>
        <v>Mid</v>
      </c>
      <c r="V396" t="str">
        <f t="shared" si="53"/>
        <v>Compact</v>
      </c>
      <c r="W396" t="str">
        <f>IF(S396 &lt; VLOOKUP(E396, Locality_Tier_Benchmarks!A:B, 2, FALSE) * 0.7, "Below Tier Range", "Normal")</f>
        <v>Normal</v>
      </c>
      <c r="X396" t="str">
        <f t="shared" si="54"/>
        <v>Normal</v>
      </c>
      <c r="Y396" t="str">
        <f t="shared" si="55"/>
        <v>Normal</v>
      </c>
      <c r="Z396" t="str">
        <f t="shared" si="48"/>
        <v>Pass</v>
      </c>
    </row>
    <row r="397" spans="1:26" x14ac:dyDescent="0.25">
      <c r="A397" s="2" t="s">
        <v>799</v>
      </c>
      <c r="B397" t="s">
        <v>17</v>
      </c>
      <c r="C397" t="s">
        <v>467</v>
      </c>
      <c r="D397" s="2" t="str">
        <f>VLOOKUP(C397,Locality_Reference!A:C,2,)</f>
        <v>Western Line</v>
      </c>
      <c r="E397" s="2" t="str">
        <f>VLOOKUP(C397,Locality_Reference!A:C,3,)</f>
        <v>Mid Suburb</v>
      </c>
      <c r="F397" s="2" t="s">
        <v>1164</v>
      </c>
      <c r="G397" s="8">
        <v>100000</v>
      </c>
      <c r="H397">
        <v>2</v>
      </c>
      <c r="I397">
        <v>2</v>
      </c>
      <c r="J397">
        <v>6</v>
      </c>
      <c r="K397">
        <v>11</v>
      </c>
      <c r="L397">
        <v>720</v>
      </c>
      <c r="M397" t="s">
        <v>36</v>
      </c>
      <c r="N397" t="s">
        <v>29</v>
      </c>
      <c r="O397" t="s">
        <v>16</v>
      </c>
      <c r="P397" t="s">
        <v>34</v>
      </c>
      <c r="Q397" t="str">
        <f t="shared" si="49"/>
        <v/>
      </c>
      <c r="R397" s="5">
        <v>46192</v>
      </c>
      <c r="S397" s="8">
        <f t="shared" si="50"/>
        <v>138.88888888888889</v>
      </c>
      <c r="T397">
        <f t="shared" si="51"/>
        <v>1200000</v>
      </c>
      <c r="U397" t="str">
        <f t="shared" si="52"/>
        <v>Premium</v>
      </c>
      <c r="V397" t="str">
        <f t="shared" si="53"/>
        <v>Medium</v>
      </c>
      <c r="W397" t="str">
        <f>IF(S397 &lt; VLOOKUP(E397, Locality_Tier_Benchmarks!A:B, 2, FALSE) * 0.7, "Below Tier Range", "Normal")</f>
        <v>Normal</v>
      </c>
      <c r="X397" t="str">
        <f t="shared" si="54"/>
        <v>Normal</v>
      </c>
      <c r="Y397" t="str">
        <f t="shared" si="55"/>
        <v>Normal</v>
      </c>
      <c r="Z397" t="str">
        <f t="shared" si="48"/>
        <v>Pass</v>
      </c>
    </row>
    <row r="398" spans="1:26" x14ac:dyDescent="0.25">
      <c r="A398" s="2" t="s">
        <v>800</v>
      </c>
      <c r="B398" t="s">
        <v>17</v>
      </c>
      <c r="C398" t="s">
        <v>467</v>
      </c>
      <c r="D398" s="2" t="str">
        <f>VLOOKUP(C398,Locality_Reference!A:C,2,)</f>
        <v>Western Line</v>
      </c>
      <c r="E398" s="2" t="str">
        <f>VLOOKUP(C398,Locality_Reference!A:C,3,)</f>
        <v>Mid Suburb</v>
      </c>
      <c r="F398" s="2" t="s">
        <v>1165</v>
      </c>
      <c r="G398" s="8">
        <v>85000</v>
      </c>
      <c r="H398">
        <v>2</v>
      </c>
      <c r="I398">
        <v>2</v>
      </c>
      <c r="J398">
        <v>1</v>
      </c>
      <c r="K398">
        <v>9</v>
      </c>
      <c r="L398">
        <v>665</v>
      </c>
      <c r="M398" t="s">
        <v>36</v>
      </c>
      <c r="N398" t="s">
        <v>29</v>
      </c>
      <c r="O398" t="s">
        <v>16</v>
      </c>
      <c r="P398" t="s">
        <v>34</v>
      </c>
      <c r="Q398" t="str">
        <f t="shared" si="49"/>
        <v/>
      </c>
      <c r="R398" s="5">
        <v>46200</v>
      </c>
      <c r="S398" s="8">
        <f t="shared" si="50"/>
        <v>127.81954887218045</v>
      </c>
      <c r="T398">
        <f t="shared" si="51"/>
        <v>1020000</v>
      </c>
      <c r="U398" t="str">
        <f t="shared" si="52"/>
        <v>Premium</v>
      </c>
      <c r="V398" t="str">
        <f t="shared" si="53"/>
        <v>Medium</v>
      </c>
      <c r="W398" t="str">
        <f>IF(S398 &lt; VLOOKUP(E398, Locality_Tier_Benchmarks!A:B, 2, FALSE) * 0.7, "Below Tier Range", "Normal")</f>
        <v>Normal</v>
      </c>
      <c r="X398" t="str">
        <f t="shared" si="54"/>
        <v>Normal</v>
      </c>
      <c r="Y398" t="str">
        <f t="shared" si="55"/>
        <v>Normal</v>
      </c>
      <c r="Z398" t="str">
        <f t="shared" si="48"/>
        <v>Pass</v>
      </c>
    </row>
    <row r="399" spans="1:26" x14ac:dyDescent="0.25">
      <c r="A399" s="2" t="s">
        <v>801</v>
      </c>
      <c r="B399" t="s">
        <v>17</v>
      </c>
      <c r="C399" t="s">
        <v>467</v>
      </c>
      <c r="D399" s="2" t="str">
        <f>VLOOKUP(C399,Locality_Reference!A:C,2,)</f>
        <v>Western Line</v>
      </c>
      <c r="E399" s="2" t="str">
        <f>VLOOKUP(C399,Locality_Reference!A:C,3,)</f>
        <v>Mid Suburb</v>
      </c>
      <c r="F399" s="2" t="s">
        <v>1166</v>
      </c>
      <c r="G399" s="8">
        <v>60000</v>
      </c>
      <c r="H399">
        <v>2</v>
      </c>
      <c r="I399">
        <v>2</v>
      </c>
      <c r="J399">
        <v>4</v>
      </c>
      <c r="K399">
        <v>4</v>
      </c>
      <c r="L399">
        <v>650</v>
      </c>
      <c r="M399" t="s">
        <v>36</v>
      </c>
      <c r="N399" t="s">
        <v>29</v>
      </c>
      <c r="O399" t="s">
        <v>16</v>
      </c>
      <c r="P399" t="s">
        <v>34</v>
      </c>
      <c r="Q399" t="str">
        <f t="shared" si="49"/>
        <v/>
      </c>
      <c r="R399" s="5">
        <v>46197</v>
      </c>
      <c r="S399" s="8">
        <f t="shared" si="50"/>
        <v>92.307692307692307</v>
      </c>
      <c r="T399">
        <f t="shared" si="51"/>
        <v>720000</v>
      </c>
      <c r="U399" t="str">
        <f t="shared" si="52"/>
        <v>Mid</v>
      </c>
      <c r="V399" t="str">
        <f t="shared" si="53"/>
        <v>Medium</v>
      </c>
      <c r="W399" t="str">
        <f>IF(S399 &lt; VLOOKUP(E399, Locality_Tier_Benchmarks!A:B, 2, FALSE) * 0.7, "Below Tier Range", "Normal")</f>
        <v>Normal</v>
      </c>
      <c r="X399" t="str">
        <f t="shared" si="54"/>
        <v>Normal</v>
      </c>
      <c r="Y399" t="str">
        <f t="shared" si="55"/>
        <v>Normal</v>
      </c>
      <c r="Z399" t="str">
        <f t="shared" si="48"/>
        <v>Pass</v>
      </c>
    </row>
    <row r="400" spans="1:26" x14ac:dyDescent="0.25">
      <c r="A400" s="2" t="s">
        <v>802</v>
      </c>
      <c r="B400" t="s">
        <v>17</v>
      </c>
      <c r="C400" t="s">
        <v>467</v>
      </c>
      <c r="D400" s="2" t="str">
        <f>VLOOKUP(C400,Locality_Reference!A:C,2,)</f>
        <v>Western Line</v>
      </c>
      <c r="E400" s="2" t="str">
        <f>VLOOKUP(C400,Locality_Reference!A:C,3,)</f>
        <v>Mid Suburb</v>
      </c>
      <c r="F400" s="2" t="s">
        <v>1167</v>
      </c>
      <c r="G400" s="8">
        <v>60000</v>
      </c>
      <c r="H400">
        <v>2</v>
      </c>
      <c r="I400">
        <v>2</v>
      </c>
      <c r="J400">
        <v>10</v>
      </c>
      <c r="K400">
        <v>13</v>
      </c>
      <c r="L400">
        <v>600</v>
      </c>
      <c r="M400" t="s">
        <v>36</v>
      </c>
      <c r="N400" t="s">
        <v>29</v>
      </c>
      <c r="O400" t="s">
        <v>16</v>
      </c>
      <c r="P400" t="s">
        <v>23</v>
      </c>
      <c r="Q400" t="str">
        <f t="shared" si="49"/>
        <v>10</v>
      </c>
      <c r="R400" s="5">
        <v>46196</v>
      </c>
      <c r="S400" s="8">
        <f t="shared" si="50"/>
        <v>100</v>
      </c>
      <c r="T400">
        <f t="shared" si="51"/>
        <v>720000</v>
      </c>
      <c r="U400" t="str">
        <f t="shared" si="52"/>
        <v>Mid</v>
      </c>
      <c r="V400" t="str">
        <f t="shared" si="53"/>
        <v>Medium</v>
      </c>
      <c r="W400" t="str">
        <f>IF(S400 &lt; VLOOKUP(E400, Locality_Tier_Benchmarks!A:B, 2, FALSE) * 0.7, "Below Tier Range", "Normal")</f>
        <v>Normal</v>
      </c>
      <c r="X400" t="str">
        <f t="shared" si="54"/>
        <v>Normal</v>
      </c>
      <c r="Y400" t="str">
        <f t="shared" si="55"/>
        <v>Normal</v>
      </c>
      <c r="Z400" t="str">
        <f t="shared" si="48"/>
        <v>Pass</v>
      </c>
    </row>
    <row r="401" spans="1:26" x14ac:dyDescent="0.25">
      <c r="A401" s="2" t="s">
        <v>803</v>
      </c>
      <c r="B401" t="s">
        <v>17</v>
      </c>
      <c r="C401" t="s">
        <v>467</v>
      </c>
      <c r="D401" s="2" t="str">
        <f>VLOOKUP(C401,Locality_Reference!A:C,2,)</f>
        <v>Western Line</v>
      </c>
      <c r="E401" s="2" t="str">
        <f>VLOOKUP(C401,Locality_Reference!A:C,3,)</f>
        <v>Mid Suburb</v>
      </c>
      <c r="F401" s="2" t="s">
        <v>1168</v>
      </c>
      <c r="G401" s="8">
        <v>80000</v>
      </c>
      <c r="H401">
        <v>2</v>
      </c>
      <c r="I401">
        <v>2</v>
      </c>
      <c r="J401">
        <v>5</v>
      </c>
      <c r="K401">
        <v>7</v>
      </c>
      <c r="L401">
        <v>550</v>
      </c>
      <c r="M401" t="s">
        <v>36</v>
      </c>
      <c r="N401" t="s">
        <v>15</v>
      </c>
      <c r="O401" t="s">
        <v>16</v>
      </c>
      <c r="P401" t="s">
        <v>23</v>
      </c>
      <c r="Q401" t="str">
        <f t="shared" si="49"/>
        <v>10</v>
      </c>
      <c r="R401" s="5">
        <v>46202</v>
      </c>
      <c r="S401" s="8">
        <f t="shared" si="50"/>
        <v>145.45454545454547</v>
      </c>
      <c r="T401">
        <f t="shared" si="51"/>
        <v>960000</v>
      </c>
      <c r="U401" t="str">
        <f t="shared" si="52"/>
        <v>Premium</v>
      </c>
      <c r="V401" t="str">
        <f t="shared" si="53"/>
        <v>Medium</v>
      </c>
      <c r="W401" t="str">
        <f>IF(S401 &lt; VLOOKUP(E401, Locality_Tier_Benchmarks!A:B, 2, FALSE) * 0.7, "Below Tier Range", "Normal")</f>
        <v>Normal</v>
      </c>
      <c r="X401" t="str">
        <f t="shared" si="54"/>
        <v>Normal</v>
      </c>
      <c r="Y401" t="str">
        <f t="shared" si="55"/>
        <v>Normal</v>
      </c>
      <c r="Z401" t="str">
        <f t="shared" si="48"/>
        <v>Pass</v>
      </c>
    </row>
    <row r="402" spans="1:26" x14ac:dyDescent="0.25">
      <c r="A402" s="2" t="s">
        <v>804</v>
      </c>
      <c r="B402" t="s">
        <v>17</v>
      </c>
      <c r="C402" t="s">
        <v>467</v>
      </c>
      <c r="D402" s="2" t="str">
        <f>VLOOKUP(C402,Locality_Reference!A:C,2,)</f>
        <v>Western Line</v>
      </c>
      <c r="E402" s="2" t="str">
        <f>VLOOKUP(C402,Locality_Reference!A:C,3,)</f>
        <v>Mid Suburb</v>
      </c>
      <c r="F402" s="2" t="s">
        <v>1169</v>
      </c>
      <c r="G402" s="8">
        <v>120000</v>
      </c>
      <c r="H402">
        <v>3</v>
      </c>
      <c r="I402">
        <v>3</v>
      </c>
      <c r="J402">
        <v>7</v>
      </c>
      <c r="K402">
        <v>8</v>
      </c>
      <c r="L402">
        <v>1050</v>
      </c>
      <c r="M402" t="s">
        <v>14</v>
      </c>
      <c r="N402" t="s">
        <v>29</v>
      </c>
      <c r="O402" t="s">
        <v>16</v>
      </c>
      <c r="P402" t="s">
        <v>23</v>
      </c>
      <c r="Q402" t="str">
        <f t="shared" si="49"/>
        <v>10</v>
      </c>
      <c r="R402" s="5">
        <v>46196</v>
      </c>
      <c r="S402" s="8">
        <f t="shared" si="50"/>
        <v>114.28571428571429</v>
      </c>
      <c r="T402">
        <f t="shared" si="51"/>
        <v>1440000</v>
      </c>
      <c r="U402" t="str">
        <f t="shared" si="52"/>
        <v>Luxury</v>
      </c>
      <c r="V402" t="str">
        <f t="shared" si="53"/>
        <v>Large</v>
      </c>
      <c r="W402" t="str">
        <f>IF(S402 &lt; VLOOKUP(E402, Locality_Tier_Benchmarks!A:B, 2, FALSE) * 0.7, "Below Tier Range", "Normal")</f>
        <v>Normal</v>
      </c>
      <c r="X402" t="str">
        <f t="shared" si="54"/>
        <v>Normal</v>
      </c>
      <c r="Y402" t="str">
        <f t="shared" si="55"/>
        <v>Normal</v>
      </c>
      <c r="Z402" t="str">
        <f t="shared" si="48"/>
        <v>Pass</v>
      </c>
    </row>
    <row r="403" spans="1:26" x14ac:dyDescent="0.25">
      <c r="A403" s="2" t="s">
        <v>805</v>
      </c>
      <c r="B403" t="s">
        <v>17</v>
      </c>
      <c r="C403" t="s">
        <v>467</v>
      </c>
      <c r="D403" s="2" t="str">
        <f>VLOOKUP(C403,Locality_Reference!A:C,2,)</f>
        <v>Western Line</v>
      </c>
      <c r="E403" s="2" t="str">
        <f>VLOOKUP(C403,Locality_Reference!A:C,3,)</f>
        <v>Mid Suburb</v>
      </c>
      <c r="F403" s="2" t="s">
        <v>1170</v>
      </c>
      <c r="G403" s="8">
        <v>99000</v>
      </c>
      <c r="H403">
        <v>3</v>
      </c>
      <c r="I403">
        <v>2</v>
      </c>
      <c r="J403">
        <v>1</v>
      </c>
      <c r="K403">
        <v>4</v>
      </c>
      <c r="L403">
        <v>900</v>
      </c>
      <c r="M403" t="s">
        <v>36</v>
      </c>
      <c r="N403" t="s">
        <v>29</v>
      </c>
      <c r="O403" t="s">
        <v>16</v>
      </c>
      <c r="P403" t="s">
        <v>23</v>
      </c>
      <c r="Q403" t="str">
        <f t="shared" si="49"/>
        <v>10</v>
      </c>
      <c r="R403" s="5">
        <v>46196</v>
      </c>
      <c r="S403" s="8">
        <f t="shared" si="50"/>
        <v>110</v>
      </c>
      <c r="T403">
        <f t="shared" si="51"/>
        <v>1188000</v>
      </c>
      <c r="U403" t="str">
        <f t="shared" si="52"/>
        <v>Premium</v>
      </c>
      <c r="V403" t="str">
        <f t="shared" si="53"/>
        <v>Large</v>
      </c>
      <c r="W403" t="str">
        <f>IF(S403 &lt; VLOOKUP(E403, Locality_Tier_Benchmarks!A:B, 2, FALSE) * 0.7, "Below Tier Range", "Normal")</f>
        <v>Normal</v>
      </c>
      <c r="X403" t="str">
        <f t="shared" si="54"/>
        <v>Normal</v>
      </c>
      <c r="Y403" t="str">
        <f t="shared" si="55"/>
        <v>Normal</v>
      </c>
      <c r="Z403" t="str">
        <f t="shared" si="48"/>
        <v>Pass</v>
      </c>
    </row>
    <row r="404" spans="1:26" x14ac:dyDescent="0.25">
      <c r="A404" s="2" t="s">
        <v>806</v>
      </c>
      <c r="B404" t="s">
        <v>17</v>
      </c>
      <c r="C404" t="s">
        <v>467</v>
      </c>
      <c r="D404" s="2" t="str">
        <f>VLOOKUP(C404,Locality_Reference!A:C,2,)</f>
        <v>Western Line</v>
      </c>
      <c r="E404" s="2" t="str">
        <f>VLOOKUP(C404,Locality_Reference!A:C,3,)</f>
        <v>Mid Suburb</v>
      </c>
      <c r="F404" s="2" t="s">
        <v>1171</v>
      </c>
      <c r="G404" s="8">
        <v>80000</v>
      </c>
      <c r="H404">
        <v>3</v>
      </c>
      <c r="I404">
        <v>3</v>
      </c>
      <c r="J404">
        <v>5</v>
      </c>
      <c r="K404">
        <v>8</v>
      </c>
      <c r="L404">
        <v>900</v>
      </c>
      <c r="M404" t="s">
        <v>36</v>
      </c>
      <c r="N404" t="s">
        <v>29</v>
      </c>
      <c r="O404" t="s">
        <v>16</v>
      </c>
      <c r="P404" t="s">
        <v>31</v>
      </c>
      <c r="Q404" t="str">
        <f t="shared" si="49"/>
        <v>3</v>
      </c>
      <c r="R404" s="5">
        <v>46192</v>
      </c>
      <c r="S404" s="8">
        <f t="shared" si="50"/>
        <v>88.888888888888886</v>
      </c>
      <c r="T404">
        <f t="shared" si="51"/>
        <v>960000</v>
      </c>
      <c r="U404" t="str">
        <f t="shared" si="52"/>
        <v>Premium</v>
      </c>
      <c r="V404" t="str">
        <f t="shared" si="53"/>
        <v>Large</v>
      </c>
      <c r="W404" t="str">
        <f>IF(S404 &lt; VLOOKUP(E404, Locality_Tier_Benchmarks!A:B, 2, FALSE) * 0.7, "Below Tier Range", "Normal")</f>
        <v>Normal</v>
      </c>
      <c r="X404" t="str">
        <f t="shared" si="54"/>
        <v>Normal</v>
      </c>
      <c r="Y404" t="str">
        <f t="shared" si="55"/>
        <v>Normal</v>
      </c>
      <c r="Z404" t="str">
        <f t="shared" si="48"/>
        <v>Pass</v>
      </c>
    </row>
    <row r="405" spans="1:26" x14ac:dyDescent="0.25">
      <c r="A405" s="2" t="s">
        <v>807</v>
      </c>
      <c r="B405" t="s">
        <v>17</v>
      </c>
      <c r="C405" t="s">
        <v>467</v>
      </c>
      <c r="D405" s="2" t="str">
        <f>VLOOKUP(C405,Locality_Reference!A:C,2,)</f>
        <v>Western Line</v>
      </c>
      <c r="E405" s="2" t="str">
        <f>VLOOKUP(C405,Locality_Reference!A:C,3,)</f>
        <v>Mid Suburb</v>
      </c>
      <c r="F405" s="2" t="s">
        <v>1172</v>
      </c>
      <c r="G405" s="8">
        <v>170000</v>
      </c>
      <c r="H405">
        <v>3</v>
      </c>
      <c r="I405">
        <v>5</v>
      </c>
      <c r="J405">
        <v>13</v>
      </c>
      <c r="K405">
        <v>13</v>
      </c>
      <c r="L405">
        <v>1418</v>
      </c>
      <c r="M405" t="s">
        <v>36</v>
      </c>
      <c r="N405" t="s">
        <v>29</v>
      </c>
      <c r="O405" t="s">
        <v>16</v>
      </c>
      <c r="P405" t="s">
        <v>31</v>
      </c>
      <c r="Q405" t="str">
        <f t="shared" si="49"/>
        <v>3</v>
      </c>
      <c r="R405" s="5">
        <v>46200</v>
      </c>
      <c r="S405" s="8">
        <f t="shared" si="50"/>
        <v>119.88716502115656</v>
      </c>
      <c r="T405">
        <f t="shared" si="51"/>
        <v>2040000</v>
      </c>
      <c r="U405" t="str">
        <f t="shared" si="52"/>
        <v>Luxury</v>
      </c>
      <c r="V405" t="str">
        <f t="shared" si="53"/>
        <v>Spacious</v>
      </c>
      <c r="W405" t="str">
        <f>IF(S405 &lt; VLOOKUP(E405, Locality_Tier_Benchmarks!A:B, 2, FALSE) * 0.7, "Below Tier Range", "Normal")</f>
        <v>Normal</v>
      </c>
      <c r="X405" t="str">
        <f t="shared" si="54"/>
        <v>Normal</v>
      </c>
      <c r="Y405" t="str">
        <f t="shared" si="55"/>
        <v>Normal</v>
      </c>
      <c r="Z405" t="str">
        <f t="shared" si="48"/>
        <v>Pass</v>
      </c>
    </row>
    <row r="406" spans="1:26" x14ac:dyDescent="0.25">
      <c r="A406" s="2" t="s">
        <v>808</v>
      </c>
      <c r="B406" t="s">
        <v>17</v>
      </c>
      <c r="C406" t="s">
        <v>467</v>
      </c>
      <c r="D406" s="2" t="str">
        <f>VLOOKUP(C406,Locality_Reference!A:C,2,)</f>
        <v>Western Line</v>
      </c>
      <c r="E406" s="2" t="str">
        <f>VLOOKUP(C406,Locality_Reference!A:C,3,)</f>
        <v>Mid Suburb</v>
      </c>
      <c r="F406" s="2" t="s">
        <v>1173</v>
      </c>
      <c r="G406" s="8">
        <v>125000</v>
      </c>
      <c r="H406">
        <v>3</v>
      </c>
      <c r="I406">
        <v>3</v>
      </c>
      <c r="J406">
        <v>1</v>
      </c>
      <c r="K406">
        <v>8</v>
      </c>
      <c r="L406">
        <v>1200</v>
      </c>
      <c r="M406" t="s">
        <v>36</v>
      </c>
      <c r="N406" t="s">
        <v>29</v>
      </c>
      <c r="O406" t="s">
        <v>16</v>
      </c>
      <c r="P406" t="s">
        <v>31</v>
      </c>
      <c r="Q406" t="str">
        <f t="shared" si="49"/>
        <v>3</v>
      </c>
      <c r="R406" s="5">
        <v>46200</v>
      </c>
      <c r="S406" s="8">
        <f t="shared" si="50"/>
        <v>104.16666666666667</v>
      </c>
      <c r="T406">
        <f t="shared" si="51"/>
        <v>1500000</v>
      </c>
      <c r="U406" t="str">
        <f t="shared" si="52"/>
        <v>Luxury</v>
      </c>
      <c r="V406" t="str">
        <f t="shared" si="53"/>
        <v>Large</v>
      </c>
      <c r="W406" t="str">
        <f>IF(S406 &lt; VLOOKUP(E406, Locality_Tier_Benchmarks!A:B, 2, FALSE) * 0.7, "Below Tier Range", "Normal")</f>
        <v>Normal</v>
      </c>
      <c r="X406" t="str">
        <f t="shared" si="54"/>
        <v>Normal</v>
      </c>
      <c r="Y406" t="str">
        <f t="shared" si="55"/>
        <v>Normal</v>
      </c>
      <c r="Z406" t="str">
        <f t="shared" si="48"/>
        <v>Pass</v>
      </c>
    </row>
    <row r="407" spans="1:26" x14ac:dyDescent="0.25">
      <c r="A407" s="2" t="s">
        <v>809</v>
      </c>
      <c r="B407" t="s">
        <v>17</v>
      </c>
      <c r="C407" t="s">
        <v>466</v>
      </c>
      <c r="D407" s="2" t="str">
        <f>VLOOKUP(C407,Locality_Reference!A:C,2,)</f>
        <v>Western Line</v>
      </c>
      <c r="E407" s="2" t="str">
        <f>VLOOKUP(C407,Locality_Reference!A:C,3,)</f>
        <v>Premium/South</v>
      </c>
      <c r="F407" s="2" t="s">
        <v>1174</v>
      </c>
      <c r="G407" s="8">
        <v>35000</v>
      </c>
      <c r="H407">
        <v>1</v>
      </c>
      <c r="I407">
        <v>2</v>
      </c>
      <c r="J407">
        <v>1</v>
      </c>
      <c r="K407">
        <v>4</v>
      </c>
      <c r="L407">
        <v>275</v>
      </c>
      <c r="M407" t="s">
        <v>36</v>
      </c>
      <c r="N407" t="s">
        <v>29</v>
      </c>
      <c r="O407" t="s">
        <v>16</v>
      </c>
      <c r="P407" t="s">
        <v>47</v>
      </c>
      <c r="Q407" t="str">
        <f t="shared" si="49"/>
        <v>1</v>
      </c>
      <c r="R407" s="5">
        <v>46202</v>
      </c>
      <c r="S407" s="8">
        <f t="shared" si="50"/>
        <v>127.27272727272727</v>
      </c>
      <c r="T407">
        <f t="shared" si="51"/>
        <v>420000</v>
      </c>
      <c r="U407" t="str">
        <f t="shared" si="52"/>
        <v>Mid</v>
      </c>
      <c r="V407" t="str">
        <f t="shared" si="53"/>
        <v>Compact</v>
      </c>
      <c r="W407" t="str">
        <f>IF(S407 &lt; VLOOKUP(E407, Locality_Tier_Benchmarks!A:B, 2, FALSE) * 0.7, "Below Tier Range", "Normal")</f>
        <v>Normal</v>
      </c>
      <c r="X407" t="str">
        <f t="shared" si="54"/>
        <v>Normal</v>
      </c>
      <c r="Y407" t="str">
        <f t="shared" si="55"/>
        <v>Normal</v>
      </c>
      <c r="Z407" t="str">
        <f t="shared" si="48"/>
        <v>Pass</v>
      </c>
    </row>
    <row r="408" spans="1:26" x14ac:dyDescent="0.25">
      <c r="A408" s="2" t="s">
        <v>810</v>
      </c>
      <c r="B408" t="s">
        <v>17</v>
      </c>
      <c r="C408" t="s">
        <v>466</v>
      </c>
      <c r="D408" s="2" t="str">
        <f>VLOOKUP(C408,Locality_Reference!A:C,2,)</f>
        <v>Western Line</v>
      </c>
      <c r="E408" s="2" t="str">
        <f>VLOOKUP(C408,Locality_Reference!A:C,3,)</f>
        <v>Premium/South</v>
      </c>
      <c r="F408" s="2" t="s">
        <v>1175</v>
      </c>
      <c r="G408" s="8">
        <v>50000</v>
      </c>
      <c r="H408">
        <v>1</v>
      </c>
      <c r="I408">
        <v>1</v>
      </c>
      <c r="J408">
        <v>4</v>
      </c>
      <c r="K408">
        <v>6</v>
      </c>
      <c r="L408">
        <v>380</v>
      </c>
      <c r="M408" t="s">
        <v>33</v>
      </c>
      <c r="N408" t="s">
        <v>15</v>
      </c>
      <c r="O408" t="s">
        <v>16</v>
      </c>
      <c r="P408" t="s">
        <v>52</v>
      </c>
      <c r="Q408" t="str">
        <f t="shared" si="49"/>
        <v>7.5</v>
      </c>
      <c r="R408" s="5">
        <v>46134</v>
      </c>
      <c r="S408" s="8">
        <f t="shared" si="50"/>
        <v>131.57894736842104</v>
      </c>
      <c r="T408">
        <f t="shared" si="51"/>
        <v>600000</v>
      </c>
      <c r="U408" t="str">
        <f t="shared" si="52"/>
        <v>Mid</v>
      </c>
      <c r="V408" t="str">
        <f t="shared" si="53"/>
        <v>Compact</v>
      </c>
      <c r="W408" t="str">
        <f>IF(S408 &lt; VLOOKUP(E408, Locality_Tier_Benchmarks!A:B, 2, FALSE) * 0.7, "Below Tier Range", "Normal")</f>
        <v>Normal</v>
      </c>
      <c r="X408" t="str">
        <f t="shared" si="54"/>
        <v>Normal</v>
      </c>
      <c r="Y408" t="str">
        <f t="shared" si="55"/>
        <v>Normal</v>
      </c>
      <c r="Z408" t="str">
        <f t="shared" si="48"/>
        <v>Pass</v>
      </c>
    </row>
    <row r="409" spans="1:26" x14ac:dyDescent="0.25">
      <c r="A409" s="2" t="s">
        <v>811</v>
      </c>
      <c r="B409" t="s">
        <v>366</v>
      </c>
      <c r="C409" t="s">
        <v>466</v>
      </c>
      <c r="D409" s="2" t="str">
        <f>VLOOKUP(C409,Locality_Reference!A:C,2,)</f>
        <v>Western Line</v>
      </c>
      <c r="E409" s="2" t="str">
        <f>VLOOKUP(C409,Locality_Reference!A:C,3,)</f>
        <v>Premium/South</v>
      </c>
      <c r="F409" s="2" t="s">
        <v>1176</v>
      </c>
      <c r="G409" s="8">
        <v>51000</v>
      </c>
      <c r="H409">
        <v>1</v>
      </c>
      <c r="I409">
        <v>2</v>
      </c>
      <c r="J409">
        <v>4</v>
      </c>
      <c r="K409">
        <v>6</v>
      </c>
      <c r="L409">
        <v>550</v>
      </c>
      <c r="M409" t="s">
        <v>14</v>
      </c>
      <c r="N409" t="s">
        <v>29</v>
      </c>
      <c r="O409" t="s">
        <v>16</v>
      </c>
      <c r="P409" t="s">
        <v>47</v>
      </c>
      <c r="Q409" t="str">
        <f t="shared" si="49"/>
        <v>1</v>
      </c>
      <c r="R409" s="5">
        <v>46200</v>
      </c>
      <c r="S409" s="8">
        <f t="shared" si="50"/>
        <v>92.727272727272734</v>
      </c>
      <c r="T409">
        <f t="shared" si="51"/>
        <v>612000</v>
      </c>
      <c r="U409" t="str">
        <f t="shared" si="52"/>
        <v>Mid</v>
      </c>
      <c r="V409" t="str">
        <f t="shared" si="53"/>
        <v>Medium</v>
      </c>
      <c r="W409" t="str">
        <f>IF(S409 &lt; VLOOKUP(E409, Locality_Tier_Benchmarks!A:B, 2, FALSE) * 0.7, "Below Tier Range", "Normal")</f>
        <v>Normal</v>
      </c>
      <c r="X409" t="str">
        <f t="shared" si="54"/>
        <v>Normal</v>
      </c>
      <c r="Y409" t="str">
        <f t="shared" si="55"/>
        <v>Normal</v>
      </c>
      <c r="Z409" t="str">
        <f t="shared" si="48"/>
        <v>Pass</v>
      </c>
    </row>
    <row r="410" spans="1:26" x14ac:dyDescent="0.25">
      <c r="A410" s="2" t="s">
        <v>812</v>
      </c>
      <c r="B410" t="s">
        <v>366</v>
      </c>
      <c r="C410" t="s">
        <v>466</v>
      </c>
      <c r="D410" s="2" t="str">
        <f>VLOOKUP(C410,Locality_Reference!A:C,2,)</f>
        <v>Western Line</v>
      </c>
      <c r="E410" s="2" t="str">
        <f>VLOOKUP(C410,Locality_Reference!A:C,3,)</f>
        <v>Premium/South</v>
      </c>
      <c r="F410" s="2" t="s">
        <v>1177</v>
      </c>
      <c r="G410" s="8">
        <v>85000</v>
      </c>
      <c r="H410">
        <v>1</v>
      </c>
      <c r="I410">
        <v>1</v>
      </c>
      <c r="J410">
        <v>0</v>
      </c>
      <c r="K410">
        <v>5</v>
      </c>
      <c r="L410">
        <v>550</v>
      </c>
      <c r="M410" t="s">
        <v>14</v>
      </c>
      <c r="N410" t="s">
        <v>29</v>
      </c>
      <c r="O410" t="s">
        <v>16</v>
      </c>
      <c r="P410" t="s">
        <v>47</v>
      </c>
      <c r="Q410" t="str">
        <f t="shared" si="49"/>
        <v>1</v>
      </c>
      <c r="R410" s="5">
        <v>46197</v>
      </c>
      <c r="S410" s="8">
        <f t="shared" si="50"/>
        <v>154.54545454545453</v>
      </c>
      <c r="T410">
        <f t="shared" si="51"/>
        <v>1020000</v>
      </c>
      <c r="U410" t="str">
        <f t="shared" si="52"/>
        <v>Premium</v>
      </c>
      <c r="V410" t="str">
        <f t="shared" si="53"/>
        <v>Medium</v>
      </c>
      <c r="W410" t="str">
        <f>IF(S410 &lt; VLOOKUP(E410, Locality_Tier_Benchmarks!A:B, 2, FALSE) * 0.7, "Below Tier Range", "Normal")</f>
        <v>Normal</v>
      </c>
      <c r="X410" t="str">
        <f t="shared" si="54"/>
        <v>Normal</v>
      </c>
      <c r="Y410" t="str">
        <f t="shared" si="55"/>
        <v>Normal</v>
      </c>
      <c r="Z410" t="str">
        <f t="shared" si="48"/>
        <v>Pass</v>
      </c>
    </row>
    <row r="411" spans="1:26" x14ac:dyDescent="0.25">
      <c r="A411" s="2" t="s">
        <v>813</v>
      </c>
      <c r="B411" t="s">
        <v>366</v>
      </c>
      <c r="C411" t="s">
        <v>466</v>
      </c>
      <c r="D411" s="2" t="str">
        <f>VLOOKUP(C411,Locality_Reference!A:C,2,)</f>
        <v>Western Line</v>
      </c>
      <c r="E411" s="2" t="str">
        <f>VLOOKUP(C411,Locality_Reference!A:C,3,)</f>
        <v>Premium/South</v>
      </c>
      <c r="F411" s="2" t="s">
        <v>1178</v>
      </c>
      <c r="G411" s="8">
        <v>110000</v>
      </c>
      <c r="H411">
        <v>1</v>
      </c>
      <c r="I411">
        <v>1</v>
      </c>
      <c r="J411">
        <v>6</v>
      </c>
      <c r="K411">
        <v>20</v>
      </c>
      <c r="L411">
        <v>538</v>
      </c>
      <c r="M411" t="s">
        <v>14</v>
      </c>
      <c r="N411" t="s">
        <v>29</v>
      </c>
      <c r="O411" t="s">
        <v>16</v>
      </c>
      <c r="P411" t="s">
        <v>31</v>
      </c>
      <c r="Q411" t="str">
        <f t="shared" si="49"/>
        <v>3</v>
      </c>
      <c r="R411" s="5">
        <v>46177</v>
      </c>
      <c r="S411" s="8">
        <f t="shared" si="50"/>
        <v>204.46096654275092</v>
      </c>
      <c r="T411">
        <f t="shared" si="51"/>
        <v>1320000</v>
      </c>
      <c r="U411" t="str">
        <f t="shared" si="52"/>
        <v>Luxury</v>
      </c>
      <c r="V411" t="str">
        <f t="shared" si="53"/>
        <v>Medium</v>
      </c>
      <c r="W411" t="str">
        <f>IF(S411 &lt; VLOOKUP(E411, Locality_Tier_Benchmarks!A:B, 2, FALSE) * 0.7, "Below Tier Range", "Normal")</f>
        <v>Normal</v>
      </c>
      <c r="X411" t="str">
        <f t="shared" si="54"/>
        <v>Normal</v>
      </c>
      <c r="Y411" t="str">
        <f t="shared" si="55"/>
        <v>Normal</v>
      </c>
      <c r="Z411" t="str">
        <f t="shared" si="48"/>
        <v>Pass</v>
      </c>
    </row>
    <row r="412" spans="1:26" x14ac:dyDescent="0.25">
      <c r="A412" s="2" t="s">
        <v>814</v>
      </c>
      <c r="B412" t="s">
        <v>17</v>
      </c>
      <c r="C412" t="s">
        <v>466</v>
      </c>
      <c r="D412" s="2" t="str">
        <f>VLOOKUP(C412,Locality_Reference!A:C,2,)</f>
        <v>Western Line</v>
      </c>
      <c r="E412" s="2" t="str">
        <f>VLOOKUP(C412,Locality_Reference!A:C,3,)</f>
        <v>Premium/South</v>
      </c>
      <c r="F412" s="2" t="s">
        <v>1179</v>
      </c>
      <c r="G412" s="8">
        <v>150000</v>
      </c>
      <c r="H412">
        <v>2</v>
      </c>
      <c r="I412">
        <v>2</v>
      </c>
      <c r="J412">
        <v>5</v>
      </c>
      <c r="K412">
        <v>10</v>
      </c>
      <c r="L412">
        <v>850</v>
      </c>
      <c r="M412" t="s">
        <v>36</v>
      </c>
      <c r="N412" t="s">
        <v>29</v>
      </c>
      <c r="O412" t="s">
        <v>16</v>
      </c>
      <c r="P412" t="s">
        <v>52</v>
      </c>
      <c r="Q412" t="str">
        <f t="shared" si="49"/>
        <v>7.5</v>
      </c>
      <c r="R412" s="5">
        <v>46150</v>
      </c>
      <c r="S412" s="8">
        <f t="shared" si="50"/>
        <v>176.47058823529412</v>
      </c>
      <c r="T412">
        <f t="shared" si="51"/>
        <v>1800000</v>
      </c>
      <c r="U412" t="str">
        <f t="shared" si="52"/>
        <v>Luxury</v>
      </c>
      <c r="V412" t="str">
        <f t="shared" si="53"/>
        <v>Large</v>
      </c>
      <c r="W412" t="str">
        <f>IF(S412 &lt; VLOOKUP(E412, Locality_Tier_Benchmarks!A:B, 2, FALSE) * 0.7, "Below Tier Range", "Normal")</f>
        <v>Normal</v>
      </c>
      <c r="X412" t="str">
        <f t="shared" si="54"/>
        <v>Normal</v>
      </c>
      <c r="Y412" t="str">
        <f t="shared" si="55"/>
        <v>Normal</v>
      </c>
      <c r="Z412" t="str">
        <f t="shared" si="48"/>
        <v>Pass</v>
      </c>
    </row>
    <row r="413" spans="1:26" x14ac:dyDescent="0.25">
      <c r="A413" s="2" t="s">
        <v>815</v>
      </c>
      <c r="B413" t="s">
        <v>17</v>
      </c>
      <c r="C413" t="s">
        <v>466</v>
      </c>
      <c r="D413" s="2" t="str">
        <f>VLOOKUP(C413,Locality_Reference!A:C,2,)</f>
        <v>Western Line</v>
      </c>
      <c r="E413" s="2" t="str">
        <f>VLOOKUP(C413,Locality_Reference!A:C,3,)</f>
        <v>Premium/South</v>
      </c>
      <c r="F413" s="2" t="s">
        <v>1180</v>
      </c>
      <c r="G413" s="8">
        <v>165000</v>
      </c>
      <c r="H413">
        <v>2</v>
      </c>
      <c r="I413">
        <v>2</v>
      </c>
      <c r="J413">
        <v>6</v>
      </c>
      <c r="K413">
        <v>15</v>
      </c>
      <c r="L413">
        <v>822</v>
      </c>
      <c r="M413" t="s">
        <v>33</v>
      </c>
      <c r="N413" t="s">
        <v>29</v>
      </c>
      <c r="O413" t="s">
        <v>16</v>
      </c>
      <c r="P413" t="s">
        <v>34</v>
      </c>
      <c r="Q413" t="str">
        <f t="shared" si="49"/>
        <v/>
      </c>
      <c r="R413" s="5">
        <v>46182</v>
      </c>
      <c r="S413" s="8">
        <f t="shared" si="50"/>
        <v>200.72992700729927</v>
      </c>
      <c r="T413">
        <f t="shared" si="51"/>
        <v>1980000</v>
      </c>
      <c r="U413" t="str">
        <f t="shared" si="52"/>
        <v>Luxury</v>
      </c>
      <c r="V413" t="str">
        <f t="shared" si="53"/>
        <v>Large</v>
      </c>
      <c r="W413" t="str">
        <f>IF(S413 &lt; VLOOKUP(E413, Locality_Tier_Benchmarks!A:B, 2, FALSE) * 0.7, "Below Tier Range", "Normal")</f>
        <v>Normal</v>
      </c>
      <c r="X413" t="str">
        <f t="shared" si="54"/>
        <v>Normal</v>
      </c>
      <c r="Y413" t="str">
        <f t="shared" si="55"/>
        <v>Normal</v>
      </c>
      <c r="Z413" t="str">
        <f t="shared" si="48"/>
        <v>Pass</v>
      </c>
    </row>
    <row r="414" spans="1:26" x14ac:dyDescent="0.25">
      <c r="A414" s="2" t="s">
        <v>816</v>
      </c>
      <c r="B414" t="s">
        <v>17</v>
      </c>
      <c r="C414" t="s">
        <v>466</v>
      </c>
      <c r="D414" s="2" t="str">
        <f>VLOOKUP(C414,Locality_Reference!A:C,2,)</f>
        <v>Western Line</v>
      </c>
      <c r="E414" s="2" t="str">
        <f>VLOOKUP(C414,Locality_Reference!A:C,3,)</f>
        <v>Premium/South</v>
      </c>
      <c r="F414" s="2" t="s">
        <v>1181</v>
      </c>
      <c r="G414" s="8">
        <v>125000</v>
      </c>
      <c r="H414">
        <v>2</v>
      </c>
      <c r="I414">
        <v>2</v>
      </c>
      <c r="J414">
        <v>4</v>
      </c>
      <c r="K414">
        <v>7</v>
      </c>
      <c r="L414">
        <v>780</v>
      </c>
      <c r="M414" t="s">
        <v>36</v>
      </c>
      <c r="N414" t="s">
        <v>29</v>
      </c>
      <c r="O414" t="s">
        <v>16</v>
      </c>
      <c r="P414" t="s">
        <v>23</v>
      </c>
      <c r="Q414" t="str">
        <f t="shared" si="49"/>
        <v>10</v>
      </c>
      <c r="R414" s="5">
        <v>46196</v>
      </c>
      <c r="S414" s="8">
        <f t="shared" si="50"/>
        <v>160.25641025641025</v>
      </c>
      <c r="T414">
        <f t="shared" si="51"/>
        <v>1500000</v>
      </c>
      <c r="U414" t="str">
        <f t="shared" si="52"/>
        <v>Luxury</v>
      </c>
      <c r="V414" t="str">
        <f t="shared" si="53"/>
        <v>Medium</v>
      </c>
      <c r="W414" t="str">
        <f>IF(S414 &lt; VLOOKUP(E414, Locality_Tier_Benchmarks!A:B, 2, FALSE) * 0.7, "Below Tier Range", "Normal")</f>
        <v>Normal</v>
      </c>
      <c r="X414" t="str">
        <f t="shared" si="54"/>
        <v>Normal</v>
      </c>
      <c r="Y414" t="str">
        <f t="shared" si="55"/>
        <v>Normal</v>
      </c>
      <c r="Z414" t="str">
        <f t="shared" si="48"/>
        <v>Pass</v>
      </c>
    </row>
    <row r="415" spans="1:26" x14ac:dyDescent="0.25">
      <c r="A415" s="2" t="s">
        <v>817</v>
      </c>
      <c r="B415" t="s">
        <v>17</v>
      </c>
      <c r="C415" t="s">
        <v>466</v>
      </c>
      <c r="D415" s="2" t="str">
        <f>VLOOKUP(C415,Locality_Reference!A:C,2,)</f>
        <v>Western Line</v>
      </c>
      <c r="E415" s="2" t="str">
        <f>VLOOKUP(C415,Locality_Reference!A:C,3,)</f>
        <v>Premium/South</v>
      </c>
      <c r="F415" s="2" t="s">
        <v>1182</v>
      </c>
      <c r="G415" s="8">
        <v>70000</v>
      </c>
      <c r="H415">
        <v>2</v>
      </c>
      <c r="I415">
        <v>2</v>
      </c>
      <c r="J415">
        <v>3</v>
      </c>
      <c r="K415">
        <v>5</v>
      </c>
      <c r="L415">
        <v>550</v>
      </c>
      <c r="M415" t="s">
        <v>36</v>
      </c>
      <c r="N415" t="s">
        <v>15</v>
      </c>
      <c r="O415" t="s">
        <v>16</v>
      </c>
      <c r="P415" t="s">
        <v>23</v>
      </c>
      <c r="Q415" t="str">
        <f t="shared" si="49"/>
        <v>10</v>
      </c>
      <c r="R415" s="5">
        <v>46198</v>
      </c>
      <c r="S415" s="8">
        <f t="shared" si="50"/>
        <v>127.27272727272727</v>
      </c>
      <c r="T415">
        <f t="shared" si="51"/>
        <v>840000</v>
      </c>
      <c r="U415" t="str">
        <f t="shared" si="52"/>
        <v>Premium</v>
      </c>
      <c r="V415" t="str">
        <f t="shared" si="53"/>
        <v>Medium</v>
      </c>
      <c r="W415" t="str">
        <f>IF(S415 &lt; VLOOKUP(E415, Locality_Tier_Benchmarks!A:B, 2, FALSE) * 0.7, "Below Tier Range", "Normal")</f>
        <v>Normal</v>
      </c>
      <c r="X415" t="str">
        <f t="shared" si="54"/>
        <v>Normal</v>
      </c>
      <c r="Y415" t="str">
        <f t="shared" si="55"/>
        <v>Normal</v>
      </c>
      <c r="Z415" t="str">
        <f t="shared" si="48"/>
        <v>Pass</v>
      </c>
    </row>
    <row r="416" spans="1:26" x14ac:dyDescent="0.25">
      <c r="A416" s="2" t="s">
        <v>818</v>
      </c>
      <c r="B416" t="s">
        <v>17</v>
      </c>
      <c r="C416" t="s">
        <v>466</v>
      </c>
      <c r="D416" s="2" t="str">
        <f>VLOOKUP(C416,Locality_Reference!A:C,2,)</f>
        <v>Western Line</v>
      </c>
      <c r="E416" s="2" t="str">
        <f>VLOOKUP(C416,Locality_Reference!A:C,3,)</f>
        <v>Premium/South</v>
      </c>
      <c r="F416" s="2" t="s">
        <v>1183</v>
      </c>
      <c r="G416" s="8">
        <v>155000</v>
      </c>
      <c r="H416">
        <v>2</v>
      </c>
      <c r="I416">
        <v>2</v>
      </c>
      <c r="J416">
        <v>5</v>
      </c>
      <c r="K416">
        <v>12</v>
      </c>
      <c r="L416">
        <v>850</v>
      </c>
      <c r="M416" t="s">
        <v>36</v>
      </c>
      <c r="N416" t="s">
        <v>29</v>
      </c>
      <c r="O416" t="s">
        <v>16</v>
      </c>
      <c r="P416" t="s">
        <v>23</v>
      </c>
      <c r="Q416" t="str">
        <f t="shared" si="49"/>
        <v>10</v>
      </c>
      <c r="R416" s="5">
        <v>46174</v>
      </c>
      <c r="S416" s="8">
        <f t="shared" si="50"/>
        <v>182.35294117647058</v>
      </c>
      <c r="T416">
        <f t="shared" si="51"/>
        <v>1860000</v>
      </c>
      <c r="U416" t="str">
        <f t="shared" si="52"/>
        <v>Luxury</v>
      </c>
      <c r="V416" t="str">
        <f t="shared" si="53"/>
        <v>Large</v>
      </c>
      <c r="W416" t="str">
        <f>IF(S416 &lt; VLOOKUP(E416, Locality_Tier_Benchmarks!A:B, 2, FALSE) * 0.7, "Below Tier Range", "Normal")</f>
        <v>Normal</v>
      </c>
      <c r="X416" t="str">
        <f t="shared" si="54"/>
        <v>Normal</v>
      </c>
      <c r="Y416" t="str">
        <f t="shared" si="55"/>
        <v>Normal</v>
      </c>
      <c r="Z416" t="str">
        <f t="shared" si="48"/>
        <v>Pass</v>
      </c>
    </row>
    <row r="417" spans="1:26" x14ac:dyDescent="0.25">
      <c r="A417" s="2" t="s">
        <v>819</v>
      </c>
      <c r="B417" t="s">
        <v>17</v>
      </c>
      <c r="C417" t="s">
        <v>466</v>
      </c>
      <c r="D417" s="2" t="str">
        <f>VLOOKUP(C417,Locality_Reference!A:C,2,)</f>
        <v>Western Line</v>
      </c>
      <c r="E417" s="2" t="str">
        <f>VLOOKUP(C417,Locality_Reference!A:C,3,)</f>
        <v>Premium/South</v>
      </c>
      <c r="F417" s="2" t="s">
        <v>1184</v>
      </c>
      <c r="G417" s="8">
        <v>325000</v>
      </c>
      <c r="H417">
        <v>3</v>
      </c>
      <c r="I417">
        <v>3</v>
      </c>
      <c r="J417">
        <v>4</v>
      </c>
      <c r="K417">
        <v>12</v>
      </c>
      <c r="L417">
        <v>1260</v>
      </c>
      <c r="M417" t="s">
        <v>36</v>
      </c>
      <c r="N417" t="s">
        <v>15</v>
      </c>
      <c r="O417" t="s">
        <v>16</v>
      </c>
      <c r="P417" t="s">
        <v>34</v>
      </c>
      <c r="Q417" t="str">
        <f t="shared" si="49"/>
        <v/>
      </c>
      <c r="R417" s="5">
        <v>46183</v>
      </c>
      <c r="S417" s="8">
        <f t="shared" si="50"/>
        <v>257.93650793650795</v>
      </c>
      <c r="T417">
        <f t="shared" si="51"/>
        <v>3900000</v>
      </c>
      <c r="U417" t="str">
        <f t="shared" si="52"/>
        <v>Luxury</v>
      </c>
      <c r="V417" t="str">
        <f t="shared" si="53"/>
        <v>Spacious</v>
      </c>
      <c r="W417" t="str">
        <f>IF(S417 &lt; VLOOKUP(E417, Locality_Tier_Benchmarks!A:B, 2, FALSE) * 0.7, "Below Tier Range", "Normal")</f>
        <v>Normal</v>
      </c>
      <c r="X417" t="str">
        <f t="shared" si="54"/>
        <v>Normal</v>
      </c>
      <c r="Y417" t="str">
        <f t="shared" si="55"/>
        <v>Normal</v>
      </c>
      <c r="Z417" t="str">
        <f t="shared" si="48"/>
        <v>Pass</v>
      </c>
    </row>
    <row r="418" spans="1:26" x14ac:dyDescent="0.25">
      <c r="A418" s="2" t="s">
        <v>820</v>
      </c>
      <c r="B418" t="s">
        <v>17</v>
      </c>
      <c r="C418" t="s">
        <v>466</v>
      </c>
      <c r="D418" s="2" t="str">
        <f>VLOOKUP(C418,Locality_Reference!A:C,2,)</f>
        <v>Western Line</v>
      </c>
      <c r="E418" s="2" t="str">
        <f>VLOOKUP(C418,Locality_Reference!A:C,3,)</f>
        <v>Premium/South</v>
      </c>
      <c r="F418" s="2" t="s">
        <v>1185</v>
      </c>
      <c r="G418" s="8">
        <v>250000</v>
      </c>
      <c r="H418">
        <v>3</v>
      </c>
      <c r="I418">
        <v>3</v>
      </c>
      <c r="J418">
        <v>6</v>
      </c>
      <c r="K418">
        <v>16</v>
      </c>
      <c r="L418">
        <v>1200</v>
      </c>
      <c r="M418" t="s">
        <v>33</v>
      </c>
      <c r="N418" t="s">
        <v>29</v>
      </c>
      <c r="O418" t="s">
        <v>16</v>
      </c>
      <c r="P418" t="s">
        <v>47</v>
      </c>
      <c r="Q418" t="str">
        <f t="shared" si="49"/>
        <v>1</v>
      </c>
      <c r="R418" s="5">
        <v>46199</v>
      </c>
      <c r="S418" s="8">
        <f t="shared" si="50"/>
        <v>208.33333333333334</v>
      </c>
      <c r="T418">
        <f t="shared" si="51"/>
        <v>3000000</v>
      </c>
      <c r="U418" t="str">
        <f t="shared" si="52"/>
        <v>Luxury</v>
      </c>
      <c r="V418" t="str">
        <f t="shared" si="53"/>
        <v>Large</v>
      </c>
      <c r="W418" t="str">
        <f>IF(S418 &lt; VLOOKUP(E418, Locality_Tier_Benchmarks!A:B, 2, FALSE) * 0.7, "Below Tier Range", "Normal")</f>
        <v>Normal</v>
      </c>
      <c r="X418" t="str">
        <f t="shared" si="54"/>
        <v>Normal</v>
      </c>
      <c r="Y418" t="str">
        <f t="shared" si="55"/>
        <v>Normal</v>
      </c>
      <c r="Z418" t="str">
        <f t="shared" si="48"/>
        <v>Pass</v>
      </c>
    </row>
    <row r="419" spans="1:26" x14ac:dyDescent="0.25">
      <c r="A419" s="2" t="s">
        <v>821</v>
      </c>
      <c r="B419" t="s">
        <v>17</v>
      </c>
      <c r="C419" t="s">
        <v>466</v>
      </c>
      <c r="D419" s="2" t="str">
        <f>VLOOKUP(C419,Locality_Reference!A:C,2,)</f>
        <v>Western Line</v>
      </c>
      <c r="E419" s="2" t="str">
        <f>VLOOKUP(C419,Locality_Reference!A:C,3,)</f>
        <v>Premium/South</v>
      </c>
      <c r="F419" s="2" t="s">
        <v>1186</v>
      </c>
      <c r="G419" s="8">
        <v>350000</v>
      </c>
      <c r="H419">
        <v>3</v>
      </c>
      <c r="I419">
        <v>3</v>
      </c>
      <c r="J419">
        <v>12</v>
      </c>
      <c r="K419">
        <v>15</v>
      </c>
      <c r="L419">
        <v>1250</v>
      </c>
      <c r="M419" t="s">
        <v>14</v>
      </c>
      <c r="N419" t="s">
        <v>15</v>
      </c>
      <c r="O419" t="s">
        <v>16</v>
      </c>
      <c r="P419" t="s">
        <v>31</v>
      </c>
      <c r="Q419" t="str">
        <f t="shared" si="49"/>
        <v>3</v>
      </c>
      <c r="R419" s="5">
        <v>46197</v>
      </c>
      <c r="S419" s="8">
        <f t="shared" si="50"/>
        <v>280</v>
      </c>
      <c r="T419">
        <f t="shared" si="51"/>
        <v>4200000</v>
      </c>
      <c r="U419" t="str">
        <f t="shared" si="52"/>
        <v>Luxury</v>
      </c>
      <c r="V419" t="str">
        <f t="shared" si="53"/>
        <v>Spacious</v>
      </c>
      <c r="W419" t="str">
        <f>IF(S419 &lt; VLOOKUP(E419, Locality_Tier_Benchmarks!A:B, 2, FALSE) * 0.7, "Below Tier Range", "Normal")</f>
        <v>Normal</v>
      </c>
      <c r="X419" t="str">
        <f t="shared" si="54"/>
        <v>Normal</v>
      </c>
      <c r="Y419" t="str">
        <f t="shared" si="55"/>
        <v>Normal</v>
      </c>
      <c r="Z419" t="str">
        <f t="shared" si="48"/>
        <v>Pass</v>
      </c>
    </row>
    <row r="420" spans="1:26" x14ac:dyDescent="0.25">
      <c r="A420" s="2" t="s">
        <v>822</v>
      </c>
      <c r="B420" t="s">
        <v>17</v>
      </c>
      <c r="C420" t="s">
        <v>466</v>
      </c>
      <c r="D420" s="2" t="str">
        <f>VLOOKUP(C420,Locality_Reference!A:C,2,)</f>
        <v>Western Line</v>
      </c>
      <c r="E420" s="2" t="str">
        <f>VLOOKUP(C420,Locality_Reference!A:C,3,)</f>
        <v>Premium/South</v>
      </c>
      <c r="F420" s="2" t="s">
        <v>1187</v>
      </c>
      <c r="G420" s="8">
        <v>180000</v>
      </c>
      <c r="H420">
        <v>3</v>
      </c>
      <c r="I420">
        <v>3</v>
      </c>
      <c r="J420">
        <v>1</v>
      </c>
      <c r="K420">
        <v>7</v>
      </c>
      <c r="L420">
        <v>1100</v>
      </c>
      <c r="M420" t="s">
        <v>14</v>
      </c>
      <c r="N420" t="s">
        <v>29</v>
      </c>
      <c r="O420" t="s">
        <v>16</v>
      </c>
      <c r="P420" t="s">
        <v>52</v>
      </c>
      <c r="Q420" t="str">
        <f t="shared" si="49"/>
        <v>7.5</v>
      </c>
      <c r="R420" s="5">
        <v>46192</v>
      </c>
      <c r="S420" s="8">
        <f t="shared" si="50"/>
        <v>163.63636363636363</v>
      </c>
      <c r="T420">
        <f t="shared" si="51"/>
        <v>2160000</v>
      </c>
      <c r="U420" t="str">
        <f t="shared" si="52"/>
        <v>Luxury</v>
      </c>
      <c r="V420" t="str">
        <f t="shared" si="53"/>
        <v>Large</v>
      </c>
      <c r="W420" t="str">
        <f>IF(S420 &lt; VLOOKUP(E420, Locality_Tier_Benchmarks!A:B, 2, FALSE) * 0.7, "Below Tier Range", "Normal")</f>
        <v>Normal</v>
      </c>
      <c r="X420" t="str">
        <f t="shared" si="54"/>
        <v>Normal</v>
      </c>
      <c r="Y420" t="str">
        <f t="shared" si="55"/>
        <v>Normal</v>
      </c>
      <c r="Z420" t="str">
        <f t="shared" si="48"/>
        <v>Pass</v>
      </c>
    </row>
    <row r="421" spans="1:26" x14ac:dyDescent="0.25">
      <c r="A421" s="2" t="s">
        <v>823</v>
      </c>
      <c r="B421" t="s">
        <v>17</v>
      </c>
      <c r="C421" t="s">
        <v>466</v>
      </c>
      <c r="D421" s="2" t="str">
        <f>VLOOKUP(C421,Locality_Reference!A:C,2,)</f>
        <v>Western Line</v>
      </c>
      <c r="E421" s="2" t="str">
        <f>VLOOKUP(C421,Locality_Reference!A:C,3,)</f>
        <v>Premium/South</v>
      </c>
      <c r="F421" s="2" t="s">
        <v>1188</v>
      </c>
      <c r="G421" s="8">
        <v>175000</v>
      </c>
      <c r="H421">
        <v>3</v>
      </c>
      <c r="I421">
        <v>3</v>
      </c>
      <c r="J421">
        <v>3</v>
      </c>
      <c r="K421">
        <v>5</v>
      </c>
      <c r="L421">
        <v>1200</v>
      </c>
      <c r="M421" t="s">
        <v>36</v>
      </c>
      <c r="N421" t="s">
        <v>29</v>
      </c>
      <c r="O421" t="s">
        <v>16</v>
      </c>
      <c r="P421" t="s">
        <v>34</v>
      </c>
      <c r="Q421" t="str">
        <f t="shared" si="49"/>
        <v/>
      </c>
      <c r="R421" s="5">
        <v>46196</v>
      </c>
      <c r="S421" s="8">
        <f t="shared" si="50"/>
        <v>145.83333333333334</v>
      </c>
      <c r="T421">
        <f t="shared" si="51"/>
        <v>2100000</v>
      </c>
      <c r="U421" t="str">
        <f t="shared" si="52"/>
        <v>Luxury</v>
      </c>
      <c r="V421" t="str">
        <f t="shared" si="53"/>
        <v>Large</v>
      </c>
      <c r="W421" t="str">
        <f>IF(S421 &lt; VLOOKUP(E421, Locality_Tier_Benchmarks!A:B, 2, FALSE) * 0.7, "Below Tier Range", "Normal")</f>
        <v>Normal</v>
      </c>
      <c r="X421" t="str">
        <f t="shared" si="54"/>
        <v>Normal</v>
      </c>
      <c r="Y421" t="str">
        <f t="shared" si="55"/>
        <v>Normal</v>
      </c>
      <c r="Z421" t="str">
        <f t="shared" si="48"/>
        <v>Pass</v>
      </c>
    </row>
    <row r="422" spans="1:26" x14ac:dyDescent="0.25">
      <c r="A422" s="2" t="s">
        <v>824</v>
      </c>
      <c r="B422" t="s">
        <v>366</v>
      </c>
      <c r="C422" t="s">
        <v>1189</v>
      </c>
      <c r="D422" s="2" t="str">
        <f>VLOOKUP(C422,Locality_Reference!A:C,2,)</f>
        <v>Western Line</v>
      </c>
      <c r="E422" s="2" t="str">
        <f>VLOOKUP(C422,Locality_Reference!A:C,3,)</f>
        <v>Mid Suburb</v>
      </c>
      <c r="F422" s="2" t="s">
        <v>1190</v>
      </c>
      <c r="G422" s="8">
        <v>130000</v>
      </c>
      <c r="H422">
        <v>2</v>
      </c>
      <c r="I422">
        <v>2</v>
      </c>
      <c r="J422">
        <v>7</v>
      </c>
      <c r="K422">
        <v>18</v>
      </c>
      <c r="L422">
        <v>800</v>
      </c>
      <c r="M422" t="s">
        <v>14</v>
      </c>
      <c r="N422" t="s">
        <v>29</v>
      </c>
      <c r="O422" t="s">
        <v>16</v>
      </c>
      <c r="P422" t="s">
        <v>52</v>
      </c>
      <c r="Q422" t="str">
        <f t="shared" si="49"/>
        <v>7.5</v>
      </c>
      <c r="R422" s="5">
        <v>46181</v>
      </c>
      <c r="S422" s="8">
        <f t="shared" si="50"/>
        <v>162.5</v>
      </c>
      <c r="T422">
        <f t="shared" si="51"/>
        <v>1560000</v>
      </c>
      <c r="U422" t="str">
        <f t="shared" si="52"/>
        <v>Luxury</v>
      </c>
      <c r="V422" t="str">
        <f t="shared" si="53"/>
        <v>Medium</v>
      </c>
      <c r="W422" t="str">
        <f>IF(S422 &lt; VLOOKUP(E422, Locality_Tier_Benchmarks!A:B, 2, FALSE) * 0.7, "Below Tier Range", "Normal")</f>
        <v>Normal</v>
      </c>
      <c r="X422" t="str">
        <f t="shared" si="54"/>
        <v>Normal</v>
      </c>
      <c r="Y422" t="str">
        <f t="shared" si="55"/>
        <v>Normal</v>
      </c>
      <c r="Z422" t="str">
        <f t="shared" si="48"/>
        <v>Pass</v>
      </c>
    </row>
    <row r="423" spans="1:26" x14ac:dyDescent="0.25">
      <c r="A423" s="2" t="s">
        <v>825</v>
      </c>
      <c r="B423" t="s">
        <v>17</v>
      </c>
      <c r="C423" t="s">
        <v>465</v>
      </c>
      <c r="D423" s="2" t="str">
        <f>VLOOKUP(C423,Locality_Reference!A:C,2,)</f>
        <v>Western Line</v>
      </c>
      <c r="E423" s="2" t="str">
        <f>VLOOKUP(C423,Locality_Reference!A:C,3,)</f>
        <v>Premium/South</v>
      </c>
      <c r="F423" s="2" t="s">
        <v>1191</v>
      </c>
      <c r="G423" s="8">
        <v>100000</v>
      </c>
      <c r="H423">
        <v>1</v>
      </c>
      <c r="I423">
        <v>1</v>
      </c>
      <c r="J423">
        <v>3</v>
      </c>
      <c r="K423">
        <v>12</v>
      </c>
      <c r="L423">
        <v>480</v>
      </c>
      <c r="M423" t="s">
        <v>36</v>
      </c>
      <c r="N423" t="s">
        <v>29</v>
      </c>
      <c r="O423" t="s">
        <v>16</v>
      </c>
      <c r="P423" t="s">
        <v>34</v>
      </c>
      <c r="Q423" t="str">
        <f t="shared" si="49"/>
        <v/>
      </c>
      <c r="R423" s="5">
        <v>46197</v>
      </c>
      <c r="S423" s="8">
        <f t="shared" si="50"/>
        <v>208.33333333333334</v>
      </c>
      <c r="T423">
        <f t="shared" si="51"/>
        <v>1200000</v>
      </c>
      <c r="U423" t="str">
        <f t="shared" si="52"/>
        <v>Premium</v>
      </c>
      <c r="V423" t="str">
        <f t="shared" si="53"/>
        <v>Compact</v>
      </c>
      <c r="W423" t="str">
        <f>IF(S423 &lt; VLOOKUP(E423, Locality_Tier_Benchmarks!A:B, 2, FALSE) * 0.7, "Below Tier Range", "Normal")</f>
        <v>Normal</v>
      </c>
      <c r="X423" t="str">
        <f t="shared" si="54"/>
        <v>Normal</v>
      </c>
      <c r="Y423" t="str">
        <f t="shared" si="55"/>
        <v>Normal</v>
      </c>
      <c r="Z423" t="str">
        <f t="shared" si="48"/>
        <v>Pass</v>
      </c>
    </row>
    <row r="424" spans="1:26" x14ac:dyDescent="0.25">
      <c r="A424" s="2" t="s">
        <v>826</v>
      </c>
      <c r="B424" t="s">
        <v>17</v>
      </c>
      <c r="C424" t="s">
        <v>465</v>
      </c>
      <c r="D424" s="2" t="str">
        <f>VLOOKUP(C424,Locality_Reference!A:C,2,)</f>
        <v>Western Line</v>
      </c>
      <c r="E424" s="2" t="str">
        <f>VLOOKUP(C424,Locality_Reference!A:C,3,)</f>
        <v>Premium/South</v>
      </c>
      <c r="F424" s="2" t="s">
        <v>1192</v>
      </c>
      <c r="G424" s="8">
        <v>90000</v>
      </c>
      <c r="H424">
        <v>1</v>
      </c>
      <c r="I424">
        <v>1</v>
      </c>
      <c r="J424">
        <v>3</v>
      </c>
      <c r="K424">
        <v>8</v>
      </c>
      <c r="L424">
        <v>650</v>
      </c>
      <c r="M424" t="s">
        <v>36</v>
      </c>
      <c r="N424" t="s">
        <v>29</v>
      </c>
      <c r="O424" t="s">
        <v>16</v>
      </c>
      <c r="P424" t="s">
        <v>34</v>
      </c>
      <c r="Q424" t="str">
        <f t="shared" si="49"/>
        <v/>
      </c>
      <c r="R424" s="5">
        <v>46182</v>
      </c>
      <c r="S424" s="8">
        <f t="shared" si="50"/>
        <v>138.46153846153845</v>
      </c>
      <c r="T424">
        <f t="shared" si="51"/>
        <v>1080000</v>
      </c>
      <c r="U424" t="str">
        <f t="shared" si="52"/>
        <v>Premium</v>
      </c>
      <c r="V424" t="str">
        <f t="shared" si="53"/>
        <v>Medium</v>
      </c>
      <c r="W424" t="str">
        <f>IF(S424 &lt; VLOOKUP(E424, Locality_Tier_Benchmarks!A:B, 2, FALSE) * 0.7, "Below Tier Range", "Normal")</f>
        <v>Normal</v>
      </c>
      <c r="X424" t="str">
        <f t="shared" si="54"/>
        <v>Normal</v>
      </c>
      <c r="Y424" t="str">
        <f t="shared" si="55"/>
        <v>Normal</v>
      </c>
      <c r="Z424" t="str">
        <f t="shared" si="48"/>
        <v>Pass</v>
      </c>
    </row>
    <row r="425" spans="1:26" x14ac:dyDescent="0.25">
      <c r="A425" s="2" t="s">
        <v>827</v>
      </c>
      <c r="B425" t="s">
        <v>17</v>
      </c>
      <c r="C425" t="s">
        <v>465</v>
      </c>
      <c r="D425" s="2" t="str">
        <f>VLOOKUP(C425,Locality_Reference!A:C,2,)</f>
        <v>Western Line</v>
      </c>
      <c r="E425" s="2" t="str">
        <f>VLOOKUP(C425,Locality_Reference!A:C,3,)</f>
        <v>Premium/South</v>
      </c>
      <c r="F425" s="2" t="s">
        <v>1193</v>
      </c>
      <c r="G425" s="8">
        <v>80000</v>
      </c>
      <c r="H425">
        <v>1</v>
      </c>
      <c r="I425">
        <v>1</v>
      </c>
      <c r="J425">
        <v>0</v>
      </c>
      <c r="K425">
        <v>0</v>
      </c>
      <c r="L425">
        <v>450</v>
      </c>
      <c r="M425" t="s">
        <v>14</v>
      </c>
      <c r="N425" t="s">
        <v>15</v>
      </c>
      <c r="O425" t="s">
        <v>16</v>
      </c>
      <c r="P425" t="s">
        <v>23</v>
      </c>
      <c r="Q425" t="str">
        <f t="shared" si="49"/>
        <v>10</v>
      </c>
      <c r="R425" s="5">
        <v>46153</v>
      </c>
      <c r="S425" s="8">
        <f t="shared" si="50"/>
        <v>177.77777777777777</v>
      </c>
      <c r="T425">
        <f t="shared" si="51"/>
        <v>960000</v>
      </c>
      <c r="U425" t="str">
        <f t="shared" si="52"/>
        <v>Premium</v>
      </c>
      <c r="V425" t="str">
        <f t="shared" si="53"/>
        <v>Compact</v>
      </c>
      <c r="W425" t="str">
        <f>IF(S425 &lt; VLOOKUP(E425, Locality_Tier_Benchmarks!A:B, 2, FALSE) * 0.7, "Below Tier Range", "Normal")</f>
        <v>Normal</v>
      </c>
      <c r="X425" t="str">
        <f t="shared" si="54"/>
        <v>Normal</v>
      </c>
      <c r="Y425" t="str">
        <f t="shared" si="55"/>
        <v>Normal</v>
      </c>
      <c r="Z425" t="str">
        <f t="shared" si="48"/>
        <v>Pass</v>
      </c>
    </row>
    <row r="426" spans="1:26" x14ac:dyDescent="0.25">
      <c r="A426" s="2" t="s">
        <v>828</v>
      </c>
      <c r="B426" t="s">
        <v>17</v>
      </c>
      <c r="C426" t="s">
        <v>465</v>
      </c>
      <c r="D426" s="2" t="str">
        <f>VLOOKUP(C426,Locality_Reference!A:C,2,)</f>
        <v>Western Line</v>
      </c>
      <c r="E426" s="2" t="str">
        <f>VLOOKUP(C426,Locality_Reference!A:C,3,)</f>
        <v>Premium/South</v>
      </c>
      <c r="F426" s="2" t="s">
        <v>1194</v>
      </c>
      <c r="G426" s="8">
        <v>90000</v>
      </c>
      <c r="H426">
        <v>1</v>
      </c>
      <c r="I426">
        <v>1</v>
      </c>
      <c r="J426">
        <v>7</v>
      </c>
      <c r="K426">
        <v>9</v>
      </c>
      <c r="L426">
        <v>650</v>
      </c>
      <c r="M426" t="s">
        <v>36</v>
      </c>
      <c r="N426" t="s">
        <v>29</v>
      </c>
      <c r="O426" t="s">
        <v>16</v>
      </c>
      <c r="P426" t="s">
        <v>34</v>
      </c>
      <c r="Q426" t="str">
        <f t="shared" si="49"/>
        <v/>
      </c>
      <c r="R426" s="5">
        <v>46168</v>
      </c>
      <c r="S426" s="8">
        <f t="shared" si="50"/>
        <v>138.46153846153845</v>
      </c>
      <c r="T426">
        <f t="shared" si="51"/>
        <v>1080000</v>
      </c>
      <c r="U426" t="str">
        <f t="shared" si="52"/>
        <v>Premium</v>
      </c>
      <c r="V426" t="str">
        <f t="shared" si="53"/>
        <v>Medium</v>
      </c>
      <c r="W426" t="str">
        <f>IF(S426 &lt; VLOOKUP(E426, Locality_Tier_Benchmarks!A:B, 2, FALSE) * 0.7, "Below Tier Range", "Normal")</f>
        <v>Normal</v>
      </c>
      <c r="X426" t="str">
        <f t="shared" si="54"/>
        <v>Normal</v>
      </c>
      <c r="Y426" t="str">
        <f t="shared" si="55"/>
        <v>Normal</v>
      </c>
      <c r="Z426" t="str">
        <f t="shared" si="48"/>
        <v>Pass</v>
      </c>
    </row>
    <row r="427" spans="1:26" x14ac:dyDescent="0.25">
      <c r="A427" s="2" t="s">
        <v>829</v>
      </c>
      <c r="B427" t="s">
        <v>17</v>
      </c>
      <c r="C427" t="s">
        <v>465</v>
      </c>
      <c r="D427" s="2" t="str">
        <f>VLOOKUP(C427,Locality_Reference!A:C,2,)</f>
        <v>Western Line</v>
      </c>
      <c r="E427" s="2" t="str">
        <f>VLOOKUP(C427,Locality_Reference!A:C,3,)</f>
        <v>Premium/South</v>
      </c>
      <c r="F427" s="2" t="s">
        <v>1195</v>
      </c>
      <c r="G427" s="8">
        <v>100000</v>
      </c>
      <c r="H427">
        <v>1</v>
      </c>
      <c r="I427">
        <v>2</v>
      </c>
      <c r="J427">
        <v>4</v>
      </c>
      <c r="K427">
        <v>7</v>
      </c>
      <c r="L427">
        <v>550</v>
      </c>
      <c r="M427" t="s">
        <v>36</v>
      </c>
      <c r="N427" t="s">
        <v>29</v>
      </c>
      <c r="O427" t="s">
        <v>16</v>
      </c>
      <c r="P427" t="s">
        <v>23</v>
      </c>
      <c r="Q427" t="str">
        <f t="shared" si="49"/>
        <v>10</v>
      </c>
      <c r="R427" s="5">
        <v>46185</v>
      </c>
      <c r="S427" s="8">
        <f t="shared" si="50"/>
        <v>181.81818181818181</v>
      </c>
      <c r="T427">
        <f t="shared" si="51"/>
        <v>1200000</v>
      </c>
      <c r="U427" t="str">
        <f t="shared" si="52"/>
        <v>Premium</v>
      </c>
      <c r="V427" t="str">
        <f t="shared" si="53"/>
        <v>Medium</v>
      </c>
      <c r="W427" t="str">
        <f>IF(S427 &lt; VLOOKUP(E427, Locality_Tier_Benchmarks!A:B, 2, FALSE) * 0.7, "Below Tier Range", "Normal")</f>
        <v>Normal</v>
      </c>
      <c r="X427" t="str">
        <f t="shared" si="54"/>
        <v>Normal</v>
      </c>
      <c r="Y427" t="str">
        <f t="shared" si="55"/>
        <v>Normal</v>
      </c>
      <c r="Z427" t="str">
        <f t="shared" si="48"/>
        <v>Pass</v>
      </c>
    </row>
    <row r="428" spans="1:26" x14ac:dyDescent="0.25">
      <c r="A428" s="2" t="s">
        <v>830</v>
      </c>
      <c r="B428" t="s">
        <v>17</v>
      </c>
      <c r="C428" t="s">
        <v>465</v>
      </c>
      <c r="D428" s="2" t="str">
        <f>VLOOKUP(C428,Locality_Reference!A:C,2,)</f>
        <v>Western Line</v>
      </c>
      <c r="E428" s="2" t="str">
        <f>VLOOKUP(C428,Locality_Reference!A:C,3,)</f>
        <v>Premium/South</v>
      </c>
      <c r="F428" s="2" t="s">
        <v>1196</v>
      </c>
      <c r="G428" s="8">
        <v>200000</v>
      </c>
      <c r="H428">
        <v>2</v>
      </c>
      <c r="I428">
        <v>3</v>
      </c>
      <c r="J428">
        <v>4</v>
      </c>
      <c r="K428">
        <v>12</v>
      </c>
      <c r="L428">
        <v>850</v>
      </c>
      <c r="M428" t="s">
        <v>14</v>
      </c>
      <c r="N428" t="s">
        <v>29</v>
      </c>
      <c r="O428" t="s">
        <v>16</v>
      </c>
      <c r="P428" t="s">
        <v>34</v>
      </c>
      <c r="Q428" t="str">
        <f t="shared" si="49"/>
        <v/>
      </c>
      <c r="R428" s="5">
        <v>46182</v>
      </c>
      <c r="S428" s="8">
        <f t="shared" si="50"/>
        <v>235.29411764705881</v>
      </c>
      <c r="T428">
        <f t="shared" si="51"/>
        <v>2400000</v>
      </c>
      <c r="U428" t="str">
        <f t="shared" si="52"/>
        <v>Luxury</v>
      </c>
      <c r="V428" t="str">
        <f t="shared" si="53"/>
        <v>Large</v>
      </c>
      <c r="W428" t="str">
        <f>IF(S428 &lt; VLOOKUP(E428, Locality_Tier_Benchmarks!A:B, 2, FALSE) * 0.7, "Below Tier Range", "Normal")</f>
        <v>Normal</v>
      </c>
      <c r="X428" t="str">
        <f t="shared" si="54"/>
        <v>Normal</v>
      </c>
      <c r="Y428" t="str">
        <f t="shared" si="55"/>
        <v>Normal</v>
      </c>
      <c r="Z428" t="str">
        <f t="shared" si="48"/>
        <v>Pass</v>
      </c>
    </row>
    <row r="429" spans="1:26" x14ac:dyDescent="0.25">
      <c r="A429" s="2" t="s">
        <v>831</v>
      </c>
      <c r="B429" t="s">
        <v>17</v>
      </c>
      <c r="C429" t="s">
        <v>465</v>
      </c>
      <c r="D429" s="2" t="str">
        <f>VLOOKUP(C429,Locality_Reference!A:C,2,)</f>
        <v>Western Line</v>
      </c>
      <c r="E429" s="2" t="str">
        <f>VLOOKUP(C429,Locality_Reference!A:C,3,)</f>
        <v>Premium/South</v>
      </c>
      <c r="F429" s="2" t="s">
        <v>1197</v>
      </c>
      <c r="G429" s="8">
        <v>175000</v>
      </c>
      <c r="H429">
        <v>2</v>
      </c>
      <c r="I429">
        <v>2</v>
      </c>
      <c r="J429">
        <v>9</v>
      </c>
      <c r="K429">
        <v>12</v>
      </c>
      <c r="L429">
        <v>775</v>
      </c>
      <c r="M429" t="s">
        <v>36</v>
      </c>
      <c r="N429" t="s">
        <v>29</v>
      </c>
      <c r="O429" t="s">
        <v>16</v>
      </c>
      <c r="P429" t="s">
        <v>34</v>
      </c>
      <c r="Q429" t="str">
        <f t="shared" si="49"/>
        <v/>
      </c>
      <c r="R429" s="5">
        <v>46188</v>
      </c>
      <c r="S429" s="8">
        <f t="shared" si="50"/>
        <v>225.80645161290323</v>
      </c>
      <c r="T429">
        <f t="shared" si="51"/>
        <v>2100000</v>
      </c>
      <c r="U429" t="str">
        <f t="shared" si="52"/>
        <v>Luxury</v>
      </c>
      <c r="V429" t="str">
        <f t="shared" si="53"/>
        <v>Medium</v>
      </c>
      <c r="W429" t="str">
        <f>IF(S429 &lt; VLOOKUP(E429, Locality_Tier_Benchmarks!A:B, 2, FALSE) * 0.7, "Below Tier Range", "Normal")</f>
        <v>Normal</v>
      </c>
      <c r="X429" t="str">
        <f t="shared" si="54"/>
        <v>Normal</v>
      </c>
      <c r="Y429" t="str">
        <f t="shared" si="55"/>
        <v>Normal</v>
      </c>
      <c r="Z429" t="str">
        <f t="shared" si="48"/>
        <v>Pass</v>
      </c>
    </row>
    <row r="430" spans="1:26" x14ac:dyDescent="0.25">
      <c r="A430" s="2" t="s">
        <v>832</v>
      </c>
      <c r="B430" t="s">
        <v>17</v>
      </c>
      <c r="C430" t="s">
        <v>465</v>
      </c>
      <c r="D430" s="2" t="str">
        <f>VLOOKUP(C430,Locality_Reference!A:C,2,)</f>
        <v>Western Line</v>
      </c>
      <c r="E430" s="2" t="str">
        <f>VLOOKUP(C430,Locality_Reference!A:C,3,)</f>
        <v>Premium/South</v>
      </c>
      <c r="F430" s="2" t="s">
        <v>1198</v>
      </c>
      <c r="G430" s="8">
        <v>125000</v>
      </c>
      <c r="H430">
        <v>2</v>
      </c>
      <c r="I430">
        <v>2</v>
      </c>
      <c r="J430">
        <v>12</v>
      </c>
      <c r="K430">
        <v>22</v>
      </c>
      <c r="L430">
        <v>750</v>
      </c>
      <c r="M430" t="s">
        <v>36</v>
      </c>
      <c r="N430" t="s">
        <v>29</v>
      </c>
      <c r="O430" t="s">
        <v>16</v>
      </c>
      <c r="P430" t="s">
        <v>34</v>
      </c>
      <c r="Q430" t="str">
        <f t="shared" si="49"/>
        <v/>
      </c>
      <c r="R430" s="5">
        <v>46187</v>
      </c>
      <c r="S430" s="8">
        <f t="shared" si="50"/>
        <v>166.66666666666666</v>
      </c>
      <c r="T430">
        <f t="shared" si="51"/>
        <v>1500000</v>
      </c>
      <c r="U430" t="str">
        <f t="shared" si="52"/>
        <v>Luxury</v>
      </c>
      <c r="V430" t="str">
        <f t="shared" si="53"/>
        <v>Medium</v>
      </c>
      <c r="W430" t="str">
        <f>IF(S430 &lt; VLOOKUP(E430, Locality_Tier_Benchmarks!A:B, 2, FALSE) * 0.7, "Below Tier Range", "Normal")</f>
        <v>Normal</v>
      </c>
      <c r="X430" t="str">
        <f t="shared" si="54"/>
        <v>Normal</v>
      </c>
      <c r="Y430" t="str">
        <f t="shared" si="55"/>
        <v>Normal</v>
      </c>
      <c r="Z430" t="str">
        <f t="shared" si="48"/>
        <v>Pass</v>
      </c>
    </row>
    <row r="431" spans="1:26" x14ac:dyDescent="0.25">
      <c r="A431" s="2" t="s">
        <v>833</v>
      </c>
      <c r="B431" t="s">
        <v>17</v>
      </c>
      <c r="C431" t="s">
        <v>465</v>
      </c>
      <c r="D431" s="2" t="str">
        <f>VLOOKUP(C431,Locality_Reference!A:C,2,)</f>
        <v>Western Line</v>
      </c>
      <c r="E431" s="2" t="str">
        <f>VLOOKUP(C431,Locality_Reference!A:C,3,)</f>
        <v>Premium/South</v>
      </c>
      <c r="F431" s="2" t="s">
        <v>1199</v>
      </c>
      <c r="G431" s="8">
        <v>125000</v>
      </c>
      <c r="H431">
        <v>2</v>
      </c>
      <c r="I431">
        <v>2</v>
      </c>
      <c r="J431">
        <v>1</v>
      </c>
      <c r="K431">
        <v>3</v>
      </c>
      <c r="L431">
        <v>850</v>
      </c>
      <c r="M431" t="s">
        <v>14</v>
      </c>
      <c r="N431" t="s">
        <v>29</v>
      </c>
      <c r="O431" t="s">
        <v>16</v>
      </c>
      <c r="P431" t="s">
        <v>23</v>
      </c>
      <c r="Q431" t="str">
        <f t="shared" si="49"/>
        <v>10</v>
      </c>
      <c r="R431" s="5">
        <v>46196</v>
      </c>
      <c r="S431" s="8">
        <f t="shared" si="50"/>
        <v>147.05882352941177</v>
      </c>
      <c r="T431">
        <f t="shared" si="51"/>
        <v>1500000</v>
      </c>
      <c r="U431" t="str">
        <f t="shared" si="52"/>
        <v>Luxury</v>
      </c>
      <c r="V431" t="str">
        <f t="shared" si="53"/>
        <v>Large</v>
      </c>
      <c r="W431" t="str">
        <f>IF(S431 &lt; VLOOKUP(E431, Locality_Tier_Benchmarks!A:B, 2, FALSE) * 0.7, "Below Tier Range", "Normal")</f>
        <v>Normal</v>
      </c>
      <c r="X431" t="str">
        <f t="shared" si="54"/>
        <v>Normal</v>
      </c>
      <c r="Y431" t="str">
        <f t="shared" si="55"/>
        <v>Normal</v>
      </c>
      <c r="Z431" t="str">
        <f t="shared" si="48"/>
        <v>Pass</v>
      </c>
    </row>
    <row r="432" spans="1:26" x14ac:dyDescent="0.25">
      <c r="A432" s="2" t="s">
        <v>834</v>
      </c>
      <c r="B432" t="s">
        <v>17</v>
      </c>
      <c r="C432" t="s">
        <v>465</v>
      </c>
      <c r="D432" s="2" t="str">
        <f>VLOOKUP(C432,Locality_Reference!A:C,2,)</f>
        <v>Western Line</v>
      </c>
      <c r="E432" s="2" t="str">
        <f>VLOOKUP(C432,Locality_Reference!A:C,3,)</f>
        <v>Premium/South</v>
      </c>
      <c r="F432" s="2" t="s">
        <v>1200</v>
      </c>
      <c r="G432" s="8">
        <v>128000</v>
      </c>
      <c r="H432">
        <v>2</v>
      </c>
      <c r="I432">
        <v>2</v>
      </c>
      <c r="J432">
        <v>3</v>
      </c>
      <c r="K432">
        <v>7</v>
      </c>
      <c r="L432">
        <v>650</v>
      </c>
      <c r="M432" t="s">
        <v>14</v>
      </c>
      <c r="N432" t="s">
        <v>29</v>
      </c>
      <c r="O432" t="s">
        <v>16</v>
      </c>
      <c r="P432" t="s">
        <v>34</v>
      </c>
      <c r="Q432" t="str">
        <f t="shared" si="49"/>
        <v/>
      </c>
      <c r="R432" s="5">
        <v>46188</v>
      </c>
      <c r="S432" s="8">
        <f t="shared" si="50"/>
        <v>196.92307692307693</v>
      </c>
      <c r="T432">
        <f t="shared" si="51"/>
        <v>1536000</v>
      </c>
      <c r="U432" t="str">
        <f t="shared" si="52"/>
        <v>Luxury</v>
      </c>
      <c r="V432" t="str">
        <f t="shared" si="53"/>
        <v>Medium</v>
      </c>
      <c r="W432" t="str">
        <f>IF(S432 &lt; VLOOKUP(E432, Locality_Tier_Benchmarks!A:B, 2, FALSE) * 0.7, "Below Tier Range", "Normal")</f>
        <v>Normal</v>
      </c>
      <c r="X432" t="str">
        <f t="shared" si="54"/>
        <v>Normal</v>
      </c>
      <c r="Y432" t="str">
        <f t="shared" si="55"/>
        <v>Normal</v>
      </c>
      <c r="Z432" t="str">
        <f t="shared" si="48"/>
        <v>Pass</v>
      </c>
    </row>
    <row r="433" spans="1:26" x14ac:dyDescent="0.25">
      <c r="A433" s="2" t="s">
        <v>835</v>
      </c>
      <c r="B433" t="s">
        <v>17</v>
      </c>
      <c r="C433" t="s">
        <v>465</v>
      </c>
      <c r="D433" s="2" t="str">
        <f>VLOOKUP(C433,Locality_Reference!A:C,2,)</f>
        <v>Western Line</v>
      </c>
      <c r="E433" s="2" t="str">
        <f>VLOOKUP(C433,Locality_Reference!A:C,3,)</f>
        <v>Premium/South</v>
      </c>
      <c r="F433" s="2" t="s">
        <v>1201</v>
      </c>
      <c r="G433" s="8">
        <v>650000</v>
      </c>
      <c r="H433">
        <v>3</v>
      </c>
      <c r="I433">
        <v>3</v>
      </c>
      <c r="J433">
        <v>4</v>
      </c>
      <c r="K433">
        <v>8</v>
      </c>
      <c r="L433">
        <v>2400</v>
      </c>
      <c r="M433" t="s">
        <v>36</v>
      </c>
      <c r="N433" t="s">
        <v>29</v>
      </c>
      <c r="O433" t="s">
        <v>16</v>
      </c>
      <c r="P433" t="s">
        <v>34</v>
      </c>
      <c r="Q433" t="str">
        <f t="shared" si="49"/>
        <v/>
      </c>
      <c r="R433" s="5">
        <v>46188</v>
      </c>
      <c r="S433" s="8">
        <f t="shared" si="50"/>
        <v>270.83333333333331</v>
      </c>
      <c r="T433">
        <f t="shared" si="51"/>
        <v>7800000</v>
      </c>
      <c r="U433" t="str">
        <f t="shared" si="52"/>
        <v>Luxury</v>
      </c>
      <c r="V433" t="str">
        <f t="shared" si="53"/>
        <v>Spacious</v>
      </c>
      <c r="W433" t="str">
        <f>IF(S433 &lt; VLOOKUP(E433, Locality_Tier_Benchmarks!A:B, 2, FALSE) * 0.7, "Below Tier Range", "Normal")</f>
        <v>Normal</v>
      </c>
      <c r="X433" t="str">
        <f t="shared" si="54"/>
        <v>Normal</v>
      </c>
      <c r="Y433" t="str">
        <f t="shared" si="55"/>
        <v>Normal</v>
      </c>
      <c r="Z433" t="str">
        <f t="shared" si="48"/>
        <v>Pass</v>
      </c>
    </row>
    <row r="434" spans="1:26" x14ac:dyDescent="0.25">
      <c r="A434" s="2" t="s">
        <v>836</v>
      </c>
      <c r="B434" t="s">
        <v>17</v>
      </c>
      <c r="C434" t="s">
        <v>465</v>
      </c>
      <c r="D434" s="2" t="str">
        <f>VLOOKUP(C434,Locality_Reference!A:C,2,)</f>
        <v>Western Line</v>
      </c>
      <c r="E434" s="2" t="str">
        <f>VLOOKUP(C434,Locality_Reference!A:C,3,)</f>
        <v>Premium/South</v>
      </c>
      <c r="F434" s="2" t="s">
        <v>1202</v>
      </c>
      <c r="G434" s="8">
        <v>255000</v>
      </c>
      <c r="H434">
        <v>3</v>
      </c>
      <c r="I434">
        <v>3</v>
      </c>
      <c r="J434">
        <v>1</v>
      </c>
      <c r="K434">
        <v>15</v>
      </c>
      <c r="L434">
        <v>1150</v>
      </c>
      <c r="M434" t="s">
        <v>33</v>
      </c>
      <c r="N434" t="s">
        <v>15</v>
      </c>
      <c r="O434" t="s">
        <v>16</v>
      </c>
      <c r="P434" t="s">
        <v>31</v>
      </c>
      <c r="Q434" t="str">
        <f t="shared" si="49"/>
        <v>3</v>
      </c>
      <c r="R434" s="5">
        <v>46202</v>
      </c>
      <c r="S434" s="8">
        <f t="shared" si="50"/>
        <v>221.7391304347826</v>
      </c>
      <c r="T434">
        <f t="shared" si="51"/>
        <v>3060000</v>
      </c>
      <c r="U434" t="str">
        <f t="shared" si="52"/>
        <v>Luxury</v>
      </c>
      <c r="V434" t="str">
        <f t="shared" si="53"/>
        <v>Large</v>
      </c>
      <c r="W434" t="str">
        <f>IF(S434 &lt; VLOOKUP(E434, Locality_Tier_Benchmarks!A:B, 2, FALSE) * 0.7, "Below Tier Range", "Normal")</f>
        <v>Normal</v>
      </c>
      <c r="X434" t="str">
        <f t="shared" si="54"/>
        <v>Normal</v>
      </c>
      <c r="Y434" t="str">
        <f t="shared" si="55"/>
        <v>Normal</v>
      </c>
      <c r="Z434" t="str">
        <f t="shared" si="48"/>
        <v>Pass</v>
      </c>
    </row>
    <row r="435" spans="1:26" x14ac:dyDescent="0.25">
      <c r="A435" s="2" t="s">
        <v>837</v>
      </c>
      <c r="B435" t="s">
        <v>17</v>
      </c>
      <c r="C435" t="s">
        <v>465</v>
      </c>
      <c r="D435" s="2" t="str">
        <f>VLOOKUP(C435,Locality_Reference!A:C,2,)</f>
        <v>Western Line</v>
      </c>
      <c r="E435" s="2" t="str">
        <f>VLOOKUP(C435,Locality_Reference!A:C,3,)</f>
        <v>Premium/South</v>
      </c>
      <c r="F435" s="2" t="s">
        <v>1101</v>
      </c>
      <c r="G435" s="8">
        <v>700000</v>
      </c>
      <c r="H435">
        <v>3</v>
      </c>
      <c r="I435">
        <v>2</v>
      </c>
      <c r="J435">
        <v>7</v>
      </c>
      <c r="K435">
        <v>10</v>
      </c>
      <c r="L435">
        <v>3700</v>
      </c>
      <c r="M435" t="s">
        <v>36</v>
      </c>
      <c r="N435" t="s">
        <v>15</v>
      </c>
      <c r="O435" t="s">
        <v>16</v>
      </c>
      <c r="P435" t="s">
        <v>23</v>
      </c>
      <c r="Q435" t="str">
        <f t="shared" si="49"/>
        <v>10</v>
      </c>
      <c r="R435" s="5">
        <v>46160</v>
      </c>
      <c r="S435" s="8">
        <f t="shared" si="50"/>
        <v>189.18918918918919</v>
      </c>
      <c r="T435">
        <f t="shared" si="51"/>
        <v>8400000</v>
      </c>
      <c r="U435" t="str">
        <f t="shared" si="52"/>
        <v>Luxury</v>
      </c>
      <c r="V435" t="str">
        <f t="shared" si="53"/>
        <v>Spacious</v>
      </c>
      <c r="W435" t="str">
        <f>IF(S435 &lt; VLOOKUP(E435, Locality_Tier_Benchmarks!A:B, 2, FALSE) * 0.7, "Below Tier Range", "Normal")</f>
        <v>Normal</v>
      </c>
      <c r="X435" t="str">
        <f t="shared" si="54"/>
        <v>Normal</v>
      </c>
      <c r="Y435" t="str">
        <f t="shared" si="55"/>
        <v>Normal</v>
      </c>
      <c r="Z435" t="str">
        <f t="shared" si="48"/>
        <v>Pass</v>
      </c>
    </row>
    <row r="436" spans="1:26" x14ac:dyDescent="0.25">
      <c r="A436" s="2" t="s">
        <v>838</v>
      </c>
      <c r="B436" t="s">
        <v>17</v>
      </c>
      <c r="C436" t="s">
        <v>465</v>
      </c>
      <c r="D436" s="2" t="str">
        <f>VLOOKUP(C436,Locality_Reference!A:C,2,)</f>
        <v>Western Line</v>
      </c>
      <c r="E436" s="2" t="str">
        <f>VLOOKUP(C436,Locality_Reference!A:C,3,)</f>
        <v>Premium/South</v>
      </c>
      <c r="F436" s="2" t="s">
        <v>1203</v>
      </c>
      <c r="G436" s="8">
        <v>185000</v>
      </c>
      <c r="H436">
        <v>3</v>
      </c>
      <c r="I436">
        <v>3</v>
      </c>
      <c r="J436">
        <v>6</v>
      </c>
      <c r="K436">
        <v>11</v>
      </c>
      <c r="L436">
        <v>856</v>
      </c>
      <c r="M436" t="s">
        <v>36</v>
      </c>
      <c r="N436" t="s">
        <v>29</v>
      </c>
      <c r="O436" t="s">
        <v>16</v>
      </c>
      <c r="P436" t="s">
        <v>52</v>
      </c>
      <c r="Q436" t="str">
        <f t="shared" si="49"/>
        <v>7.5</v>
      </c>
      <c r="R436" s="5">
        <v>46154</v>
      </c>
      <c r="S436" s="8">
        <f t="shared" si="50"/>
        <v>216.12149532710279</v>
      </c>
      <c r="T436">
        <f t="shared" si="51"/>
        <v>2220000</v>
      </c>
      <c r="U436" t="str">
        <f t="shared" si="52"/>
        <v>Luxury</v>
      </c>
      <c r="V436" t="str">
        <f t="shared" si="53"/>
        <v>Large</v>
      </c>
      <c r="W436" t="str">
        <f>IF(S436 &lt; VLOOKUP(E436, Locality_Tier_Benchmarks!A:B, 2, FALSE) * 0.7, "Below Tier Range", "Normal")</f>
        <v>Normal</v>
      </c>
      <c r="X436" t="str">
        <f t="shared" si="54"/>
        <v>Normal</v>
      </c>
      <c r="Y436" t="str">
        <f t="shared" si="55"/>
        <v>Normal</v>
      </c>
      <c r="Z436" t="str">
        <f t="shared" si="48"/>
        <v>Pass</v>
      </c>
    </row>
    <row r="437" spans="1:26" x14ac:dyDescent="0.25">
      <c r="A437" s="2" t="s">
        <v>839</v>
      </c>
      <c r="B437" t="s">
        <v>17</v>
      </c>
      <c r="C437" t="s">
        <v>465</v>
      </c>
      <c r="D437" s="2" t="str">
        <f>VLOOKUP(C437,Locality_Reference!A:C,2,)</f>
        <v>Western Line</v>
      </c>
      <c r="E437" s="2" t="str">
        <f>VLOOKUP(C437,Locality_Reference!A:C,3,)</f>
        <v>Premium/South</v>
      </c>
      <c r="F437" s="2" t="s">
        <v>1204</v>
      </c>
      <c r="G437" s="8">
        <v>425000</v>
      </c>
      <c r="H437">
        <v>3</v>
      </c>
      <c r="I437">
        <v>3</v>
      </c>
      <c r="J437">
        <v>5</v>
      </c>
      <c r="K437">
        <v>7</v>
      </c>
      <c r="L437">
        <v>2200</v>
      </c>
      <c r="M437" t="s">
        <v>36</v>
      </c>
      <c r="N437" t="s">
        <v>29</v>
      </c>
      <c r="O437" t="s">
        <v>16</v>
      </c>
      <c r="P437" t="s">
        <v>23</v>
      </c>
      <c r="Q437" t="str">
        <f t="shared" si="49"/>
        <v>10</v>
      </c>
      <c r="R437" s="5">
        <v>46182</v>
      </c>
      <c r="S437" s="8">
        <f t="shared" si="50"/>
        <v>193.18181818181819</v>
      </c>
      <c r="T437">
        <f t="shared" si="51"/>
        <v>5100000</v>
      </c>
      <c r="U437" t="str">
        <f t="shared" si="52"/>
        <v>Luxury</v>
      </c>
      <c r="V437" t="str">
        <f t="shared" si="53"/>
        <v>Spacious</v>
      </c>
      <c r="W437" t="str">
        <f>IF(S437 &lt; VLOOKUP(E437, Locality_Tier_Benchmarks!A:B, 2, FALSE) * 0.7, "Below Tier Range", "Normal")</f>
        <v>Normal</v>
      </c>
      <c r="X437" t="str">
        <f t="shared" si="54"/>
        <v>Normal</v>
      </c>
      <c r="Y437" t="str">
        <f t="shared" si="55"/>
        <v>Normal</v>
      </c>
      <c r="Z437" t="str">
        <f t="shared" si="48"/>
        <v>Pass</v>
      </c>
    </row>
    <row r="438" spans="1:26" x14ac:dyDescent="0.25">
      <c r="A438" s="2" t="s">
        <v>840</v>
      </c>
      <c r="B438" t="s">
        <v>17</v>
      </c>
      <c r="C438" t="s">
        <v>463</v>
      </c>
      <c r="D438" s="2" t="str">
        <f>VLOOKUP(C438,Locality_Reference!A:C,2,)</f>
        <v>Western Line</v>
      </c>
      <c r="E438" s="2" t="str">
        <f>VLOOKUP(C438,Locality_Reference!A:C,3,)</f>
        <v>Mid Suburb</v>
      </c>
      <c r="F438" s="2" t="s">
        <v>1205</v>
      </c>
      <c r="G438" s="8">
        <v>110000</v>
      </c>
      <c r="H438">
        <v>1</v>
      </c>
      <c r="I438">
        <v>2</v>
      </c>
      <c r="J438">
        <v>20</v>
      </c>
      <c r="K438">
        <v>22</v>
      </c>
      <c r="L438">
        <v>540</v>
      </c>
      <c r="M438" t="s">
        <v>36</v>
      </c>
      <c r="N438" t="s">
        <v>29</v>
      </c>
      <c r="O438" t="s">
        <v>16</v>
      </c>
      <c r="P438" t="s">
        <v>47</v>
      </c>
      <c r="Q438" t="str">
        <f t="shared" si="49"/>
        <v>1</v>
      </c>
      <c r="R438" s="5">
        <v>46161</v>
      </c>
      <c r="S438" s="8">
        <f t="shared" si="50"/>
        <v>203.7037037037037</v>
      </c>
      <c r="T438">
        <f t="shared" si="51"/>
        <v>1320000</v>
      </c>
      <c r="U438" t="str">
        <f t="shared" si="52"/>
        <v>Luxury</v>
      </c>
      <c r="V438" t="str">
        <f t="shared" si="53"/>
        <v>Medium</v>
      </c>
      <c r="W438" t="str">
        <f>IF(S438 &lt; VLOOKUP(E438, Locality_Tier_Benchmarks!A:B, 2, FALSE) * 0.7, "Below Tier Range", "Normal")</f>
        <v>Normal</v>
      </c>
      <c r="X438" t="str">
        <f t="shared" si="54"/>
        <v>Normal</v>
      </c>
      <c r="Y438" t="str">
        <f t="shared" si="55"/>
        <v>Normal</v>
      </c>
      <c r="Z438" t="str">
        <f t="shared" si="48"/>
        <v>Pass</v>
      </c>
    </row>
    <row r="439" spans="1:26" x14ac:dyDescent="0.25">
      <c r="A439" s="2" t="s">
        <v>841</v>
      </c>
      <c r="B439" t="s">
        <v>17</v>
      </c>
      <c r="C439" t="s">
        <v>463</v>
      </c>
      <c r="D439" s="2" t="str">
        <f>VLOOKUP(C439,Locality_Reference!A:C,2,)</f>
        <v>Western Line</v>
      </c>
      <c r="E439" s="2" t="str">
        <f>VLOOKUP(C439,Locality_Reference!A:C,3,)</f>
        <v>Mid Suburb</v>
      </c>
      <c r="F439" s="2" t="s">
        <v>1206</v>
      </c>
      <c r="G439" s="8">
        <v>70000</v>
      </c>
      <c r="H439">
        <v>1</v>
      </c>
      <c r="I439">
        <v>2</v>
      </c>
      <c r="J439">
        <v>20</v>
      </c>
      <c r="K439">
        <v>25</v>
      </c>
      <c r="L439">
        <v>550</v>
      </c>
      <c r="M439" t="s">
        <v>36</v>
      </c>
      <c r="N439" t="s">
        <v>29</v>
      </c>
      <c r="O439" t="s">
        <v>16</v>
      </c>
      <c r="P439" t="s">
        <v>47</v>
      </c>
      <c r="Q439" t="str">
        <f t="shared" si="49"/>
        <v>1</v>
      </c>
      <c r="R439" s="5">
        <v>46192</v>
      </c>
      <c r="S439" s="8">
        <f t="shared" si="50"/>
        <v>127.27272727272727</v>
      </c>
      <c r="T439">
        <f t="shared" si="51"/>
        <v>840000</v>
      </c>
      <c r="U439" t="str">
        <f t="shared" si="52"/>
        <v>Premium</v>
      </c>
      <c r="V439" t="str">
        <f t="shared" si="53"/>
        <v>Medium</v>
      </c>
      <c r="W439" t="str">
        <f>IF(S439 &lt; VLOOKUP(E439, Locality_Tier_Benchmarks!A:B, 2, FALSE) * 0.7, "Below Tier Range", "Normal")</f>
        <v>Normal</v>
      </c>
      <c r="X439" t="str">
        <f t="shared" si="54"/>
        <v>Normal</v>
      </c>
      <c r="Y439" t="str">
        <f t="shared" si="55"/>
        <v>Normal</v>
      </c>
      <c r="Z439" t="str">
        <f t="shared" si="48"/>
        <v>Pass</v>
      </c>
    </row>
    <row r="440" spans="1:26" x14ac:dyDescent="0.25">
      <c r="A440" s="2" t="s">
        <v>842</v>
      </c>
      <c r="B440" t="s">
        <v>17</v>
      </c>
      <c r="C440" t="s">
        <v>463</v>
      </c>
      <c r="D440" s="2" t="str">
        <f>VLOOKUP(C440,Locality_Reference!A:C,2,)</f>
        <v>Western Line</v>
      </c>
      <c r="E440" s="2" t="str">
        <f>VLOOKUP(C440,Locality_Reference!A:C,3,)</f>
        <v>Mid Suburb</v>
      </c>
      <c r="F440" s="2" t="s">
        <v>1207</v>
      </c>
      <c r="G440" s="8">
        <v>25000</v>
      </c>
      <c r="H440">
        <v>1</v>
      </c>
      <c r="I440">
        <v>1</v>
      </c>
      <c r="J440">
        <v>7</v>
      </c>
      <c r="K440">
        <v>8</v>
      </c>
      <c r="L440">
        <v>300</v>
      </c>
      <c r="M440" t="s">
        <v>33</v>
      </c>
      <c r="N440" t="s">
        <v>15</v>
      </c>
      <c r="O440" t="s">
        <v>16</v>
      </c>
      <c r="P440" t="s">
        <v>52</v>
      </c>
      <c r="Q440" t="str">
        <f t="shared" si="49"/>
        <v>7.5</v>
      </c>
      <c r="R440" s="5">
        <v>46191</v>
      </c>
      <c r="S440" s="8">
        <f t="shared" si="50"/>
        <v>83.333333333333329</v>
      </c>
      <c r="T440">
        <f t="shared" si="51"/>
        <v>300000</v>
      </c>
      <c r="U440" t="str">
        <f t="shared" si="52"/>
        <v>Budget</v>
      </c>
      <c r="V440" t="str">
        <f t="shared" si="53"/>
        <v>Compact</v>
      </c>
      <c r="W440" t="str">
        <f>IF(S440 &lt; VLOOKUP(E440, Locality_Tier_Benchmarks!A:B, 2, FALSE) * 0.7, "Below Tier Range", "Normal")</f>
        <v>Normal</v>
      </c>
      <c r="X440" t="str">
        <f t="shared" si="54"/>
        <v>Normal</v>
      </c>
      <c r="Y440" t="str">
        <f t="shared" si="55"/>
        <v>Normal</v>
      </c>
      <c r="Z440" t="str">
        <f t="shared" si="48"/>
        <v>Pass</v>
      </c>
    </row>
    <row r="441" spans="1:26" x14ac:dyDescent="0.25">
      <c r="A441" s="2" t="s">
        <v>843</v>
      </c>
      <c r="B441" t="s">
        <v>17</v>
      </c>
      <c r="C441" t="s">
        <v>463</v>
      </c>
      <c r="D441" s="2" t="str">
        <f>VLOOKUP(C441,Locality_Reference!A:C,2,)</f>
        <v>Western Line</v>
      </c>
      <c r="E441" s="2" t="str">
        <f>VLOOKUP(C441,Locality_Reference!A:C,3,)</f>
        <v>Mid Suburb</v>
      </c>
      <c r="F441" s="2" t="s">
        <v>1208</v>
      </c>
      <c r="G441" s="8">
        <v>65000</v>
      </c>
      <c r="H441">
        <v>1</v>
      </c>
      <c r="I441">
        <v>1</v>
      </c>
      <c r="J441">
        <v>12</v>
      </c>
      <c r="K441">
        <v>13</v>
      </c>
      <c r="L441">
        <v>500</v>
      </c>
      <c r="M441" t="s">
        <v>36</v>
      </c>
      <c r="N441" t="s">
        <v>15</v>
      </c>
      <c r="O441" t="s">
        <v>16</v>
      </c>
      <c r="P441" t="s">
        <v>34</v>
      </c>
      <c r="Q441" t="str">
        <f t="shared" si="49"/>
        <v/>
      </c>
      <c r="R441" s="5">
        <v>46187</v>
      </c>
      <c r="S441" s="8">
        <f t="shared" si="50"/>
        <v>130</v>
      </c>
      <c r="T441">
        <f t="shared" si="51"/>
        <v>780000</v>
      </c>
      <c r="U441" t="str">
        <f t="shared" si="52"/>
        <v>Premium</v>
      </c>
      <c r="V441" t="str">
        <f t="shared" si="53"/>
        <v>Compact</v>
      </c>
      <c r="W441" t="str">
        <f>IF(S441 &lt; VLOOKUP(E441, Locality_Tier_Benchmarks!A:B, 2, FALSE) * 0.7, "Below Tier Range", "Normal")</f>
        <v>Normal</v>
      </c>
      <c r="X441" t="str">
        <f t="shared" si="54"/>
        <v>Normal</v>
      </c>
      <c r="Y441" t="str">
        <f t="shared" si="55"/>
        <v>Normal</v>
      </c>
      <c r="Z441" t="str">
        <f t="shared" si="48"/>
        <v>Pass</v>
      </c>
    </row>
    <row r="442" spans="1:26" x14ac:dyDescent="0.25">
      <c r="A442" s="2" t="s">
        <v>844</v>
      </c>
      <c r="B442" t="s">
        <v>17</v>
      </c>
      <c r="C442" t="s">
        <v>463</v>
      </c>
      <c r="D442" s="2" t="str">
        <f>VLOOKUP(C442,Locality_Reference!A:C,2,)</f>
        <v>Western Line</v>
      </c>
      <c r="E442" s="2" t="str">
        <f>VLOOKUP(C442,Locality_Reference!A:C,3,)</f>
        <v>Mid Suburb</v>
      </c>
      <c r="F442" s="2" t="s">
        <v>1209</v>
      </c>
      <c r="G442" s="8">
        <v>45000</v>
      </c>
      <c r="H442">
        <v>1</v>
      </c>
      <c r="I442">
        <v>2</v>
      </c>
      <c r="J442">
        <v>14</v>
      </c>
      <c r="K442">
        <v>15</v>
      </c>
      <c r="L442">
        <v>322</v>
      </c>
      <c r="M442" t="s">
        <v>33</v>
      </c>
      <c r="N442" t="s">
        <v>15</v>
      </c>
      <c r="O442" t="s">
        <v>16</v>
      </c>
      <c r="P442" t="s">
        <v>47</v>
      </c>
      <c r="Q442" t="str">
        <f t="shared" si="49"/>
        <v>1</v>
      </c>
      <c r="R442" s="5">
        <v>46190</v>
      </c>
      <c r="S442" s="8">
        <f t="shared" si="50"/>
        <v>139.75155279503105</v>
      </c>
      <c r="T442">
        <f t="shared" si="51"/>
        <v>540000</v>
      </c>
      <c r="U442" t="str">
        <f t="shared" si="52"/>
        <v>Mid</v>
      </c>
      <c r="V442" t="str">
        <f t="shared" si="53"/>
        <v>Compact</v>
      </c>
      <c r="W442" t="str">
        <f>IF(S442 &lt; VLOOKUP(E442, Locality_Tier_Benchmarks!A:B, 2, FALSE) * 0.7, "Below Tier Range", "Normal")</f>
        <v>Normal</v>
      </c>
      <c r="X442" t="str">
        <f t="shared" si="54"/>
        <v>Normal</v>
      </c>
      <c r="Y442" t="str">
        <f t="shared" si="55"/>
        <v>Normal</v>
      </c>
      <c r="Z442" t="str">
        <f t="shared" si="48"/>
        <v>Pass</v>
      </c>
    </row>
    <row r="443" spans="1:26" x14ac:dyDescent="0.25">
      <c r="A443" s="2" t="s">
        <v>845</v>
      </c>
      <c r="B443" t="s">
        <v>17</v>
      </c>
      <c r="C443" t="s">
        <v>463</v>
      </c>
      <c r="D443" s="2" t="str">
        <f>VLOOKUP(C443,Locality_Reference!A:C,2,)</f>
        <v>Western Line</v>
      </c>
      <c r="E443" s="2" t="str">
        <f>VLOOKUP(C443,Locality_Reference!A:C,3,)</f>
        <v>Mid Suburb</v>
      </c>
      <c r="F443" s="2" t="s">
        <v>1205</v>
      </c>
      <c r="G443" s="8">
        <v>150000</v>
      </c>
      <c r="H443">
        <v>2</v>
      </c>
      <c r="I443">
        <v>2</v>
      </c>
      <c r="J443">
        <v>1</v>
      </c>
      <c r="K443">
        <v>22</v>
      </c>
      <c r="L443">
        <v>659</v>
      </c>
      <c r="M443" t="s">
        <v>36</v>
      </c>
      <c r="N443" t="s">
        <v>29</v>
      </c>
      <c r="O443" t="s">
        <v>16</v>
      </c>
      <c r="P443" t="s">
        <v>34</v>
      </c>
      <c r="Q443" t="str">
        <f t="shared" si="49"/>
        <v/>
      </c>
      <c r="R443" s="5">
        <v>46190</v>
      </c>
      <c r="S443" s="8">
        <f t="shared" si="50"/>
        <v>227.6176024279211</v>
      </c>
      <c r="T443">
        <f t="shared" si="51"/>
        <v>1800000</v>
      </c>
      <c r="U443" t="str">
        <f t="shared" si="52"/>
        <v>Luxury</v>
      </c>
      <c r="V443" t="str">
        <f t="shared" si="53"/>
        <v>Medium</v>
      </c>
      <c r="W443" t="str">
        <f>IF(S443 &lt; VLOOKUP(E443, Locality_Tier_Benchmarks!A:B, 2, FALSE) * 0.7, "Below Tier Range", "Normal")</f>
        <v>Normal</v>
      </c>
      <c r="X443" t="str">
        <f t="shared" si="54"/>
        <v>Normal</v>
      </c>
      <c r="Y443" t="str">
        <f t="shared" si="55"/>
        <v>Normal</v>
      </c>
      <c r="Z443" t="str">
        <f t="shared" si="48"/>
        <v>Pass</v>
      </c>
    </row>
    <row r="444" spans="1:26" x14ac:dyDescent="0.25">
      <c r="A444" s="2" t="s">
        <v>846</v>
      </c>
      <c r="B444" t="s">
        <v>17</v>
      </c>
      <c r="C444" t="s">
        <v>463</v>
      </c>
      <c r="D444" s="2" t="str">
        <f>VLOOKUP(C444,Locality_Reference!A:C,2,)</f>
        <v>Western Line</v>
      </c>
      <c r="E444" s="2" t="str">
        <f>VLOOKUP(C444,Locality_Reference!A:C,3,)</f>
        <v>Mid Suburb</v>
      </c>
      <c r="F444" s="2" t="s">
        <v>1210</v>
      </c>
      <c r="G444" s="8">
        <v>140000</v>
      </c>
      <c r="H444">
        <v>2</v>
      </c>
      <c r="I444">
        <v>2</v>
      </c>
      <c r="J444">
        <v>16</v>
      </c>
      <c r="K444">
        <v>23</v>
      </c>
      <c r="L444">
        <v>618.91999999999996</v>
      </c>
      <c r="M444" t="s">
        <v>14</v>
      </c>
      <c r="N444" t="s">
        <v>29</v>
      </c>
      <c r="O444" t="s">
        <v>16</v>
      </c>
      <c r="P444" t="s">
        <v>47</v>
      </c>
      <c r="Q444" t="str">
        <f t="shared" si="49"/>
        <v>1</v>
      </c>
      <c r="R444" s="5">
        <v>46195</v>
      </c>
      <c r="S444" s="8">
        <f t="shared" si="50"/>
        <v>226.20047825243975</v>
      </c>
      <c r="T444">
        <f t="shared" si="51"/>
        <v>1680000</v>
      </c>
      <c r="U444" t="str">
        <f t="shared" si="52"/>
        <v>Luxury</v>
      </c>
      <c r="V444" t="str">
        <f t="shared" si="53"/>
        <v>Medium</v>
      </c>
      <c r="W444" t="str">
        <f>IF(S444 &lt; VLOOKUP(E444, Locality_Tier_Benchmarks!A:B, 2, FALSE) * 0.7, "Below Tier Range", "Normal")</f>
        <v>Normal</v>
      </c>
      <c r="X444" t="str">
        <f t="shared" si="54"/>
        <v>Normal</v>
      </c>
      <c r="Y444" t="str">
        <f t="shared" si="55"/>
        <v>Normal</v>
      </c>
      <c r="Z444" t="str">
        <f t="shared" si="48"/>
        <v>Pass</v>
      </c>
    </row>
    <row r="445" spans="1:26" x14ac:dyDescent="0.25">
      <c r="A445" s="2" t="s">
        <v>847</v>
      </c>
      <c r="B445" t="s">
        <v>17</v>
      </c>
      <c r="C445" t="s">
        <v>463</v>
      </c>
      <c r="D445" s="2" t="str">
        <f>VLOOKUP(C445,Locality_Reference!A:C,2,)</f>
        <v>Western Line</v>
      </c>
      <c r="E445" s="2" t="str">
        <f>VLOOKUP(C445,Locality_Reference!A:C,3,)</f>
        <v>Mid Suburb</v>
      </c>
      <c r="F445" s="2" t="s">
        <v>1211</v>
      </c>
      <c r="G445" s="8">
        <v>75000</v>
      </c>
      <c r="H445">
        <v>2</v>
      </c>
      <c r="I445">
        <v>2</v>
      </c>
      <c r="J445">
        <v>15</v>
      </c>
      <c r="K445">
        <v>20</v>
      </c>
      <c r="L445">
        <v>664</v>
      </c>
      <c r="M445" t="s">
        <v>36</v>
      </c>
      <c r="N445" t="s">
        <v>29</v>
      </c>
      <c r="O445" t="s">
        <v>16</v>
      </c>
      <c r="P445" t="s">
        <v>47</v>
      </c>
      <c r="Q445" t="str">
        <f t="shared" si="49"/>
        <v>1</v>
      </c>
      <c r="R445" s="5">
        <v>46183</v>
      </c>
      <c r="S445" s="8">
        <f t="shared" si="50"/>
        <v>112.95180722891567</v>
      </c>
      <c r="T445">
        <f t="shared" si="51"/>
        <v>900000</v>
      </c>
      <c r="U445" t="str">
        <f t="shared" si="52"/>
        <v>Premium</v>
      </c>
      <c r="V445" t="str">
        <f t="shared" si="53"/>
        <v>Medium</v>
      </c>
      <c r="W445" t="str">
        <f>IF(S445 &lt; VLOOKUP(E445, Locality_Tier_Benchmarks!A:B, 2, FALSE) * 0.7, "Below Tier Range", "Normal")</f>
        <v>Normal</v>
      </c>
      <c r="X445" t="str">
        <f t="shared" si="54"/>
        <v>Normal</v>
      </c>
      <c r="Y445" t="str">
        <f t="shared" si="55"/>
        <v>Normal</v>
      </c>
      <c r="Z445" t="str">
        <f t="shared" si="48"/>
        <v>Pass</v>
      </c>
    </row>
    <row r="446" spans="1:26" x14ac:dyDescent="0.25">
      <c r="A446" s="2" t="s">
        <v>848</v>
      </c>
      <c r="B446" t="s">
        <v>17</v>
      </c>
      <c r="C446" t="s">
        <v>463</v>
      </c>
      <c r="D446" s="2" t="str">
        <f>VLOOKUP(C446,Locality_Reference!A:C,2,)</f>
        <v>Western Line</v>
      </c>
      <c r="E446" s="2" t="str">
        <f>VLOOKUP(C446,Locality_Reference!A:C,3,)</f>
        <v>Mid Suburb</v>
      </c>
      <c r="F446" s="2" t="s">
        <v>1212</v>
      </c>
      <c r="G446" s="8">
        <v>160000</v>
      </c>
      <c r="H446">
        <v>2</v>
      </c>
      <c r="I446">
        <v>2</v>
      </c>
      <c r="J446">
        <v>10</v>
      </c>
      <c r="K446">
        <v>22</v>
      </c>
      <c r="L446">
        <v>794</v>
      </c>
      <c r="M446" t="s">
        <v>14</v>
      </c>
      <c r="N446" t="s">
        <v>29</v>
      </c>
      <c r="O446" t="s">
        <v>16</v>
      </c>
      <c r="P446" t="s">
        <v>34</v>
      </c>
      <c r="Q446" t="str">
        <f t="shared" si="49"/>
        <v/>
      </c>
      <c r="R446" s="5">
        <v>46191</v>
      </c>
      <c r="S446" s="8">
        <f t="shared" si="50"/>
        <v>201.51133501259446</v>
      </c>
      <c r="T446">
        <f t="shared" si="51"/>
        <v>1920000</v>
      </c>
      <c r="U446" t="str">
        <f t="shared" si="52"/>
        <v>Luxury</v>
      </c>
      <c r="V446" t="str">
        <f t="shared" si="53"/>
        <v>Medium</v>
      </c>
      <c r="W446" t="str">
        <f>IF(S446 &lt; VLOOKUP(E446, Locality_Tier_Benchmarks!A:B, 2, FALSE) * 0.7, "Below Tier Range", "Normal")</f>
        <v>Normal</v>
      </c>
      <c r="X446" t="str">
        <f t="shared" si="54"/>
        <v>Normal</v>
      </c>
      <c r="Y446" t="str">
        <f t="shared" si="55"/>
        <v>Normal</v>
      </c>
      <c r="Z446" t="str">
        <f t="shared" si="48"/>
        <v>Pass</v>
      </c>
    </row>
    <row r="447" spans="1:26" x14ac:dyDescent="0.25">
      <c r="A447" s="2" t="s">
        <v>849</v>
      </c>
      <c r="B447" t="s">
        <v>17</v>
      </c>
      <c r="C447" t="s">
        <v>463</v>
      </c>
      <c r="D447" s="2" t="str">
        <f>VLOOKUP(C447,Locality_Reference!A:C,2,)</f>
        <v>Western Line</v>
      </c>
      <c r="E447" s="2" t="str">
        <f>VLOOKUP(C447,Locality_Reference!A:C,3,)</f>
        <v>Mid Suburb</v>
      </c>
      <c r="F447" s="2" t="s">
        <v>1206</v>
      </c>
      <c r="G447" s="8">
        <v>85000</v>
      </c>
      <c r="H447">
        <v>2</v>
      </c>
      <c r="I447">
        <v>2</v>
      </c>
      <c r="J447">
        <v>10</v>
      </c>
      <c r="K447">
        <v>22</v>
      </c>
      <c r="L447">
        <v>565</v>
      </c>
      <c r="M447" t="s">
        <v>36</v>
      </c>
      <c r="N447" t="s">
        <v>29</v>
      </c>
      <c r="O447" t="s">
        <v>16</v>
      </c>
      <c r="P447" t="s">
        <v>47</v>
      </c>
      <c r="Q447" t="str">
        <f t="shared" si="49"/>
        <v>1</v>
      </c>
      <c r="R447" s="5">
        <v>46202</v>
      </c>
      <c r="S447" s="8">
        <f t="shared" si="50"/>
        <v>150.44247787610618</v>
      </c>
      <c r="T447">
        <f t="shared" si="51"/>
        <v>1020000</v>
      </c>
      <c r="U447" t="str">
        <f t="shared" si="52"/>
        <v>Premium</v>
      </c>
      <c r="V447" t="str">
        <f t="shared" si="53"/>
        <v>Medium</v>
      </c>
      <c r="W447" t="str">
        <f>IF(S447 &lt; VLOOKUP(E447, Locality_Tier_Benchmarks!A:B, 2, FALSE) * 0.7, "Below Tier Range", "Normal")</f>
        <v>Normal</v>
      </c>
      <c r="X447" t="str">
        <f t="shared" si="54"/>
        <v>Normal</v>
      </c>
      <c r="Y447" t="str">
        <f t="shared" si="55"/>
        <v>Normal</v>
      </c>
      <c r="Z447" t="str">
        <f t="shared" si="48"/>
        <v>Pass</v>
      </c>
    </row>
    <row r="448" spans="1:26" x14ac:dyDescent="0.25">
      <c r="A448" s="2" t="s">
        <v>850</v>
      </c>
      <c r="B448" t="s">
        <v>17</v>
      </c>
      <c r="C448" t="s">
        <v>463</v>
      </c>
      <c r="D448" s="2" t="str">
        <f>VLOOKUP(C448,Locality_Reference!A:C,2,)</f>
        <v>Western Line</v>
      </c>
      <c r="E448" s="2" t="str">
        <f>VLOOKUP(C448,Locality_Reference!A:C,3,)</f>
        <v>Mid Suburb</v>
      </c>
      <c r="F448" s="2" t="s">
        <v>1213</v>
      </c>
      <c r="G448" s="8">
        <v>240000</v>
      </c>
      <c r="H448">
        <v>3</v>
      </c>
      <c r="I448">
        <v>3</v>
      </c>
      <c r="J448">
        <v>9</v>
      </c>
      <c r="K448">
        <v>24</v>
      </c>
      <c r="L448">
        <v>1004</v>
      </c>
      <c r="M448" t="s">
        <v>36</v>
      </c>
      <c r="N448" t="s">
        <v>29</v>
      </c>
      <c r="O448" t="s">
        <v>16</v>
      </c>
      <c r="P448" t="s">
        <v>34</v>
      </c>
      <c r="Q448" t="str">
        <f t="shared" si="49"/>
        <v/>
      </c>
      <c r="R448" s="5">
        <v>46186</v>
      </c>
      <c r="S448" s="8">
        <f t="shared" si="50"/>
        <v>239.04382470119521</v>
      </c>
      <c r="T448">
        <f t="shared" si="51"/>
        <v>2880000</v>
      </c>
      <c r="U448" t="str">
        <f t="shared" si="52"/>
        <v>Luxury</v>
      </c>
      <c r="V448" t="str">
        <f t="shared" si="53"/>
        <v>Large</v>
      </c>
      <c r="W448" t="str">
        <f>IF(S448 &lt; VLOOKUP(E448, Locality_Tier_Benchmarks!A:B, 2, FALSE) * 0.7, "Below Tier Range", "Normal")</f>
        <v>Normal</v>
      </c>
      <c r="X448" t="str">
        <f t="shared" si="54"/>
        <v>Normal</v>
      </c>
      <c r="Y448" t="str">
        <f t="shared" si="55"/>
        <v>Normal</v>
      </c>
      <c r="Z448" t="str">
        <f t="shared" si="48"/>
        <v>Pass</v>
      </c>
    </row>
    <row r="449" spans="1:26" x14ac:dyDescent="0.25">
      <c r="A449" s="2" t="s">
        <v>851</v>
      </c>
      <c r="B449" t="s">
        <v>17</v>
      </c>
      <c r="C449" t="s">
        <v>463</v>
      </c>
      <c r="D449" s="2" t="str">
        <f>VLOOKUP(C449,Locality_Reference!A:C,2,)</f>
        <v>Western Line</v>
      </c>
      <c r="E449" s="2" t="str">
        <f>VLOOKUP(C449,Locality_Reference!A:C,3,)</f>
        <v>Mid Suburb</v>
      </c>
      <c r="F449" s="2" t="s">
        <v>1214</v>
      </c>
      <c r="G449" s="8">
        <v>175000</v>
      </c>
      <c r="H449">
        <v>3</v>
      </c>
      <c r="I449">
        <v>3</v>
      </c>
      <c r="J449">
        <v>17</v>
      </c>
      <c r="K449">
        <v>20</v>
      </c>
      <c r="L449">
        <v>1200</v>
      </c>
      <c r="M449" t="s">
        <v>36</v>
      </c>
      <c r="N449" t="s">
        <v>29</v>
      </c>
      <c r="O449" t="s">
        <v>16</v>
      </c>
      <c r="P449" t="s">
        <v>34</v>
      </c>
      <c r="Q449" t="str">
        <f t="shared" si="49"/>
        <v/>
      </c>
      <c r="R449" s="5">
        <v>46181</v>
      </c>
      <c r="S449" s="8">
        <f t="shared" si="50"/>
        <v>145.83333333333334</v>
      </c>
      <c r="T449">
        <f t="shared" si="51"/>
        <v>2100000</v>
      </c>
      <c r="U449" t="str">
        <f t="shared" si="52"/>
        <v>Luxury</v>
      </c>
      <c r="V449" t="str">
        <f t="shared" si="53"/>
        <v>Large</v>
      </c>
      <c r="W449" t="str">
        <f>IF(S449 &lt; VLOOKUP(E449, Locality_Tier_Benchmarks!A:B, 2, FALSE) * 0.7, "Below Tier Range", "Normal")</f>
        <v>Normal</v>
      </c>
      <c r="X449" t="str">
        <f t="shared" si="54"/>
        <v>Normal</v>
      </c>
      <c r="Y449" t="str">
        <f t="shared" si="55"/>
        <v>Normal</v>
      </c>
      <c r="Z449" t="str">
        <f t="shared" si="48"/>
        <v>Pass</v>
      </c>
    </row>
    <row r="450" spans="1:26" x14ac:dyDescent="0.25">
      <c r="A450" s="2" t="s">
        <v>852</v>
      </c>
      <c r="B450" t="s">
        <v>17</v>
      </c>
      <c r="C450" t="s">
        <v>463</v>
      </c>
      <c r="D450" s="2" t="str">
        <f>VLOOKUP(C450,Locality_Reference!A:C,2,)</f>
        <v>Western Line</v>
      </c>
      <c r="E450" s="2" t="str">
        <f>VLOOKUP(C450,Locality_Reference!A:C,3,)</f>
        <v>Mid Suburb</v>
      </c>
      <c r="F450" s="2" t="s">
        <v>1212</v>
      </c>
      <c r="G450" s="8">
        <v>260000</v>
      </c>
      <c r="H450">
        <v>3</v>
      </c>
      <c r="I450">
        <v>3</v>
      </c>
      <c r="J450">
        <v>18</v>
      </c>
      <c r="K450">
        <v>22</v>
      </c>
      <c r="L450">
        <v>1150</v>
      </c>
      <c r="M450" t="s">
        <v>14</v>
      </c>
      <c r="N450" t="s">
        <v>29</v>
      </c>
      <c r="O450" t="s">
        <v>16</v>
      </c>
      <c r="P450" t="s">
        <v>34</v>
      </c>
      <c r="Q450" t="str">
        <f t="shared" si="49"/>
        <v/>
      </c>
      <c r="R450" s="5">
        <v>46202</v>
      </c>
      <c r="S450" s="8">
        <f t="shared" si="50"/>
        <v>226.08695652173913</v>
      </c>
      <c r="T450">
        <f t="shared" si="51"/>
        <v>3120000</v>
      </c>
      <c r="U450" t="str">
        <f t="shared" si="52"/>
        <v>Luxury</v>
      </c>
      <c r="V450" t="str">
        <f t="shared" si="53"/>
        <v>Large</v>
      </c>
      <c r="W450" t="str">
        <f>IF(S450 &lt; VLOOKUP(E450, Locality_Tier_Benchmarks!A:B, 2, FALSE) * 0.7, "Below Tier Range", "Normal")</f>
        <v>Normal</v>
      </c>
      <c r="X450" t="str">
        <f t="shared" si="54"/>
        <v>Normal</v>
      </c>
      <c r="Y450" t="str">
        <f t="shared" si="55"/>
        <v>Normal</v>
      </c>
      <c r="Z450" t="str">
        <f t="shared" ref="Z450:Z513" si="56">IF(OR(W450&lt;&gt;"Normal",X450&lt;&gt;"Normal",Y450&lt;&gt;"Normal"),"Review","Pass")</f>
        <v>Pass</v>
      </c>
    </row>
    <row r="451" spans="1:26" x14ac:dyDescent="0.25">
      <c r="A451" s="2" t="s">
        <v>853</v>
      </c>
      <c r="B451" t="s">
        <v>17</v>
      </c>
      <c r="C451" t="s">
        <v>463</v>
      </c>
      <c r="D451" s="2" t="str">
        <f>VLOOKUP(C451,Locality_Reference!A:C,2,)</f>
        <v>Western Line</v>
      </c>
      <c r="E451" s="2" t="str">
        <f>VLOOKUP(C451,Locality_Reference!A:C,3,)</f>
        <v>Mid Suburb</v>
      </c>
      <c r="F451" s="2" t="s">
        <v>1215</v>
      </c>
      <c r="G451" s="8">
        <v>375000</v>
      </c>
      <c r="H451">
        <v>3</v>
      </c>
      <c r="I451">
        <v>3</v>
      </c>
      <c r="J451">
        <v>11</v>
      </c>
      <c r="K451">
        <v>23</v>
      </c>
      <c r="L451">
        <v>1475</v>
      </c>
      <c r="M451" t="s">
        <v>14</v>
      </c>
      <c r="N451" t="s">
        <v>15</v>
      </c>
      <c r="O451" t="s">
        <v>16</v>
      </c>
      <c r="P451" t="s">
        <v>47</v>
      </c>
      <c r="Q451" t="str">
        <f t="shared" ref="Q451:Q514" si="57">IF(P451="20+ Years","20",IF(P451="15-20 Years","17.5",IF(P451="10+ Years","10",IF(P451="5-10 Years","7.5",IF(P451="1-5 Years","3",IF(P451="0-1 Year","1",""))))))</f>
        <v>1</v>
      </c>
      <c r="R451" s="5">
        <v>46202</v>
      </c>
      <c r="S451" s="8">
        <f t="shared" ref="S451:S514" si="58">G451/L451</f>
        <v>254.23728813559322</v>
      </c>
      <c r="T451">
        <f t="shared" ref="T451:T514" si="59">G451*12</f>
        <v>4500000</v>
      </c>
      <c r="U451" t="str">
        <f t="shared" ref="U451:U514" si="60">IF(G451&lt;=30000,"Budget",IF(G451&lt;=60000,"Mid",IF(G451&lt;=100000,"Premium","Luxury")))</f>
        <v>Luxury</v>
      </c>
      <c r="V451" t="str">
        <f t="shared" ref="V451:V514" si="61">IF(L451&lt;=500,"Compact",IF(L451&lt;=800,"Medium",IF(L451&lt;=1200,"Large","Spacious")))</f>
        <v>Spacious</v>
      </c>
      <c r="W451" t="str">
        <f>IF(S451 &lt; VLOOKUP(E451, Locality_Tier_Benchmarks!A:B, 2, FALSE) * 0.7, "Below Tier Range", "Normal")</f>
        <v>Normal</v>
      </c>
      <c r="X451" t="str">
        <f t="shared" ref="X451:X514" si="62">IF(G451&lt;7000,"Below Absolute Floor","Normal")</f>
        <v>Normal</v>
      </c>
      <c r="Y451" t="str">
        <f t="shared" ref="Y451:Y514" si="63">IF(S451&gt;500,"Possible Typo - Check Zero","Normal")</f>
        <v>Normal</v>
      </c>
      <c r="Z451" t="str">
        <f t="shared" si="56"/>
        <v>Pass</v>
      </c>
    </row>
    <row r="452" spans="1:26" x14ac:dyDescent="0.25">
      <c r="A452" s="2" t="s">
        <v>854</v>
      </c>
      <c r="B452" t="s">
        <v>17</v>
      </c>
      <c r="C452" t="s">
        <v>463</v>
      </c>
      <c r="D452" s="2" t="str">
        <f>VLOOKUP(C452,Locality_Reference!A:C,2,)</f>
        <v>Western Line</v>
      </c>
      <c r="E452" s="2" t="str">
        <f>VLOOKUP(C452,Locality_Reference!A:C,3,)</f>
        <v>Mid Suburb</v>
      </c>
      <c r="F452" s="2" t="s">
        <v>1216</v>
      </c>
      <c r="G452" s="8">
        <v>220000</v>
      </c>
      <c r="H452">
        <v>3</v>
      </c>
      <c r="I452">
        <v>3</v>
      </c>
      <c r="J452">
        <v>9</v>
      </c>
      <c r="K452">
        <v>31</v>
      </c>
      <c r="L452">
        <v>1121</v>
      </c>
      <c r="M452" t="s">
        <v>36</v>
      </c>
      <c r="N452" t="s">
        <v>15</v>
      </c>
      <c r="O452" t="s">
        <v>16</v>
      </c>
      <c r="P452" t="s">
        <v>47</v>
      </c>
      <c r="Q452" t="str">
        <f t="shared" si="57"/>
        <v>1</v>
      </c>
      <c r="R452" s="5">
        <v>46183</v>
      </c>
      <c r="S452" s="8">
        <f t="shared" si="58"/>
        <v>196.25334522747548</v>
      </c>
      <c r="T452">
        <f t="shared" si="59"/>
        <v>2640000</v>
      </c>
      <c r="U452" t="str">
        <f t="shared" si="60"/>
        <v>Luxury</v>
      </c>
      <c r="V452" t="str">
        <f t="shared" si="61"/>
        <v>Large</v>
      </c>
      <c r="W452" t="str">
        <f>IF(S452 &lt; VLOOKUP(E452, Locality_Tier_Benchmarks!A:B, 2, FALSE) * 0.7, "Below Tier Range", "Normal")</f>
        <v>Normal</v>
      </c>
      <c r="X452" t="str">
        <f t="shared" si="62"/>
        <v>Normal</v>
      </c>
      <c r="Y452" t="str">
        <f t="shared" si="63"/>
        <v>Normal</v>
      </c>
      <c r="Z452" t="str">
        <f t="shared" si="56"/>
        <v>Pass</v>
      </c>
    </row>
    <row r="453" spans="1:26" x14ac:dyDescent="0.25">
      <c r="A453" s="2" t="s">
        <v>855</v>
      </c>
      <c r="B453" t="s">
        <v>17</v>
      </c>
      <c r="C453" t="s">
        <v>462</v>
      </c>
      <c r="D453" s="2" t="str">
        <f>VLOOKUP(C453,Locality_Reference!A:C,2,)</f>
        <v>Western Line</v>
      </c>
      <c r="E453" s="2" t="str">
        <f>VLOOKUP(C453,Locality_Reference!A:C,3,)</f>
        <v>Premium/South</v>
      </c>
      <c r="F453" s="2" t="s">
        <v>1217</v>
      </c>
      <c r="G453" s="8">
        <v>75000</v>
      </c>
      <c r="H453">
        <v>1</v>
      </c>
      <c r="I453">
        <v>1</v>
      </c>
      <c r="J453">
        <v>6</v>
      </c>
      <c r="K453">
        <v>8</v>
      </c>
      <c r="L453">
        <v>450</v>
      </c>
      <c r="M453" t="s">
        <v>36</v>
      </c>
      <c r="N453" t="s">
        <v>29</v>
      </c>
      <c r="O453" t="s">
        <v>16</v>
      </c>
      <c r="P453" t="s">
        <v>52</v>
      </c>
      <c r="Q453" t="str">
        <f t="shared" si="57"/>
        <v>7.5</v>
      </c>
      <c r="R453" s="5">
        <v>46196</v>
      </c>
      <c r="S453" s="8">
        <f t="shared" si="58"/>
        <v>166.66666666666666</v>
      </c>
      <c r="T453">
        <f t="shared" si="59"/>
        <v>900000</v>
      </c>
      <c r="U453" t="str">
        <f t="shared" si="60"/>
        <v>Premium</v>
      </c>
      <c r="V453" t="str">
        <f t="shared" si="61"/>
        <v>Compact</v>
      </c>
      <c r="W453" t="str">
        <f>IF(S453 &lt; VLOOKUP(E453, Locality_Tier_Benchmarks!A:B, 2, FALSE) * 0.7, "Below Tier Range", "Normal")</f>
        <v>Normal</v>
      </c>
      <c r="X453" t="str">
        <f t="shared" si="62"/>
        <v>Normal</v>
      </c>
      <c r="Y453" t="str">
        <f t="shared" si="63"/>
        <v>Normal</v>
      </c>
      <c r="Z453" t="str">
        <f t="shared" si="56"/>
        <v>Pass</v>
      </c>
    </row>
    <row r="454" spans="1:26" x14ac:dyDescent="0.25">
      <c r="A454" s="2" t="s">
        <v>856</v>
      </c>
      <c r="B454" t="s">
        <v>17</v>
      </c>
      <c r="C454" t="s">
        <v>462</v>
      </c>
      <c r="D454" s="2" t="str">
        <f>VLOOKUP(C454,Locality_Reference!A:C,2,)</f>
        <v>Western Line</v>
      </c>
      <c r="E454" s="2" t="str">
        <f>VLOOKUP(C454,Locality_Reference!A:C,3,)</f>
        <v>Premium/South</v>
      </c>
      <c r="F454" s="2" t="s">
        <v>1218</v>
      </c>
      <c r="G454" s="8">
        <v>45000</v>
      </c>
      <c r="H454">
        <v>1</v>
      </c>
      <c r="I454">
        <v>1</v>
      </c>
      <c r="J454">
        <v>3</v>
      </c>
      <c r="K454">
        <v>3</v>
      </c>
      <c r="L454">
        <v>480</v>
      </c>
      <c r="M454" t="s">
        <v>33</v>
      </c>
      <c r="N454" t="s">
        <v>29</v>
      </c>
      <c r="O454" t="s">
        <v>16</v>
      </c>
      <c r="P454" t="s">
        <v>23</v>
      </c>
      <c r="Q454" t="str">
        <f t="shared" si="57"/>
        <v>10</v>
      </c>
      <c r="R454" s="5">
        <v>46202</v>
      </c>
      <c r="S454" s="8">
        <f t="shared" si="58"/>
        <v>93.75</v>
      </c>
      <c r="T454">
        <f t="shared" si="59"/>
        <v>540000</v>
      </c>
      <c r="U454" t="str">
        <f t="shared" si="60"/>
        <v>Mid</v>
      </c>
      <c r="V454" t="str">
        <f t="shared" si="61"/>
        <v>Compact</v>
      </c>
      <c r="W454" t="str">
        <f>IF(S454 &lt; VLOOKUP(E454, Locality_Tier_Benchmarks!A:B, 2, FALSE) * 0.7, "Below Tier Range", "Normal")</f>
        <v>Normal</v>
      </c>
      <c r="X454" t="str">
        <f t="shared" si="62"/>
        <v>Normal</v>
      </c>
      <c r="Y454" t="str">
        <f t="shared" si="63"/>
        <v>Normal</v>
      </c>
      <c r="Z454" t="str">
        <f t="shared" si="56"/>
        <v>Pass</v>
      </c>
    </row>
    <row r="455" spans="1:26" x14ac:dyDescent="0.25">
      <c r="A455" s="2" t="s">
        <v>857</v>
      </c>
      <c r="B455" t="s">
        <v>17</v>
      </c>
      <c r="C455" t="s">
        <v>462</v>
      </c>
      <c r="D455" s="2" t="str">
        <f>VLOOKUP(C455,Locality_Reference!A:C,2,)</f>
        <v>Western Line</v>
      </c>
      <c r="E455" s="2" t="str">
        <f>VLOOKUP(C455,Locality_Reference!A:C,3,)</f>
        <v>Premium/South</v>
      </c>
      <c r="F455" s="2" t="s">
        <v>1219</v>
      </c>
      <c r="G455" s="8">
        <v>90000</v>
      </c>
      <c r="H455">
        <v>1</v>
      </c>
      <c r="I455">
        <v>2</v>
      </c>
      <c r="J455">
        <v>5</v>
      </c>
      <c r="K455">
        <v>9</v>
      </c>
      <c r="L455">
        <v>480</v>
      </c>
      <c r="M455" t="s">
        <v>14</v>
      </c>
      <c r="N455" t="s">
        <v>29</v>
      </c>
      <c r="O455" t="s">
        <v>16</v>
      </c>
      <c r="P455" t="s">
        <v>34</v>
      </c>
      <c r="Q455" t="str">
        <f t="shared" si="57"/>
        <v/>
      </c>
      <c r="R455" s="5">
        <v>46157</v>
      </c>
      <c r="S455" s="8">
        <f t="shared" si="58"/>
        <v>187.5</v>
      </c>
      <c r="T455">
        <f t="shared" si="59"/>
        <v>1080000</v>
      </c>
      <c r="U455" t="str">
        <f t="shared" si="60"/>
        <v>Premium</v>
      </c>
      <c r="V455" t="str">
        <f t="shared" si="61"/>
        <v>Compact</v>
      </c>
      <c r="W455" t="str">
        <f>IF(S455 &lt; VLOOKUP(E455, Locality_Tier_Benchmarks!A:B, 2, FALSE) * 0.7, "Below Tier Range", "Normal")</f>
        <v>Normal</v>
      </c>
      <c r="X455" t="str">
        <f t="shared" si="62"/>
        <v>Normal</v>
      </c>
      <c r="Y455" t="str">
        <f t="shared" si="63"/>
        <v>Normal</v>
      </c>
      <c r="Z455" t="str">
        <f t="shared" si="56"/>
        <v>Pass</v>
      </c>
    </row>
    <row r="456" spans="1:26" x14ac:dyDescent="0.25">
      <c r="A456" s="2" t="s">
        <v>858</v>
      </c>
      <c r="B456" t="s">
        <v>17</v>
      </c>
      <c r="C456" t="s">
        <v>462</v>
      </c>
      <c r="D456" s="2" t="str">
        <f>VLOOKUP(C456,Locality_Reference!A:C,2,)</f>
        <v>Western Line</v>
      </c>
      <c r="E456" s="2" t="str">
        <f>VLOOKUP(C456,Locality_Reference!A:C,3,)</f>
        <v>Premium/South</v>
      </c>
      <c r="F456" s="2" t="s">
        <v>1220</v>
      </c>
      <c r="G456" s="8">
        <v>78000</v>
      </c>
      <c r="H456">
        <v>1</v>
      </c>
      <c r="I456">
        <v>1</v>
      </c>
      <c r="J456">
        <v>3</v>
      </c>
      <c r="K456">
        <v>3</v>
      </c>
      <c r="L456">
        <v>550</v>
      </c>
      <c r="M456" t="s">
        <v>36</v>
      </c>
      <c r="N456" t="s">
        <v>29</v>
      </c>
      <c r="O456" t="s">
        <v>16</v>
      </c>
      <c r="P456" t="s">
        <v>23</v>
      </c>
      <c r="Q456" t="str">
        <f t="shared" si="57"/>
        <v>10</v>
      </c>
      <c r="R456" s="5">
        <v>46192</v>
      </c>
      <c r="S456" s="8">
        <f t="shared" si="58"/>
        <v>141.81818181818181</v>
      </c>
      <c r="T456">
        <f t="shared" si="59"/>
        <v>936000</v>
      </c>
      <c r="U456" t="str">
        <f t="shared" si="60"/>
        <v>Premium</v>
      </c>
      <c r="V456" t="str">
        <f t="shared" si="61"/>
        <v>Medium</v>
      </c>
      <c r="W456" t="str">
        <f>IF(S456 &lt; VLOOKUP(E456, Locality_Tier_Benchmarks!A:B, 2, FALSE) * 0.7, "Below Tier Range", "Normal")</f>
        <v>Normal</v>
      </c>
      <c r="X456" t="str">
        <f t="shared" si="62"/>
        <v>Normal</v>
      </c>
      <c r="Y456" t="str">
        <f t="shared" si="63"/>
        <v>Normal</v>
      </c>
      <c r="Z456" t="str">
        <f t="shared" si="56"/>
        <v>Pass</v>
      </c>
    </row>
    <row r="457" spans="1:26" x14ac:dyDescent="0.25">
      <c r="A457" s="2" t="s">
        <v>859</v>
      </c>
      <c r="B457" t="s">
        <v>17</v>
      </c>
      <c r="C457" t="s">
        <v>462</v>
      </c>
      <c r="D457" s="2" t="str">
        <f>VLOOKUP(C457,Locality_Reference!A:C,2,)</f>
        <v>Western Line</v>
      </c>
      <c r="E457" s="2" t="str">
        <f>VLOOKUP(C457,Locality_Reference!A:C,3,)</f>
        <v>Premium/South</v>
      </c>
      <c r="F457" s="2" t="s">
        <v>1221</v>
      </c>
      <c r="G457" s="8">
        <v>125000</v>
      </c>
      <c r="H457">
        <v>1</v>
      </c>
      <c r="I457">
        <v>1</v>
      </c>
      <c r="J457">
        <v>0</v>
      </c>
      <c r="K457">
        <v>18</v>
      </c>
      <c r="L457">
        <v>400</v>
      </c>
      <c r="M457" t="s">
        <v>14</v>
      </c>
      <c r="N457" t="s">
        <v>15</v>
      </c>
      <c r="O457" t="s">
        <v>16</v>
      </c>
      <c r="P457" t="s">
        <v>34</v>
      </c>
      <c r="Q457" t="str">
        <f t="shared" si="57"/>
        <v/>
      </c>
      <c r="R457" s="5">
        <v>46196</v>
      </c>
      <c r="S457" s="8">
        <f t="shared" si="58"/>
        <v>312.5</v>
      </c>
      <c r="T457">
        <f t="shared" si="59"/>
        <v>1500000</v>
      </c>
      <c r="U457" t="str">
        <f t="shared" si="60"/>
        <v>Luxury</v>
      </c>
      <c r="V457" t="str">
        <f t="shared" si="61"/>
        <v>Compact</v>
      </c>
      <c r="W457" t="str">
        <f>IF(S457 &lt; VLOOKUP(E457, Locality_Tier_Benchmarks!A:B, 2, FALSE) * 0.7, "Below Tier Range", "Normal")</f>
        <v>Normal</v>
      </c>
      <c r="X457" t="str">
        <f t="shared" si="62"/>
        <v>Normal</v>
      </c>
      <c r="Y457" t="str">
        <f t="shared" si="63"/>
        <v>Normal</v>
      </c>
      <c r="Z457" t="str">
        <f t="shared" si="56"/>
        <v>Pass</v>
      </c>
    </row>
    <row r="458" spans="1:26" x14ac:dyDescent="0.25">
      <c r="A458" s="2" t="s">
        <v>860</v>
      </c>
      <c r="B458" t="s">
        <v>17</v>
      </c>
      <c r="C458" t="s">
        <v>462</v>
      </c>
      <c r="D458" s="2" t="str">
        <f>VLOOKUP(C458,Locality_Reference!A:C,2,)</f>
        <v>Western Line</v>
      </c>
      <c r="E458" s="2" t="str">
        <f>VLOOKUP(C458,Locality_Reference!A:C,3,)</f>
        <v>Premium/South</v>
      </c>
      <c r="F458" s="2" t="s">
        <v>1222</v>
      </c>
      <c r="G458" s="8">
        <v>220000</v>
      </c>
      <c r="H458">
        <v>2</v>
      </c>
      <c r="I458">
        <v>2</v>
      </c>
      <c r="J458">
        <v>8</v>
      </c>
      <c r="K458">
        <v>9</v>
      </c>
      <c r="L458">
        <v>950</v>
      </c>
      <c r="M458" t="s">
        <v>14</v>
      </c>
      <c r="N458" t="s">
        <v>29</v>
      </c>
      <c r="O458" t="s">
        <v>16</v>
      </c>
      <c r="P458" t="s">
        <v>23</v>
      </c>
      <c r="Q458" t="str">
        <f t="shared" si="57"/>
        <v>10</v>
      </c>
      <c r="R458" s="5">
        <v>46198</v>
      </c>
      <c r="S458" s="8">
        <f t="shared" si="58"/>
        <v>231.57894736842104</v>
      </c>
      <c r="T458">
        <f t="shared" si="59"/>
        <v>2640000</v>
      </c>
      <c r="U458" t="str">
        <f t="shared" si="60"/>
        <v>Luxury</v>
      </c>
      <c r="V458" t="str">
        <f t="shared" si="61"/>
        <v>Large</v>
      </c>
      <c r="W458" t="str">
        <f>IF(S458 &lt; VLOOKUP(E458, Locality_Tier_Benchmarks!A:B, 2, FALSE) * 0.7, "Below Tier Range", "Normal")</f>
        <v>Normal</v>
      </c>
      <c r="X458" t="str">
        <f t="shared" si="62"/>
        <v>Normal</v>
      </c>
      <c r="Y458" t="str">
        <f t="shared" si="63"/>
        <v>Normal</v>
      </c>
      <c r="Z458" t="str">
        <f t="shared" si="56"/>
        <v>Pass</v>
      </c>
    </row>
    <row r="459" spans="1:26" x14ac:dyDescent="0.25">
      <c r="A459" s="2" t="s">
        <v>861</v>
      </c>
      <c r="B459" t="s">
        <v>17</v>
      </c>
      <c r="C459" t="s">
        <v>462</v>
      </c>
      <c r="D459" s="2" t="str">
        <f>VLOOKUP(C459,Locality_Reference!A:C,2,)</f>
        <v>Western Line</v>
      </c>
      <c r="E459" s="2" t="str">
        <f>VLOOKUP(C459,Locality_Reference!A:C,3,)</f>
        <v>Premium/South</v>
      </c>
      <c r="F459" s="2" t="s">
        <v>1223</v>
      </c>
      <c r="G459" s="8">
        <v>200000</v>
      </c>
      <c r="H459">
        <v>2</v>
      </c>
      <c r="I459">
        <v>2</v>
      </c>
      <c r="J459">
        <v>4</v>
      </c>
      <c r="K459">
        <v>15</v>
      </c>
      <c r="L459">
        <v>1194</v>
      </c>
      <c r="M459" t="s">
        <v>14</v>
      </c>
      <c r="N459" t="s">
        <v>15</v>
      </c>
      <c r="O459" t="s">
        <v>16</v>
      </c>
      <c r="P459" t="s">
        <v>52</v>
      </c>
      <c r="Q459" t="str">
        <f t="shared" si="57"/>
        <v>7.5</v>
      </c>
      <c r="R459" s="5">
        <v>46198</v>
      </c>
      <c r="S459" s="8">
        <f t="shared" si="58"/>
        <v>167.50418760469012</v>
      </c>
      <c r="T459">
        <f t="shared" si="59"/>
        <v>2400000</v>
      </c>
      <c r="U459" t="str">
        <f t="shared" si="60"/>
        <v>Luxury</v>
      </c>
      <c r="V459" t="str">
        <f t="shared" si="61"/>
        <v>Large</v>
      </c>
      <c r="W459" t="str">
        <f>IF(S459 &lt; VLOOKUP(E459, Locality_Tier_Benchmarks!A:B, 2, FALSE) * 0.7, "Below Tier Range", "Normal")</f>
        <v>Normal</v>
      </c>
      <c r="X459" t="str">
        <f t="shared" si="62"/>
        <v>Normal</v>
      </c>
      <c r="Y459" t="str">
        <f t="shared" si="63"/>
        <v>Normal</v>
      </c>
      <c r="Z459" t="str">
        <f t="shared" si="56"/>
        <v>Pass</v>
      </c>
    </row>
    <row r="460" spans="1:26" x14ac:dyDescent="0.25">
      <c r="A460" s="2" t="s">
        <v>862</v>
      </c>
      <c r="B460" t="s">
        <v>17</v>
      </c>
      <c r="C460" t="s">
        <v>462</v>
      </c>
      <c r="D460" s="2" t="str">
        <f>VLOOKUP(C460,Locality_Reference!A:C,2,)</f>
        <v>Western Line</v>
      </c>
      <c r="E460" s="2" t="str">
        <f>VLOOKUP(C460,Locality_Reference!A:C,3,)</f>
        <v>Premium/South</v>
      </c>
      <c r="F460" s="2" t="s">
        <v>1224</v>
      </c>
      <c r="G460" s="8">
        <v>170000</v>
      </c>
      <c r="H460">
        <v>2</v>
      </c>
      <c r="I460">
        <v>2</v>
      </c>
      <c r="J460">
        <v>7</v>
      </c>
      <c r="K460">
        <v>13</v>
      </c>
      <c r="L460">
        <v>850</v>
      </c>
      <c r="M460" t="s">
        <v>36</v>
      </c>
      <c r="N460" t="s">
        <v>15</v>
      </c>
      <c r="O460" t="s">
        <v>16</v>
      </c>
      <c r="P460" t="s">
        <v>31</v>
      </c>
      <c r="Q460" t="str">
        <f t="shared" si="57"/>
        <v>3</v>
      </c>
      <c r="R460" s="5">
        <v>46162</v>
      </c>
      <c r="S460" s="8">
        <f t="shared" si="58"/>
        <v>200</v>
      </c>
      <c r="T460">
        <f t="shared" si="59"/>
        <v>2040000</v>
      </c>
      <c r="U460" t="str">
        <f t="shared" si="60"/>
        <v>Luxury</v>
      </c>
      <c r="V460" t="str">
        <f t="shared" si="61"/>
        <v>Large</v>
      </c>
      <c r="W460" t="str">
        <f>IF(S460 &lt; VLOOKUP(E460, Locality_Tier_Benchmarks!A:B, 2, FALSE) * 0.7, "Below Tier Range", "Normal")</f>
        <v>Normal</v>
      </c>
      <c r="X460" t="str">
        <f t="shared" si="62"/>
        <v>Normal</v>
      </c>
      <c r="Y460" t="str">
        <f t="shared" si="63"/>
        <v>Normal</v>
      </c>
      <c r="Z460" t="str">
        <f t="shared" si="56"/>
        <v>Pass</v>
      </c>
    </row>
    <row r="461" spans="1:26" x14ac:dyDescent="0.25">
      <c r="A461" s="2" t="s">
        <v>863</v>
      </c>
      <c r="B461" t="s">
        <v>17</v>
      </c>
      <c r="C461" t="s">
        <v>462</v>
      </c>
      <c r="D461" s="2" t="str">
        <f>VLOOKUP(C461,Locality_Reference!A:C,2,)</f>
        <v>Western Line</v>
      </c>
      <c r="E461" s="2" t="str">
        <f>VLOOKUP(C461,Locality_Reference!A:C,3,)</f>
        <v>Premium/South</v>
      </c>
      <c r="F461" s="2" t="s">
        <v>1225</v>
      </c>
      <c r="G461" s="8">
        <v>150000</v>
      </c>
      <c r="H461">
        <v>2</v>
      </c>
      <c r="I461">
        <v>2</v>
      </c>
      <c r="J461">
        <v>1</v>
      </c>
      <c r="K461">
        <v>7</v>
      </c>
      <c r="L461">
        <v>700</v>
      </c>
      <c r="M461" t="s">
        <v>36</v>
      </c>
      <c r="N461" t="s">
        <v>29</v>
      </c>
      <c r="O461" t="s">
        <v>16</v>
      </c>
      <c r="P461" t="s">
        <v>34</v>
      </c>
      <c r="Q461" t="str">
        <f t="shared" si="57"/>
        <v/>
      </c>
      <c r="R461" s="5">
        <v>46156</v>
      </c>
      <c r="S461" s="8">
        <f t="shared" si="58"/>
        <v>214.28571428571428</v>
      </c>
      <c r="T461">
        <f t="shared" si="59"/>
        <v>1800000</v>
      </c>
      <c r="U461" t="str">
        <f t="shared" si="60"/>
        <v>Luxury</v>
      </c>
      <c r="V461" t="str">
        <f t="shared" si="61"/>
        <v>Medium</v>
      </c>
      <c r="W461" t="str">
        <f>IF(S461 &lt; VLOOKUP(E461, Locality_Tier_Benchmarks!A:B, 2, FALSE) * 0.7, "Below Tier Range", "Normal")</f>
        <v>Normal</v>
      </c>
      <c r="X461" t="str">
        <f t="shared" si="62"/>
        <v>Normal</v>
      </c>
      <c r="Y461" t="str">
        <f t="shared" si="63"/>
        <v>Normal</v>
      </c>
      <c r="Z461" t="str">
        <f t="shared" si="56"/>
        <v>Pass</v>
      </c>
    </row>
    <row r="462" spans="1:26" x14ac:dyDescent="0.25">
      <c r="A462" s="2" t="s">
        <v>864</v>
      </c>
      <c r="B462" t="s">
        <v>17</v>
      </c>
      <c r="C462" t="s">
        <v>462</v>
      </c>
      <c r="D462" s="2" t="str">
        <f>VLOOKUP(C462,Locality_Reference!A:C,2,)</f>
        <v>Western Line</v>
      </c>
      <c r="E462" s="2" t="str">
        <f>VLOOKUP(C462,Locality_Reference!A:C,3,)</f>
        <v>Premium/South</v>
      </c>
      <c r="F462" s="2" t="s">
        <v>1226</v>
      </c>
      <c r="G462" s="8">
        <v>190000</v>
      </c>
      <c r="H462">
        <v>2</v>
      </c>
      <c r="I462">
        <v>2</v>
      </c>
      <c r="J462">
        <v>14</v>
      </c>
      <c r="K462">
        <v>15</v>
      </c>
      <c r="L462">
        <v>828.07</v>
      </c>
      <c r="M462" t="s">
        <v>36</v>
      </c>
      <c r="N462" t="s">
        <v>29</v>
      </c>
      <c r="O462" t="s">
        <v>16</v>
      </c>
      <c r="P462" t="s">
        <v>31</v>
      </c>
      <c r="Q462" t="str">
        <f t="shared" si="57"/>
        <v>3</v>
      </c>
      <c r="R462" s="5">
        <v>46172</v>
      </c>
      <c r="S462" s="8">
        <f t="shared" si="58"/>
        <v>229.44920115449176</v>
      </c>
      <c r="T462">
        <f t="shared" si="59"/>
        <v>2280000</v>
      </c>
      <c r="U462" t="str">
        <f t="shared" si="60"/>
        <v>Luxury</v>
      </c>
      <c r="V462" t="str">
        <f t="shared" si="61"/>
        <v>Large</v>
      </c>
      <c r="W462" t="str">
        <f>IF(S462 &lt; VLOOKUP(E462, Locality_Tier_Benchmarks!A:B, 2, FALSE) * 0.7, "Below Tier Range", "Normal")</f>
        <v>Normal</v>
      </c>
      <c r="X462" t="str">
        <f t="shared" si="62"/>
        <v>Normal</v>
      </c>
      <c r="Y462" t="str">
        <f t="shared" si="63"/>
        <v>Normal</v>
      </c>
      <c r="Z462" t="str">
        <f t="shared" si="56"/>
        <v>Pass</v>
      </c>
    </row>
    <row r="463" spans="1:26" x14ac:dyDescent="0.25">
      <c r="A463" s="2" t="s">
        <v>865</v>
      </c>
      <c r="B463" t="s">
        <v>17</v>
      </c>
      <c r="C463" t="s">
        <v>462</v>
      </c>
      <c r="D463" s="2" t="str">
        <f>VLOOKUP(C463,Locality_Reference!A:C,2,)</f>
        <v>Western Line</v>
      </c>
      <c r="E463" s="2" t="str">
        <f>VLOOKUP(C463,Locality_Reference!A:C,3,)</f>
        <v>Premium/South</v>
      </c>
      <c r="F463" s="2" t="s">
        <v>1227</v>
      </c>
      <c r="G463" s="8">
        <v>580000</v>
      </c>
      <c r="H463">
        <v>3</v>
      </c>
      <c r="I463">
        <v>4</v>
      </c>
      <c r="J463">
        <v>10</v>
      </c>
      <c r="K463">
        <v>20</v>
      </c>
      <c r="L463">
        <v>1625</v>
      </c>
      <c r="M463" t="s">
        <v>14</v>
      </c>
      <c r="N463" t="s">
        <v>29</v>
      </c>
      <c r="O463" t="s">
        <v>16</v>
      </c>
      <c r="P463" t="s">
        <v>47</v>
      </c>
      <c r="Q463" t="str">
        <f t="shared" si="57"/>
        <v>1</v>
      </c>
      <c r="R463" s="5">
        <v>46200</v>
      </c>
      <c r="S463" s="8">
        <f t="shared" si="58"/>
        <v>356.92307692307691</v>
      </c>
      <c r="T463">
        <f t="shared" si="59"/>
        <v>6960000</v>
      </c>
      <c r="U463" t="str">
        <f t="shared" si="60"/>
        <v>Luxury</v>
      </c>
      <c r="V463" t="str">
        <f t="shared" si="61"/>
        <v>Spacious</v>
      </c>
      <c r="W463" t="str">
        <f>IF(S463 &lt; VLOOKUP(E463, Locality_Tier_Benchmarks!A:B, 2, FALSE) * 0.7, "Below Tier Range", "Normal")</f>
        <v>Normal</v>
      </c>
      <c r="X463" t="str">
        <f t="shared" si="62"/>
        <v>Normal</v>
      </c>
      <c r="Y463" t="str">
        <f t="shared" si="63"/>
        <v>Normal</v>
      </c>
      <c r="Z463" t="str">
        <f t="shared" si="56"/>
        <v>Pass</v>
      </c>
    </row>
    <row r="464" spans="1:26" x14ac:dyDescent="0.25">
      <c r="A464" s="2" t="s">
        <v>866</v>
      </c>
      <c r="B464" t="s">
        <v>17</v>
      </c>
      <c r="C464" t="s">
        <v>462</v>
      </c>
      <c r="D464" s="2" t="str">
        <f>VLOOKUP(C464,Locality_Reference!A:C,2,)</f>
        <v>Western Line</v>
      </c>
      <c r="E464" s="2" t="str">
        <f>VLOOKUP(C464,Locality_Reference!A:C,3,)</f>
        <v>Premium/South</v>
      </c>
      <c r="F464" s="2" t="s">
        <v>1228</v>
      </c>
      <c r="G464" s="8">
        <v>339000</v>
      </c>
      <c r="H464">
        <v>3</v>
      </c>
      <c r="I464">
        <v>4</v>
      </c>
      <c r="J464">
        <v>21</v>
      </c>
      <c r="K464">
        <v>34</v>
      </c>
      <c r="L464">
        <v>2000</v>
      </c>
      <c r="M464" t="s">
        <v>36</v>
      </c>
      <c r="N464" t="s">
        <v>29</v>
      </c>
      <c r="O464" t="s">
        <v>16</v>
      </c>
      <c r="P464" t="s">
        <v>47</v>
      </c>
      <c r="Q464" t="str">
        <f t="shared" si="57"/>
        <v>1</v>
      </c>
      <c r="R464" s="5">
        <v>46178</v>
      </c>
      <c r="S464" s="8">
        <f t="shared" si="58"/>
        <v>169.5</v>
      </c>
      <c r="T464">
        <f t="shared" si="59"/>
        <v>4068000</v>
      </c>
      <c r="U464" t="str">
        <f t="shared" si="60"/>
        <v>Luxury</v>
      </c>
      <c r="V464" t="str">
        <f t="shared" si="61"/>
        <v>Spacious</v>
      </c>
      <c r="W464" t="str">
        <f>IF(S464 &lt; VLOOKUP(E464, Locality_Tier_Benchmarks!A:B, 2, FALSE) * 0.7, "Below Tier Range", "Normal")</f>
        <v>Normal</v>
      </c>
      <c r="X464" t="str">
        <f t="shared" si="62"/>
        <v>Normal</v>
      </c>
      <c r="Y464" t="str">
        <f t="shared" si="63"/>
        <v>Normal</v>
      </c>
      <c r="Z464" t="str">
        <f t="shared" si="56"/>
        <v>Pass</v>
      </c>
    </row>
    <row r="465" spans="1:26" x14ac:dyDescent="0.25">
      <c r="A465" s="2" t="s">
        <v>867</v>
      </c>
      <c r="B465" t="s">
        <v>17</v>
      </c>
      <c r="C465" t="s">
        <v>462</v>
      </c>
      <c r="D465" s="2" t="str">
        <f>VLOOKUP(C465,Locality_Reference!A:C,2,)</f>
        <v>Western Line</v>
      </c>
      <c r="E465" s="2" t="str">
        <f>VLOOKUP(C465,Locality_Reference!A:C,3,)</f>
        <v>Premium/South</v>
      </c>
      <c r="F465" s="2" t="s">
        <v>1229</v>
      </c>
      <c r="G465" s="8">
        <v>345000</v>
      </c>
      <c r="H465">
        <v>3</v>
      </c>
      <c r="I465">
        <v>3</v>
      </c>
      <c r="J465">
        <v>13</v>
      </c>
      <c r="K465">
        <v>13</v>
      </c>
      <c r="L465">
        <v>1600</v>
      </c>
      <c r="M465" t="s">
        <v>36</v>
      </c>
      <c r="N465" t="s">
        <v>29</v>
      </c>
      <c r="O465" t="s">
        <v>16</v>
      </c>
      <c r="P465" t="s">
        <v>52</v>
      </c>
      <c r="Q465" t="str">
        <f t="shared" si="57"/>
        <v>7.5</v>
      </c>
      <c r="R465" s="5">
        <v>46147</v>
      </c>
      <c r="S465" s="8">
        <f t="shared" si="58"/>
        <v>215.625</v>
      </c>
      <c r="T465">
        <f t="shared" si="59"/>
        <v>4140000</v>
      </c>
      <c r="U465" t="str">
        <f t="shared" si="60"/>
        <v>Luxury</v>
      </c>
      <c r="V465" t="str">
        <f t="shared" si="61"/>
        <v>Spacious</v>
      </c>
      <c r="W465" t="str">
        <f>IF(S465 &lt; VLOOKUP(E465, Locality_Tier_Benchmarks!A:B, 2, FALSE) * 0.7, "Below Tier Range", "Normal")</f>
        <v>Normal</v>
      </c>
      <c r="X465" t="str">
        <f t="shared" si="62"/>
        <v>Normal</v>
      </c>
      <c r="Y465" t="str">
        <f t="shared" si="63"/>
        <v>Normal</v>
      </c>
      <c r="Z465" t="str">
        <f t="shared" si="56"/>
        <v>Pass</v>
      </c>
    </row>
    <row r="466" spans="1:26" x14ac:dyDescent="0.25">
      <c r="A466" s="2" t="s">
        <v>868</v>
      </c>
      <c r="B466" t="s">
        <v>17</v>
      </c>
      <c r="C466" t="s">
        <v>462</v>
      </c>
      <c r="D466" s="2" t="str">
        <f>VLOOKUP(C466,Locality_Reference!A:C,2,)</f>
        <v>Western Line</v>
      </c>
      <c r="E466" s="2" t="str">
        <f>VLOOKUP(C466,Locality_Reference!A:C,3,)</f>
        <v>Premium/South</v>
      </c>
      <c r="F466" s="2" t="s">
        <v>1230</v>
      </c>
      <c r="G466" s="8">
        <v>225000</v>
      </c>
      <c r="H466">
        <v>3</v>
      </c>
      <c r="I466">
        <v>3</v>
      </c>
      <c r="J466">
        <v>7</v>
      </c>
      <c r="K466">
        <v>7</v>
      </c>
      <c r="L466">
        <v>1450</v>
      </c>
      <c r="M466" t="s">
        <v>36</v>
      </c>
      <c r="N466" t="s">
        <v>29</v>
      </c>
      <c r="O466" t="s">
        <v>16</v>
      </c>
      <c r="P466" t="s">
        <v>23</v>
      </c>
      <c r="Q466" t="str">
        <f t="shared" si="57"/>
        <v>10</v>
      </c>
      <c r="R466" s="5">
        <v>46172</v>
      </c>
      <c r="S466" s="8">
        <f t="shared" si="58"/>
        <v>155.17241379310346</v>
      </c>
      <c r="T466">
        <f t="shared" si="59"/>
        <v>2700000</v>
      </c>
      <c r="U466" t="str">
        <f t="shared" si="60"/>
        <v>Luxury</v>
      </c>
      <c r="V466" t="str">
        <f t="shared" si="61"/>
        <v>Spacious</v>
      </c>
      <c r="W466" t="str">
        <f>IF(S466 &lt; VLOOKUP(E466, Locality_Tier_Benchmarks!A:B, 2, FALSE) * 0.7, "Below Tier Range", "Normal")</f>
        <v>Normal</v>
      </c>
      <c r="X466" t="str">
        <f t="shared" si="62"/>
        <v>Normal</v>
      </c>
      <c r="Y466" t="str">
        <f t="shared" si="63"/>
        <v>Normal</v>
      </c>
      <c r="Z466" t="str">
        <f t="shared" si="56"/>
        <v>Pass</v>
      </c>
    </row>
    <row r="467" spans="1:26" x14ac:dyDescent="0.25">
      <c r="A467" s="2" t="s">
        <v>869</v>
      </c>
      <c r="B467" t="s">
        <v>17</v>
      </c>
      <c r="C467" t="s">
        <v>462</v>
      </c>
      <c r="D467" s="2" t="str">
        <f>VLOOKUP(C467,Locality_Reference!A:C,2,)</f>
        <v>Western Line</v>
      </c>
      <c r="E467" s="2" t="str">
        <f>VLOOKUP(C467,Locality_Reference!A:C,3,)</f>
        <v>Premium/South</v>
      </c>
      <c r="F467" s="2" t="s">
        <v>1231</v>
      </c>
      <c r="G467" s="8">
        <v>275000</v>
      </c>
      <c r="H467">
        <v>3</v>
      </c>
      <c r="I467">
        <v>3</v>
      </c>
      <c r="J467">
        <v>4</v>
      </c>
      <c r="K467">
        <v>12</v>
      </c>
      <c r="L467">
        <v>1200</v>
      </c>
      <c r="M467" t="s">
        <v>36</v>
      </c>
      <c r="N467" t="s">
        <v>29</v>
      </c>
      <c r="O467" t="s">
        <v>16</v>
      </c>
      <c r="P467" t="s">
        <v>52</v>
      </c>
      <c r="Q467" t="str">
        <f t="shared" si="57"/>
        <v>7.5</v>
      </c>
      <c r="R467" s="5">
        <v>46190</v>
      </c>
      <c r="S467" s="8">
        <f t="shared" si="58"/>
        <v>229.16666666666666</v>
      </c>
      <c r="T467">
        <f t="shared" si="59"/>
        <v>3300000</v>
      </c>
      <c r="U467" t="str">
        <f t="shared" si="60"/>
        <v>Luxury</v>
      </c>
      <c r="V467" t="str">
        <f t="shared" si="61"/>
        <v>Large</v>
      </c>
      <c r="W467" t="str">
        <f>IF(S467 &lt; VLOOKUP(E467, Locality_Tier_Benchmarks!A:B, 2, FALSE) * 0.7, "Below Tier Range", "Normal")</f>
        <v>Normal</v>
      </c>
      <c r="X467" t="str">
        <f t="shared" si="62"/>
        <v>Normal</v>
      </c>
      <c r="Y467" t="str">
        <f t="shared" si="63"/>
        <v>Normal</v>
      </c>
      <c r="Z467" t="str">
        <f t="shared" si="56"/>
        <v>Pass</v>
      </c>
    </row>
    <row r="468" spans="1:26" x14ac:dyDescent="0.25">
      <c r="A468" s="2" t="s">
        <v>870</v>
      </c>
      <c r="B468" t="s">
        <v>17</v>
      </c>
      <c r="C468" t="s">
        <v>1232</v>
      </c>
      <c r="D468" s="2" t="str">
        <f>VLOOKUP(C468,Locality_Reference!A:C,2,)</f>
        <v>Western Line</v>
      </c>
      <c r="E468" s="2" t="str">
        <f>VLOOKUP(C468,Locality_Reference!A:C,3,)</f>
        <v>Mid Suburb</v>
      </c>
      <c r="F468" s="2" t="s">
        <v>1234</v>
      </c>
      <c r="G468" s="8">
        <v>55000</v>
      </c>
      <c r="H468">
        <v>1</v>
      </c>
      <c r="I468">
        <v>2</v>
      </c>
      <c r="J468">
        <v>3</v>
      </c>
      <c r="K468">
        <v>3</v>
      </c>
      <c r="L468">
        <v>550</v>
      </c>
      <c r="M468" t="s">
        <v>36</v>
      </c>
      <c r="N468" t="s">
        <v>29</v>
      </c>
      <c r="O468" t="s">
        <v>16</v>
      </c>
      <c r="P468" t="s">
        <v>23</v>
      </c>
      <c r="Q468" t="str">
        <f t="shared" si="57"/>
        <v>10</v>
      </c>
      <c r="R468" s="5">
        <v>46167</v>
      </c>
      <c r="S468" s="8">
        <f t="shared" si="58"/>
        <v>100</v>
      </c>
      <c r="T468">
        <f t="shared" si="59"/>
        <v>660000</v>
      </c>
      <c r="U468" t="str">
        <f t="shared" si="60"/>
        <v>Mid</v>
      </c>
      <c r="V468" t="str">
        <f t="shared" si="61"/>
        <v>Medium</v>
      </c>
      <c r="W468" t="str">
        <f>IF(S468 &lt; VLOOKUP(E468, Locality_Tier_Benchmarks!A:B, 2, FALSE) * 0.7, "Below Tier Range", "Normal")</f>
        <v>Normal</v>
      </c>
      <c r="X468" t="str">
        <f t="shared" si="62"/>
        <v>Normal</v>
      </c>
      <c r="Y468" t="str">
        <f t="shared" si="63"/>
        <v>Normal</v>
      </c>
      <c r="Z468" t="str">
        <f t="shared" si="56"/>
        <v>Pass</v>
      </c>
    </row>
    <row r="469" spans="1:26" x14ac:dyDescent="0.25">
      <c r="A469" s="2" t="s">
        <v>871</v>
      </c>
      <c r="B469" t="s">
        <v>17</v>
      </c>
      <c r="C469" t="s">
        <v>1232</v>
      </c>
      <c r="D469" s="2" t="str">
        <f>VLOOKUP(C469,Locality_Reference!A:C,2,)</f>
        <v>Western Line</v>
      </c>
      <c r="E469" s="2" t="str">
        <f>VLOOKUP(C469,Locality_Reference!A:C,3,)</f>
        <v>Mid Suburb</v>
      </c>
      <c r="F469" s="2" t="s">
        <v>1235</v>
      </c>
      <c r="G469" s="8">
        <v>250000</v>
      </c>
      <c r="H469">
        <v>3</v>
      </c>
      <c r="I469">
        <v>3</v>
      </c>
      <c r="J469">
        <v>35</v>
      </c>
      <c r="K469">
        <v>38</v>
      </c>
      <c r="L469">
        <v>2500</v>
      </c>
      <c r="M469" t="s">
        <v>14</v>
      </c>
      <c r="N469" t="s">
        <v>15</v>
      </c>
      <c r="O469" t="s">
        <v>16</v>
      </c>
      <c r="P469" t="s">
        <v>31</v>
      </c>
      <c r="Q469" t="str">
        <f t="shared" si="57"/>
        <v>3</v>
      </c>
      <c r="R469" s="5">
        <v>46149</v>
      </c>
      <c r="S469" s="8">
        <f t="shared" si="58"/>
        <v>100</v>
      </c>
      <c r="T469">
        <f t="shared" si="59"/>
        <v>3000000</v>
      </c>
      <c r="U469" t="str">
        <f t="shared" si="60"/>
        <v>Luxury</v>
      </c>
      <c r="V469" t="str">
        <f t="shared" si="61"/>
        <v>Spacious</v>
      </c>
      <c r="W469" t="str">
        <f>IF(S469 &lt; VLOOKUP(E469, Locality_Tier_Benchmarks!A:B, 2, FALSE) * 0.7, "Below Tier Range", "Normal")</f>
        <v>Normal</v>
      </c>
      <c r="X469" t="str">
        <f t="shared" si="62"/>
        <v>Normal</v>
      </c>
      <c r="Y469" t="str">
        <f t="shared" si="63"/>
        <v>Normal</v>
      </c>
      <c r="Z469" t="str">
        <f t="shared" si="56"/>
        <v>Pass</v>
      </c>
    </row>
    <row r="470" spans="1:26" x14ac:dyDescent="0.25">
      <c r="A470" s="2" t="s">
        <v>872</v>
      </c>
      <c r="B470" t="s">
        <v>17</v>
      </c>
      <c r="C470" t="s">
        <v>1233</v>
      </c>
      <c r="D470" s="2" t="str">
        <f>VLOOKUP(C470,Locality_Reference!A:C,2,)</f>
        <v>Western Line</v>
      </c>
      <c r="E470" s="2" t="str">
        <f>VLOOKUP(C470,Locality_Reference!A:C,3,)</f>
        <v>Premium/South</v>
      </c>
      <c r="F470" s="2" t="s">
        <v>1236</v>
      </c>
      <c r="G470" s="8">
        <v>70000</v>
      </c>
      <c r="H470">
        <v>1</v>
      </c>
      <c r="I470">
        <v>2</v>
      </c>
      <c r="J470">
        <v>15</v>
      </c>
      <c r="K470">
        <v>22</v>
      </c>
      <c r="L470">
        <v>400</v>
      </c>
      <c r="M470" t="s">
        <v>36</v>
      </c>
      <c r="N470" t="s">
        <v>29</v>
      </c>
      <c r="O470" t="s">
        <v>16</v>
      </c>
      <c r="P470" t="s">
        <v>34</v>
      </c>
      <c r="Q470" t="str">
        <f t="shared" si="57"/>
        <v/>
      </c>
      <c r="R470" s="5">
        <v>46193</v>
      </c>
      <c r="S470" s="8">
        <f t="shared" si="58"/>
        <v>175</v>
      </c>
      <c r="T470">
        <f t="shared" si="59"/>
        <v>840000</v>
      </c>
      <c r="U470" t="str">
        <f t="shared" si="60"/>
        <v>Premium</v>
      </c>
      <c r="V470" t="str">
        <f t="shared" si="61"/>
        <v>Compact</v>
      </c>
      <c r="W470" t="str">
        <f>IF(S470 &lt; VLOOKUP(E470, Locality_Tier_Benchmarks!A:B, 2, FALSE) * 0.7, "Below Tier Range", "Normal")</f>
        <v>Normal</v>
      </c>
      <c r="X470" t="str">
        <f t="shared" si="62"/>
        <v>Normal</v>
      </c>
      <c r="Y470" t="str">
        <f t="shared" si="63"/>
        <v>Normal</v>
      </c>
      <c r="Z470" t="str">
        <f t="shared" si="56"/>
        <v>Pass</v>
      </c>
    </row>
    <row r="471" spans="1:26" x14ac:dyDescent="0.25">
      <c r="A471" s="2" t="s">
        <v>873</v>
      </c>
      <c r="B471" t="s">
        <v>17</v>
      </c>
      <c r="C471" t="s">
        <v>1233</v>
      </c>
      <c r="D471" s="2" t="str">
        <f>VLOOKUP(C471,Locality_Reference!A:C,2,)</f>
        <v>Western Line</v>
      </c>
      <c r="E471" s="2" t="str">
        <f>VLOOKUP(C471,Locality_Reference!A:C,3,)</f>
        <v>Premium/South</v>
      </c>
      <c r="F471" s="2" t="s">
        <v>1237</v>
      </c>
      <c r="G471" s="8">
        <v>85000</v>
      </c>
      <c r="H471">
        <v>1</v>
      </c>
      <c r="I471">
        <v>2</v>
      </c>
      <c r="J471">
        <v>34</v>
      </c>
      <c r="K471">
        <v>36</v>
      </c>
      <c r="L471">
        <v>422</v>
      </c>
      <c r="M471" t="s">
        <v>36</v>
      </c>
      <c r="N471" t="s">
        <v>29</v>
      </c>
      <c r="O471" t="s">
        <v>16</v>
      </c>
      <c r="P471" t="s">
        <v>47</v>
      </c>
      <c r="Q471" t="str">
        <f t="shared" si="57"/>
        <v>1</v>
      </c>
      <c r="R471" s="5">
        <v>46196</v>
      </c>
      <c r="S471" s="8">
        <f t="shared" si="58"/>
        <v>201.4218009478673</v>
      </c>
      <c r="T471">
        <f t="shared" si="59"/>
        <v>1020000</v>
      </c>
      <c r="U471" t="str">
        <f t="shared" si="60"/>
        <v>Premium</v>
      </c>
      <c r="V471" t="str">
        <f t="shared" si="61"/>
        <v>Compact</v>
      </c>
      <c r="W471" t="str">
        <f>IF(S471 &lt; VLOOKUP(E471, Locality_Tier_Benchmarks!A:B, 2, FALSE) * 0.7, "Below Tier Range", "Normal")</f>
        <v>Normal</v>
      </c>
      <c r="X471" t="str">
        <f t="shared" si="62"/>
        <v>Normal</v>
      </c>
      <c r="Y471" t="str">
        <f t="shared" si="63"/>
        <v>Normal</v>
      </c>
      <c r="Z471" t="str">
        <f t="shared" si="56"/>
        <v>Pass</v>
      </c>
    </row>
    <row r="472" spans="1:26" x14ac:dyDescent="0.25">
      <c r="A472" s="2" t="s">
        <v>874</v>
      </c>
      <c r="B472" t="s">
        <v>17</v>
      </c>
      <c r="C472" t="s">
        <v>1233</v>
      </c>
      <c r="D472" s="2" t="str">
        <f>VLOOKUP(C472,Locality_Reference!A:C,2,)</f>
        <v>Western Line</v>
      </c>
      <c r="E472" s="2" t="str">
        <f>VLOOKUP(C472,Locality_Reference!A:C,3,)</f>
        <v>Premium/South</v>
      </c>
      <c r="F472" s="2" t="s">
        <v>1238</v>
      </c>
      <c r="G472" s="8">
        <v>99000</v>
      </c>
      <c r="H472">
        <v>1</v>
      </c>
      <c r="I472">
        <v>2</v>
      </c>
      <c r="J472">
        <v>0</v>
      </c>
      <c r="K472">
        <v>0</v>
      </c>
      <c r="L472">
        <v>800</v>
      </c>
      <c r="M472" t="s">
        <v>14</v>
      </c>
      <c r="N472" t="s">
        <v>15</v>
      </c>
      <c r="O472" t="s">
        <v>16</v>
      </c>
      <c r="P472" t="s">
        <v>34</v>
      </c>
      <c r="Q472" t="str">
        <f t="shared" si="57"/>
        <v/>
      </c>
      <c r="R472" s="5">
        <v>46195</v>
      </c>
      <c r="S472" s="8">
        <f t="shared" si="58"/>
        <v>123.75</v>
      </c>
      <c r="T472">
        <f t="shared" si="59"/>
        <v>1188000</v>
      </c>
      <c r="U472" t="str">
        <f t="shared" si="60"/>
        <v>Premium</v>
      </c>
      <c r="V472" t="str">
        <f t="shared" si="61"/>
        <v>Medium</v>
      </c>
      <c r="W472" t="str">
        <f>IF(S472 &lt; VLOOKUP(E472, Locality_Tier_Benchmarks!A:B, 2, FALSE) * 0.7, "Below Tier Range", "Normal")</f>
        <v>Normal</v>
      </c>
      <c r="X472" t="str">
        <f t="shared" si="62"/>
        <v>Normal</v>
      </c>
      <c r="Y472" t="str">
        <f t="shared" si="63"/>
        <v>Normal</v>
      </c>
      <c r="Z472" t="str">
        <f t="shared" si="56"/>
        <v>Pass</v>
      </c>
    </row>
    <row r="473" spans="1:26" x14ac:dyDescent="0.25">
      <c r="A473" s="2" t="s">
        <v>875</v>
      </c>
      <c r="B473" t="s">
        <v>17</v>
      </c>
      <c r="C473" t="s">
        <v>1233</v>
      </c>
      <c r="D473" s="2" t="str">
        <f>VLOOKUP(C473,Locality_Reference!A:C,2,)</f>
        <v>Western Line</v>
      </c>
      <c r="E473" s="2" t="str">
        <f>VLOOKUP(C473,Locality_Reference!A:C,3,)</f>
        <v>Premium/South</v>
      </c>
      <c r="F473" s="2" t="s">
        <v>1239</v>
      </c>
      <c r="G473" s="8">
        <v>60000</v>
      </c>
      <c r="H473">
        <v>1</v>
      </c>
      <c r="I473">
        <v>2</v>
      </c>
      <c r="J473">
        <v>2</v>
      </c>
      <c r="K473">
        <v>3</v>
      </c>
      <c r="L473">
        <v>450</v>
      </c>
      <c r="M473" t="s">
        <v>14</v>
      </c>
      <c r="N473" t="s">
        <v>29</v>
      </c>
      <c r="O473" t="s">
        <v>16</v>
      </c>
      <c r="P473" t="s">
        <v>34</v>
      </c>
      <c r="Q473" t="str">
        <f t="shared" si="57"/>
        <v/>
      </c>
      <c r="R473" s="5">
        <v>46198</v>
      </c>
      <c r="S473" s="8">
        <f t="shared" si="58"/>
        <v>133.33333333333334</v>
      </c>
      <c r="T473">
        <f t="shared" si="59"/>
        <v>720000</v>
      </c>
      <c r="U473" t="str">
        <f t="shared" si="60"/>
        <v>Mid</v>
      </c>
      <c r="V473" t="str">
        <f t="shared" si="61"/>
        <v>Compact</v>
      </c>
      <c r="W473" t="str">
        <f>IF(S473 &lt; VLOOKUP(E473, Locality_Tier_Benchmarks!A:B, 2, FALSE) * 0.7, "Below Tier Range", "Normal")</f>
        <v>Normal</v>
      </c>
      <c r="X473" t="str">
        <f t="shared" si="62"/>
        <v>Normal</v>
      </c>
      <c r="Y473" t="str">
        <f t="shared" si="63"/>
        <v>Normal</v>
      </c>
      <c r="Z473" t="str">
        <f t="shared" si="56"/>
        <v>Pass</v>
      </c>
    </row>
    <row r="474" spans="1:26" x14ac:dyDescent="0.25">
      <c r="A474" s="2" t="s">
        <v>876</v>
      </c>
      <c r="B474" t="s">
        <v>17</v>
      </c>
      <c r="C474" t="s">
        <v>1233</v>
      </c>
      <c r="D474" s="2" t="str">
        <f>VLOOKUP(C474,Locality_Reference!A:C,2,)</f>
        <v>Western Line</v>
      </c>
      <c r="E474" s="2" t="str">
        <f>VLOOKUP(C474,Locality_Reference!A:C,3,)</f>
        <v>Premium/South</v>
      </c>
      <c r="F474" s="2" t="s">
        <v>1240</v>
      </c>
      <c r="G474" s="8">
        <v>47000</v>
      </c>
      <c r="H474">
        <v>1</v>
      </c>
      <c r="I474">
        <v>1</v>
      </c>
      <c r="J474">
        <v>6</v>
      </c>
      <c r="K474">
        <v>22</v>
      </c>
      <c r="L474">
        <v>380</v>
      </c>
      <c r="M474" t="s">
        <v>33</v>
      </c>
      <c r="N474" t="s">
        <v>29</v>
      </c>
      <c r="O474" t="s">
        <v>16</v>
      </c>
      <c r="P474" t="s">
        <v>52</v>
      </c>
      <c r="Q474" t="str">
        <f t="shared" si="57"/>
        <v>7.5</v>
      </c>
      <c r="R474" s="5">
        <v>46191</v>
      </c>
      <c r="S474" s="8">
        <f t="shared" si="58"/>
        <v>123.68421052631579</v>
      </c>
      <c r="T474">
        <f t="shared" si="59"/>
        <v>564000</v>
      </c>
      <c r="U474" t="str">
        <f t="shared" si="60"/>
        <v>Mid</v>
      </c>
      <c r="V474" t="str">
        <f t="shared" si="61"/>
        <v>Compact</v>
      </c>
      <c r="W474" t="str">
        <f>IF(S474 &lt; VLOOKUP(E474, Locality_Tier_Benchmarks!A:B, 2, FALSE) * 0.7, "Below Tier Range", "Normal")</f>
        <v>Normal</v>
      </c>
      <c r="X474" t="str">
        <f t="shared" si="62"/>
        <v>Normal</v>
      </c>
      <c r="Y474" t="str">
        <f t="shared" si="63"/>
        <v>Normal</v>
      </c>
      <c r="Z474" t="str">
        <f t="shared" si="56"/>
        <v>Pass</v>
      </c>
    </row>
    <row r="475" spans="1:26" x14ac:dyDescent="0.25">
      <c r="A475" s="2" t="s">
        <v>877</v>
      </c>
      <c r="B475" t="s">
        <v>17</v>
      </c>
      <c r="C475" t="s">
        <v>1233</v>
      </c>
      <c r="D475" s="2" t="str">
        <f>VLOOKUP(C475,Locality_Reference!A:C,2,)</f>
        <v>Western Line</v>
      </c>
      <c r="E475" s="2" t="str">
        <f>VLOOKUP(C475,Locality_Reference!A:C,3,)</f>
        <v>Premium/South</v>
      </c>
      <c r="F475" s="2" t="s">
        <v>1236</v>
      </c>
      <c r="G475" s="8">
        <v>125000</v>
      </c>
      <c r="H475">
        <v>2</v>
      </c>
      <c r="I475">
        <v>2</v>
      </c>
      <c r="J475">
        <v>13</v>
      </c>
      <c r="K475">
        <v>22</v>
      </c>
      <c r="L475">
        <v>600</v>
      </c>
      <c r="M475" t="s">
        <v>36</v>
      </c>
      <c r="N475" t="s">
        <v>15</v>
      </c>
      <c r="O475" t="s">
        <v>16</v>
      </c>
      <c r="P475" t="s">
        <v>34</v>
      </c>
      <c r="Q475" t="str">
        <f t="shared" si="57"/>
        <v/>
      </c>
      <c r="R475" s="5">
        <v>46182</v>
      </c>
      <c r="S475" s="8">
        <f t="shared" si="58"/>
        <v>208.33333333333334</v>
      </c>
      <c r="T475">
        <f t="shared" si="59"/>
        <v>1500000</v>
      </c>
      <c r="U475" t="str">
        <f t="shared" si="60"/>
        <v>Luxury</v>
      </c>
      <c r="V475" t="str">
        <f t="shared" si="61"/>
        <v>Medium</v>
      </c>
      <c r="W475" t="str">
        <f>IF(S475 &lt; VLOOKUP(E475, Locality_Tier_Benchmarks!A:B, 2, FALSE) * 0.7, "Below Tier Range", "Normal")</f>
        <v>Normal</v>
      </c>
      <c r="X475" t="str">
        <f t="shared" si="62"/>
        <v>Normal</v>
      </c>
      <c r="Y475" t="str">
        <f t="shared" si="63"/>
        <v>Normal</v>
      </c>
      <c r="Z475" t="str">
        <f t="shared" si="56"/>
        <v>Pass</v>
      </c>
    </row>
    <row r="476" spans="1:26" x14ac:dyDescent="0.25">
      <c r="A476" s="2" t="s">
        <v>878</v>
      </c>
      <c r="B476" t="s">
        <v>17</v>
      </c>
      <c r="C476" t="s">
        <v>1233</v>
      </c>
      <c r="D476" s="2" t="str">
        <f>VLOOKUP(C476,Locality_Reference!A:C,2,)</f>
        <v>Western Line</v>
      </c>
      <c r="E476" s="2" t="str">
        <f>VLOOKUP(C476,Locality_Reference!A:C,3,)</f>
        <v>Premium/South</v>
      </c>
      <c r="F476" s="2" t="s">
        <v>1237</v>
      </c>
      <c r="G476" s="8">
        <v>150000</v>
      </c>
      <c r="H476">
        <v>2</v>
      </c>
      <c r="I476">
        <v>2</v>
      </c>
      <c r="J476">
        <v>20</v>
      </c>
      <c r="K476">
        <v>36</v>
      </c>
      <c r="L476">
        <v>560</v>
      </c>
      <c r="M476" t="s">
        <v>36</v>
      </c>
      <c r="N476" t="s">
        <v>29</v>
      </c>
      <c r="O476" t="s">
        <v>16</v>
      </c>
      <c r="P476" t="s">
        <v>47</v>
      </c>
      <c r="Q476" t="str">
        <f t="shared" si="57"/>
        <v>1</v>
      </c>
      <c r="R476" s="5">
        <v>46179</v>
      </c>
      <c r="S476" s="8">
        <f t="shared" si="58"/>
        <v>267.85714285714283</v>
      </c>
      <c r="T476">
        <f t="shared" si="59"/>
        <v>1800000</v>
      </c>
      <c r="U476" t="str">
        <f t="shared" si="60"/>
        <v>Luxury</v>
      </c>
      <c r="V476" t="str">
        <f t="shared" si="61"/>
        <v>Medium</v>
      </c>
      <c r="W476" t="str">
        <f>IF(S476 &lt; VLOOKUP(E476, Locality_Tier_Benchmarks!A:B, 2, FALSE) * 0.7, "Below Tier Range", "Normal")</f>
        <v>Normal</v>
      </c>
      <c r="X476" t="str">
        <f t="shared" si="62"/>
        <v>Normal</v>
      </c>
      <c r="Y476" t="str">
        <f t="shared" si="63"/>
        <v>Normal</v>
      </c>
      <c r="Z476" t="str">
        <f t="shared" si="56"/>
        <v>Pass</v>
      </c>
    </row>
    <row r="477" spans="1:26" x14ac:dyDescent="0.25">
      <c r="A477" s="2" t="s">
        <v>879</v>
      </c>
      <c r="B477" t="s">
        <v>17</v>
      </c>
      <c r="C477" t="s">
        <v>1233</v>
      </c>
      <c r="D477" s="2" t="str">
        <f>VLOOKUP(C477,Locality_Reference!A:C,2,)</f>
        <v>Western Line</v>
      </c>
      <c r="E477" s="2" t="str">
        <f>VLOOKUP(C477,Locality_Reference!A:C,3,)</f>
        <v>Premium/South</v>
      </c>
      <c r="F477" s="2" t="s">
        <v>1241</v>
      </c>
      <c r="G477" s="8">
        <v>120000</v>
      </c>
      <c r="H477">
        <v>2</v>
      </c>
      <c r="I477">
        <v>1</v>
      </c>
      <c r="J477">
        <v>0</v>
      </c>
      <c r="K477">
        <v>0</v>
      </c>
      <c r="L477">
        <v>800</v>
      </c>
      <c r="M477" t="s">
        <v>14</v>
      </c>
      <c r="N477" t="s">
        <v>15</v>
      </c>
      <c r="O477" t="s">
        <v>16</v>
      </c>
      <c r="P477" t="s">
        <v>34</v>
      </c>
      <c r="Q477" t="str">
        <f t="shared" si="57"/>
        <v/>
      </c>
      <c r="R477" s="5">
        <v>46195</v>
      </c>
      <c r="S477" s="8">
        <f t="shared" si="58"/>
        <v>150</v>
      </c>
      <c r="T477">
        <f t="shared" si="59"/>
        <v>1440000</v>
      </c>
      <c r="U477" t="str">
        <f t="shared" si="60"/>
        <v>Luxury</v>
      </c>
      <c r="V477" t="str">
        <f t="shared" si="61"/>
        <v>Medium</v>
      </c>
      <c r="W477" t="str">
        <f>IF(S477 &lt; VLOOKUP(E477, Locality_Tier_Benchmarks!A:B, 2, FALSE) * 0.7, "Below Tier Range", "Normal")</f>
        <v>Normal</v>
      </c>
      <c r="X477" t="str">
        <f t="shared" si="62"/>
        <v>Normal</v>
      </c>
      <c r="Y477" t="str">
        <f t="shared" si="63"/>
        <v>Normal</v>
      </c>
      <c r="Z477" t="str">
        <f t="shared" si="56"/>
        <v>Pass</v>
      </c>
    </row>
    <row r="478" spans="1:26" x14ac:dyDescent="0.25">
      <c r="A478" s="2" t="s">
        <v>880</v>
      </c>
      <c r="B478" t="s">
        <v>17</v>
      </c>
      <c r="C478" t="s">
        <v>1233</v>
      </c>
      <c r="D478" s="2" t="str">
        <f>VLOOKUP(C478,Locality_Reference!A:C,2,)</f>
        <v>Western Line</v>
      </c>
      <c r="E478" s="2" t="str">
        <f>VLOOKUP(C478,Locality_Reference!A:C,3,)</f>
        <v>Premium/South</v>
      </c>
      <c r="F478" s="2" t="s">
        <v>1242</v>
      </c>
      <c r="G478" s="8">
        <v>165000</v>
      </c>
      <c r="H478">
        <v>2</v>
      </c>
      <c r="I478">
        <v>2</v>
      </c>
      <c r="J478">
        <v>6</v>
      </c>
      <c r="K478">
        <v>18</v>
      </c>
      <c r="L478">
        <v>700</v>
      </c>
      <c r="M478" t="s">
        <v>14</v>
      </c>
      <c r="N478" t="s">
        <v>29</v>
      </c>
      <c r="O478" t="s">
        <v>16</v>
      </c>
      <c r="P478" t="s">
        <v>31</v>
      </c>
      <c r="Q478" t="str">
        <f t="shared" si="57"/>
        <v>3</v>
      </c>
      <c r="R478" s="5">
        <v>46188</v>
      </c>
      <c r="S478" s="8">
        <f t="shared" si="58"/>
        <v>235.71428571428572</v>
      </c>
      <c r="T478">
        <f t="shared" si="59"/>
        <v>1980000</v>
      </c>
      <c r="U478" t="str">
        <f t="shared" si="60"/>
        <v>Luxury</v>
      </c>
      <c r="V478" t="str">
        <f t="shared" si="61"/>
        <v>Medium</v>
      </c>
      <c r="W478" t="str">
        <f>IF(S478 &lt; VLOOKUP(E478, Locality_Tier_Benchmarks!A:B, 2, FALSE) * 0.7, "Below Tier Range", "Normal")</f>
        <v>Normal</v>
      </c>
      <c r="X478" t="str">
        <f t="shared" si="62"/>
        <v>Normal</v>
      </c>
      <c r="Y478" t="str">
        <f t="shared" si="63"/>
        <v>Normal</v>
      </c>
      <c r="Z478" t="str">
        <f t="shared" si="56"/>
        <v>Pass</v>
      </c>
    </row>
    <row r="479" spans="1:26" x14ac:dyDescent="0.25">
      <c r="A479" s="2" t="s">
        <v>881</v>
      </c>
      <c r="B479" t="s">
        <v>17</v>
      </c>
      <c r="C479" t="s">
        <v>1233</v>
      </c>
      <c r="D479" s="2" t="str">
        <f>VLOOKUP(C479,Locality_Reference!A:C,2,)</f>
        <v>Western Line</v>
      </c>
      <c r="E479" s="2" t="str">
        <f>VLOOKUP(C479,Locality_Reference!A:C,3,)</f>
        <v>Premium/South</v>
      </c>
      <c r="F479" s="2" t="s">
        <v>1243</v>
      </c>
      <c r="G479" s="8">
        <v>160000</v>
      </c>
      <c r="H479">
        <v>2</v>
      </c>
      <c r="I479">
        <v>2</v>
      </c>
      <c r="J479">
        <v>20</v>
      </c>
      <c r="K479">
        <v>26</v>
      </c>
      <c r="L479">
        <v>800</v>
      </c>
      <c r="M479" t="s">
        <v>36</v>
      </c>
      <c r="N479" t="s">
        <v>15</v>
      </c>
      <c r="O479" t="s">
        <v>16</v>
      </c>
      <c r="P479" t="s">
        <v>31</v>
      </c>
      <c r="Q479" t="str">
        <f t="shared" si="57"/>
        <v>3</v>
      </c>
      <c r="R479" s="5">
        <v>46191</v>
      </c>
      <c r="S479" s="8">
        <f t="shared" si="58"/>
        <v>200</v>
      </c>
      <c r="T479">
        <f t="shared" si="59"/>
        <v>1920000</v>
      </c>
      <c r="U479" t="str">
        <f t="shared" si="60"/>
        <v>Luxury</v>
      </c>
      <c r="V479" t="str">
        <f t="shared" si="61"/>
        <v>Medium</v>
      </c>
      <c r="W479" t="str">
        <f>IF(S479 &lt; VLOOKUP(E479, Locality_Tier_Benchmarks!A:B, 2, FALSE) * 0.7, "Below Tier Range", "Normal")</f>
        <v>Normal</v>
      </c>
      <c r="X479" t="str">
        <f t="shared" si="62"/>
        <v>Normal</v>
      </c>
      <c r="Y479" t="str">
        <f t="shared" si="63"/>
        <v>Normal</v>
      </c>
      <c r="Z479" t="str">
        <f t="shared" si="56"/>
        <v>Pass</v>
      </c>
    </row>
    <row r="480" spans="1:26" x14ac:dyDescent="0.25">
      <c r="A480" s="2" t="s">
        <v>882</v>
      </c>
      <c r="B480" t="s">
        <v>17</v>
      </c>
      <c r="C480" t="s">
        <v>1233</v>
      </c>
      <c r="D480" s="2" t="str">
        <f>VLOOKUP(C480,Locality_Reference!A:C,2,)</f>
        <v>Western Line</v>
      </c>
      <c r="E480" s="2" t="str">
        <f>VLOOKUP(C480,Locality_Reference!A:C,3,)</f>
        <v>Premium/South</v>
      </c>
      <c r="F480" s="2" t="s">
        <v>1235</v>
      </c>
      <c r="G480" s="8">
        <v>250000</v>
      </c>
      <c r="H480">
        <v>3</v>
      </c>
      <c r="I480">
        <v>3</v>
      </c>
      <c r="J480">
        <v>3</v>
      </c>
      <c r="K480">
        <v>4</v>
      </c>
      <c r="L480">
        <v>1200</v>
      </c>
      <c r="M480" t="s">
        <v>14</v>
      </c>
      <c r="N480" t="s">
        <v>15</v>
      </c>
      <c r="O480" t="s">
        <v>16</v>
      </c>
      <c r="P480" t="s">
        <v>23</v>
      </c>
      <c r="Q480" t="str">
        <f t="shared" si="57"/>
        <v>10</v>
      </c>
      <c r="R480" s="5">
        <v>46202</v>
      </c>
      <c r="S480" s="8">
        <f t="shared" si="58"/>
        <v>208.33333333333334</v>
      </c>
      <c r="T480">
        <f t="shared" si="59"/>
        <v>3000000</v>
      </c>
      <c r="U480" t="str">
        <f t="shared" si="60"/>
        <v>Luxury</v>
      </c>
      <c r="V480" t="str">
        <f t="shared" si="61"/>
        <v>Large</v>
      </c>
      <c r="W480" t="str">
        <f>IF(S480 &lt; VLOOKUP(E480, Locality_Tier_Benchmarks!A:B, 2, FALSE) * 0.7, "Below Tier Range", "Normal")</f>
        <v>Normal</v>
      </c>
      <c r="X480" t="str">
        <f t="shared" si="62"/>
        <v>Normal</v>
      </c>
      <c r="Y480" t="str">
        <f t="shared" si="63"/>
        <v>Normal</v>
      </c>
      <c r="Z480" t="str">
        <f t="shared" si="56"/>
        <v>Pass</v>
      </c>
    </row>
    <row r="481" spans="1:26" x14ac:dyDescent="0.25">
      <c r="A481" s="2" t="s">
        <v>883</v>
      </c>
      <c r="B481" t="s">
        <v>17</v>
      </c>
      <c r="C481" t="s">
        <v>1233</v>
      </c>
      <c r="D481" s="2" t="str">
        <f>VLOOKUP(C481,Locality_Reference!A:C,2,)</f>
        <v>Western Line</v>
      </c>
      <c r="E481" s="2" t="str">
        <f>VLOOKUP(C481,Locality_Reference!A:C,3,)</f>
        <v>Premium/South</v>
      </c>
      <c r="F481" s="2" t="s">
        <v>1237</v>
      </c>
      <c r="G481" s="8">
        <v>250000</v>
      </c>
      <c r="H481">
        <v>3</v>
      </c>
      <c r="I481">
        <v>3</v>
      </c>
      <c r="J481">
        <v>27</v>
      </c>
      <c r="K481">
        <v>36</v>
      </c>
      <c r="L481">
        <v>1180</v>
      </c>
      <c r="M481" t="s">
        <v>33</v>
      </c>
      <c r="N481" t="s">
        <v>29</v>
      </c>
      <c r="O481" t="s">
        <v>16</v>
      </c>
      <c r="P481" t="s">
        <v>34</v>
      </c>
      <c r="Q481" t="str">
        <f t="shared" si="57"/>
        <v/>
      </c>
      <c r="R481" s="5">
        <v>46191</v>
      </c>
      <c r="S481" s="8">
        <f t="shared" si="58"/>
        <v>211.86440677966101</v>
      </c>
      <c r="T481">
        <f t="shared" si="59"/>
        <v>3000000</v>
      </c>
      <c r="U481" t="str">
        <f t="shared" si="60"/>
        <v>Luxury</v>
      </c>
      <c r="V481" t="str">
        <f t="shared" si="61"/>
        <v>Large</v>
      </c>
      <c r="W481" t="str">
        <f>IF(S481 &lt; VLOOKUP(E481, Locality_Tier_Benchmarks!A:B, 2, FALSE) * 0.7, "Below Tier Range", "Normal")</f>
        <v>Normal</v>
      </c>
      <c r="X481" t="str">
        <f t="shared" si="62"/>
        <v>Normal</v>
      </c>
      <c r="Y481" t="str">
        <f t="shared" si="63"/>
        <v>Normal</v>
      </c>
      <c r="Z481" t="str">
        <f t="shared" si="56"/>
        <v>Pass</v>
      </c>
    </row>
    <row r="482" spans="1:26" x14ac:dyDescent="0.25">
      <c r="A482" s="2" t="s">
        <v>884</v>
      </c>
      <c r="B482" t="s">
        <v>17</v>
      </c>
      <c r="C482" t="s">
        <v>1233</v>
      </c>
      <c r="D482" s="2" t="str">
        <f>VLOOKUP(C482,Locality_Reference!A:C,2,)</f>
        <v>Western Line</v>
      </c>
      <c r="E482" s="2" t="str">
        <f>VLOOKUP(C482,Locality_Reference!A:C,3,)</f>
        <v>Premium/South</v>
      </c>
      <c r="F482" s="2" t="s">
        <v>1240</v>
      </c>
      <c r="G482" s="8">
        <v>210000</v>
      </c>
      <c r="H482">
        <v>3</v>
      </c>
      <c r="I482">
        <v>3</v>
      </c>
      <c r="J482">
        <v>7</v>
      </c>
      <c r="K482">
        <v>22</v>
      </c>
      <c r="L482">
        <v>1500</v>
      </c>
      <c r="M482" t="s">
        <v>14</v>
      </c>
      <c r="N482" t="s">
        <v>15</v>
      </c>
      <c r="O482" t="s">
        <v>16</v>
      </c>
      <c r="P482" t="s">
        <v>34</v>
      </c>
      <c r="Q482" t="str">
        <f t="shared" si="57"/>
        <v/>
      </c>
      <c r="R482" s="5">
        <v>46189</v>
      </c>
      <c r="S482" s="8">
        <f t="shared" si="58"/>
        <v>140</v>
      </c>
      <c r="T482">
        <f t="shared" si="59"/>
        <v>2520000</v>
      </c>
      <c r="U482" t="str">
        <f t="shared" si="60"/>
        <v>Luxury</v>
      </c>
      <c r="V482" t="str">
        <f t="shared" si="61"/>
        <v>Spacious</v>
      </c>
      <c r="W482" t="str">
        <f>IF(S482 &lt; VLOOKUP(E482, Locality_Tier_Benchmarks!A:B, 2, FALSE) * 0.7, "Below Tier Range", "Normal")</f>
        <v>Normal</v>
      </c>
      <c r="X482" t="str">
        <f t="shared" si="62"/>
        <v>Normal</v>
      </c>
      <c r="Y482" t="str">
        <f t="shared" si="63"/>
        <v>Normal</v>
      </c>
      <c r="Z482" t="str">
        <f t="shared" si="56"/>
        <v>Pass</v>
      </c>
    </row>
    <row r="483" spans="1:26" x14ac:dyDescent="0.25">
      <c r="A483" s="2" t="s">
        <v>885</v>
      </c>
      <c r="B483" t="s">
        <v>17</v>
      </c>
      <c r="C483" t="s">
        <v>1233</v>
      </c>
      <c r="D483" s="2" t="str">
        <f>VLOOKUP(C483,Locality_Reference!A:C,2,)</f>
        <v>Western Line</v>
      </c>
      <c r="E483" s="2" t="str">
        <f>VLOOKUP(C483,Locality_Reference!A:C,3,)</f>
        <v>Premium/South</v>
      </c>
      <c r="F483" s="2" t="s">
        <v>1244</v>
      </c>
      <c r="G483" s="8">
        <v>190000</v>
      </c>
      <c r="H483">
        <v>3</v>
      </c>
      <c r="I483">
        <v>3</v>
      </c>
      <c r="J483">
        <v>13</v>
      </c>
      <c r="K483">
        <v>23</v>
      </c>
      <c r="L483">
        <v>1400</v>
      </c>
      <c r="M483" t="s">
        <v>36</v>
      </c>
      <c r="N483" t="s">
        <v>29</v>
      </c>
      <c r="O483" t="s">
        <v>16</v>
      </c>
      <c r="P483" t="s">
        <v>47</v>
      </c>
      <c r="Q483" t="str">
        <f t="shared" si="57"/>
        <v>1</v>
      </c>
      <c r="R483" s="5">
        <v>46178</v>
      </c>
      <c r="S483" s="8">
        <f t="shared" si="58"/>
        <v>135.71428571428572</v>
      </c>
      <c r="T483">
        <f t="shared" si="59"/>
        <v>2280000</v>
      </c>
      <c r="U483" t="str">
        <f t="shared" si="60"/>
        <v>Luxury</v>
      </c>
      <c r="V483" t="str">
        <f t="shared" si="61"/>
        <v>Spacious</v>
      </c>
      <c r="W483" t="str">
        <f>IF(S483 &lt; VLOOKUP(E483, Locality_Tier_Benchmarks!A:B, 2, FALSE) * 0.7, "Below Tier Range", "Normal")</f>
        <v>Normal</v>
      </c>
      <c r="X483" t="str">
        <f t="shared" si="62"/>
        <v>Normal</v>
      </c>
      <c r="Y483" t="str">
        <f t="shared" si="63"/>
        <v>Normal</v>
      </c>
      <c r="Z483" t="str">
        <f t="shared" si="56"/>
        <v>Pass</v>
      </c>
    </row>
    <row r="484" spans="1:26" x14ac:dyDescent="0.25">
      <c r="A484" s="2" t="s">
        <v>886</v>
      </c>
      <c r="B484" t="s">
        <v>17</v>
      </c>
      <c r="C484" t="s">
        <v>1233</v>
      </c>
      <c r="D484" s="2" t="str">
        <f>VLOOKUP(C484,Locality_Reference!A:C,2,)</f>
        <v>Western Line</v>
      </c>
      <c r="E484" s="2" t="str">
        <f>VLOOKUP(C484,Locality_Reference!A:C,3,)</f>
        <v>Premium/South</v>
      </c>
      <c r="F484" s="2" t="s">
        <v>1245</v>
      </c>
      <c r="G484" s="8">
        <v>180000</v>
      </c>
      <c r="H484">
        <v>3</v>
      </c>
      <c r="I484">
        <v>2</v>
      </c>
      <c r="J484">
        <v>10</v>
      </c>
      <c r="K484">
        <v>19</v>
      </c>
      <c r="L484">
        <v>1263</v>
      </c>
      <c r="M484" t="s">
        <v>36</v>
      </c>
      <c r="N484" t="s">
        <v>15</v>
      </c>
      <c r="O484" t="s">
        <v>16</v>
      </c>
      <c r="P484" t="s">
        <v>34</v>
      </c>
      <c r="Q484" t="str">
        <f t="shared" si="57"/>
        <v/>
      </c>
      <c r="R484" s="5">
        <v>46189</v>
      </c>
      <c r="S484" s="8">
        <f t="shared" si="58"/>
        <v>142.51781472684087</v>
      </c>
      <c r="T484">
        <f t="shared" si="59"/>
        <v>2160000</v>
      </c>
      <c r="U484" t="str">
        <f t="shared" si="60"/>
        <v>Luxury</v>
      </c>
      <c r="V484" t="str">
        <f t="shared" si="61"/>
        <v>Spacious</v>
      </c>
      <c r="W484" t="str">
        <f>IF(S484 &lt; VLOOKUP(E484, Locality_Tier_Benchmarks!A:B, 2, FALSE) * 0.7, "Below Tier Range", "Normal")</f>
        <v>Normal</v>
      </c>
      <c r="X484" t="str">
        <f t="shared" si="62"/>
        <v>Normal</v>
      </c>
      <c r="Y484" t="str">
        <f t="shared" si="63"/>
        <v>Normal</v>
      </c>
      <c r="Z484" t="str">
        <f t="shared" si="56"/>
        <v>Pass</v>
      </c>
    </row>
    <row r="485" spans="1:26" x14ac:dyDescent="0.25">
      <c r="A485" s="2" t="s">
        <v>887</v>
      </c>
      <c r="B485" t="s">
        <v>17</v>
      </c>
      <c r="C485" t="s">
        <v>461</v>
      </c>
      <c r="D485" s="2" t="str">
        <f>VLOOKUP(C485,Locality_Reference!A:C,2,)</f>
        <v>Western Line</v>
      </c>
      <c r="E485" s="2" t="str">
        <f>VLOOKUP(C485,Locality_Reference!A:C,3,)</f>
        <v>Premium/South</v>
      </c>
      <c r="F485" s="2" t="s">
        <v>1246</v>
      </c>
      <c r="G485" s="8">
        <v>75000</v>
      </c>
      <c r="H485">
        <v>1</v>
      </c>
      <c r="I485">
        <v>2</v>
      </c>
      <c r="J485">
        <v>10</v>
      </c>
      <c r="K485">
        <v>18</v>
      </c>
      <c r="L485">
        <v>580</v>
      </c>
      <c r="M485" t="s">
        <v>36</v>
      </c>
      <c r="N485" t="s">
        <v>29</v>
      </c>
      <c r="O485" t="s">
        <v>16</v>
      </c>
      <c r="P485" t="s">
        <v>31</v>
      </c>
      <c r="Q485" t="str">
        <f t="shared" si="57"/>
        <v>3</v>
      </c>
      <c r="R485" s="5">
        <v>46196</v>
      </c>
      <c r="S485" s="8">
        <f t="shared" si="58"/>
        <v>129.31034482758622</v>
      </c>
      <c r="T485">
        <f t="shared" si="59"/>
        <v>900000</v>
      </c>
      <c r="U485" t="str">
        <f t="shared" si="60"/>
        <v>Premium</v>
      </c>
      <c r="V485" t="str">
        <f t="shared" si="61"/>
        <v>Medium</v>
      </c>
      <c r="W485" t="str">
        <f>IF(S485 &lt; VLOOKUP(E485, Locality_Tier_Benchmarks!A:B, 2, FALSE) * 0.7, "Below Tier Range", "Normal")</f>
        <v>Normal</v>
      </c>
      <c r="X485" t="str">
        <f t="shared" si="62"/>
        <v>Normal</v>
      </c>
      <c r="Y485" t="str">
        <f t="shared" si="63"/>
        <v>Normal</v>
      </c>
      <c r="Z485" t="str">
        <f t="shared" si="56"/>
        <v>Pass</v>
      </c>
    </row>
    <row r="486" spans="1:26" x14ac:dyDescent="0.25">
      <c r="A486" s="2" t="s">
        <v>888</v>
      </c>
      <c r="B486" t="s">
        <v>17</v>
      </c>
      <c r="C486" t="s">
        <v>461</v>
      </c>
      <c r="D486" s="2" t="str">
        <f>VLOOKUP(C486,Locality_Reference!A:C,2,)</f>
        <v>Western Line</v>
      </c>
      <c r="E486" s="2" t="str">
        <f>VLOOKUP(C486,Locality_Reference!A:C,3,)</f>
        <v>Premium/South</v>
      </c>
      <c r="F486" s="2" t="s">
        <v>1247</v>
      </c>
      <c r="G486" s="8">
        <v>60000</v>
      </c>
      <c r="H486">
        <v>1</v>
      </c>
      <c r="I486">
        <v>1</v>
      </c>
      <c r="J486">
        <v>16</v>
      </c>
      <c r="K486">
        <v>21</v>
      </c>
      <c r="L486">
        <v>425</v>
      </c>
      <c r="M486" t="s">
        <v>33</v>
      </c>
      <c r="N486" t="s">
        <v>29</v>
      </c>
      <c r="O486" t="s">
        <v>16</v>
      </c>
      <c r="P486" t="s">
        <v>31</v>
      </c>
      <c r="Q486" t="str">
        <f t="shared" si="57"/>
        <v>3</v>
      </c>
      <c r="R486" s="5">
        <v>46185</v>
      </c>
      <c r="S486" s="8">
        <f t="shared" si="58"/>
        <v>141.1764705882353</v>
      </c>
      <c r="T486">
        <f t="shared" si="59"/>
        <v>720000</v>
      </c>
      <c r="U486" t="str">
        <f t="shared" si="60"/>
        <v>Mid</v>
      </c>
      <c r="V486" t="str">
        <f t="shared" si="61"/>
        <v>Compact</v>
      </c>
      <c r="W486" t="str">
        <f>IF(S486 &lt; VLOOKUP(E486, Locality_Tier_Benchmarks!A:B, 2, FALSE) * 0.7, "Below Tier Range", "Normal")</f>
        <v>Normal</v>
      </c>
      <c r="X486" t="str">
        <f t="shared" si="62"/>
        <v>Normal</v>
      </c>
      <c r="Y486" t="str">
        <f t="shared" si="63"/>
        <v>Normal</v>
      </c>
      <c r="Z486" t="str">
        <f t="shared" si="56"/>
        <v>Pass</v>
      </c>
    </row>
    <row r="487" spans="1:26" x14ac:dyDescent="0.25">
      <c r="A487" s="2" t="s">
        <v>889</v>
      </c>
      <c r="B487" t="s">
        <v>17</v>
      </c>
      <c r="C487" t="s">
        <v>461</v>
      </c>
      <c r="D487" s="2" t="str">
        <f>VLOOKUP(C487,Locality_Reference!A:C,2,)</f>
        <v>Western Line</v>
      </c>
      <c r="E487" s="2" t="str">
        <f>VLOOKUP(C487,Locality_Reference!A:C,3,)</f>
        <v>Premium/South</v>
      </c>
      <c r="F487" s="2" t="s">
        <v>1248</v>
      </c>
      <c r="G487" s="8">
        <v>90000</v>
      </c>
      <c r="H487">
        <v>1</v>
      </c>
      <c r="I487">
        <v>2</v>
      </c>
      <c r="J487">
        <v>7</v>
      </c>
      <c r="K487">
        <v>22</v>
      </c>
      <c r="L487">
        <v>500</v>
      </c>
      <c r="M487" t="s">
        <v>14</v>
      </c>
      <c r="N487" t="s">
        <v>29</v>
      </c>
      <c r="O487" t="s">
        <v>16</v>
      </c>
      <c r="P487" t="s">
        <v>47</v>
      </c>
      <c r="Q487" t="str">
        <f t="shared" si="57"/>
        <v>1</v>
      </c>
      <c r="R487" s="5">
        <v>46142</v>
      </c>
      <c r="S487" s="8">
        <f t="shared" si="58"/>
        <v>180</v>
      </c>
      <c r="T487">
        <f t="shared" si="59"/>
        <v>1080000</v>
      </c>
      <c r="U487" t="str">
        <f t="shared" si="60"/>
        <v>Premium</v>
      </c>
      <c r="V487" t="str">
        <f t="shared" si="61"/>
        <v>Compact</v>
      </c>
      <c r="W487" t="str">
        <f>IF(S487 &lt; VLOOKUP(E487, Locality_Tier_Benchmarks!A:B, 2, FALSE) * 0.7, "Below Tier Range", "Normal")</f>
        <v>Normal</v>
      </c>
      <c r="X487" t="str">
        <f t="shared" si="62"/>
        <v>Normal</v>
      </c>
      <c r="Y487" t="str">
        <f t="shared" si="63"/>
        <v>Normal</v>
      </c>
      <c r="Z487" t="str">
        <f t="shared" si="56"/>
        <v>Pass</v>
      </c>
    </row>
    <row r="488" spans="1:26" x14ac:dyDescent="0.25">
      <c r="A488" s="2" t="s">
        <v>890</v>
      </c>
      <c r="B488" t="s">
        <v>17</v>
      </c>
      <c r="C488" t="s">
        <v>461</v>
      </c>
      <c r="D488" s="2" t="str">
        <f>VLOOKUP(C488,Locality_Reference!A:C,2,)</f>
        <v>Western Line</v>
      </c>
      <c r="E488" s="2" t="str">
        <f>VLOOKUP(C488,Locality_Reference!A:C,3,)</f>
        <v>Premium/South</v>
      </c>
      <c r="F488" s="2" t="s">
        <v>1249</v>
      </c>
      <c r="G488" s="8">
        <v>85000</v>
      </c>
      <c r="H488">
        <v>1</v>
      </c>
      <c r="I488">
        <v>1</v>
      </c>
      <c r="J488">
        <v>3</v>
      </c>
      <c r="K488">
        <v>15</v>
      </c>
      <c r="L488">
        <v>645.83000000000004</v>
      </c>
      <c r="M488" t="s">
        <v>33</v>
      </c>
      <c r="N488" t="s">
        <v>29</v>
      </c>
      <c r="O488" t="s">
        <v>16</v>
      </c>
      <c r="P488" t="s">
        <v>52</v>
      </c>
      <c r="Q488" t="str">
        <f t="shared" si="57"/>
        <v>7.5</v>
      </c>
      <c r="R488" s="5">
        <v>46160</v>
      </c>
      <c r="S488" s="8">
        <f t="shared" si="58"/>
        <v>131.61358252171624</v>
      </c>
      <c r="T488">
        <f t="shared" si="59"/>
        <v>1020000</v>
      </c>
      <c r="U488" t="str">
        <f t="shared" si="60"/>
        <v>Premium</v>
      </c>
      <c r="V488" t="str">
        <f t="shared" si="61"/>
        <v>Medium</v>
      </c>
      <c r="W488" t="str">
        <f>IF(S488 &lt; VLOOKUP(E488, Locality_Tier_Benchmarks!A:B, 2, FALSE) * 0.7, "Below Tier Range", "Normal")</f>
        <v>Normal</v>
      </c>
      <c r="X488" t="str">
        <f t="shared" si="62"/>
        <v>Normal</v>
      </c>
      <c r="Y488" t="str">
        <f t="shared" si="63"/>
        <v>Normal</v>
      </c>
      <c r="Z488" t="str">
        <f t="shared" si="56"/>
        <v>Pass</v>
      </c>
    </row>
    <row r="489" spans="1:26" x14ac:dyDescent="0.25">
      <c r="A489" s="2" t="s">
        <v>891</v>
      </c>
      <c r="B489" t="s">
        <v>17</v>
      </c>
      <c r="C489" t="s">
        <v>461</v>
      </c>
      <c r="D489" s="2" t="str">
        <f>VLOOKUP(C489,Locality_Reference!A:C,2,)</f>
        <v>Western Line</v>
      </c>
      <c r="E489" s="2" t="str">
        <f>VLOOKUP(C489,Locality_Reference!A:C,3,)</f>
        <v>Premium/South</v>
      </c>
      <c r="F489" s="2" t="s">
        <v>1250</v>
      </c>
      <c r="G489" s="8">
        <v>53000</v>
      </c>
      <c r="H489">
        <v>1</v>
      </c>
      <c r="I489">
        <v>1</v>
      </c>
      <c r="J489">
        <v>2</v>
      </c>
      <c r="K489">
        <v>4</v>
      </c>
      <c r="L489">
        <v>350</v>
      </c>
      <c r="M489" t="s">
        <v>14</v>
      </c>
      <c r="N489" t="s">
        <v>29</v>
      </c>
      <c r="O489" t="s">
        <v>16</v>
      </c>
      <c r="P489" t="s">
        <v>23</v>
      </c>
      <c r="Q489" t="str">
        <f t="shared" si="57"/>
        <v>10</v>
      </c>
      <c r="R489" s="5">
        <v>46177</v>
      </c>
      <c r="S489" s="8">
        <f t="shared" si="58"/>
        <v>151.42857142857142</v>
      </c>
      <c r="T489">
        <f t="shared" si="59"/>
        <v>636000</v>
      </c>
      <c r="U489" t="str">
        <f t="shared" si="60"/>
        <v>Mid</v>
      </c>
      <c r="V489" t="str">
        <f t="shared" si="61"/>
        <v>Compact</v>
      </c>
      <c r="W489" t="str">
        <f>IF(S489 &lt; VLOOKUP(E489, Locality_Tier_Benchmarks!A:B, 2, FALSE) * 0.7, "Below Tier Range", "Normal")</f>
        <v>Normal</v>
      </c>
      <c r="X489" t="str">
        <f t="shared" si="62"/>
        <v>Normal</v>
      </c>
      <c r="Y489" t="str">
        <f t="shared" si="63"/>
        <v>Normal</v>
      </c>
      <c r="Z489" t="str">
        <f t="shared" si="56"/>
        <v>Pass</v>
      </c>
    </row>
    <row r="490" spans="1:26" x14ac:dyDescent="0.25">
      <c r="A490" s="2" t="s">
        <v>892</v>
      </c>
      <c r="B490" t="s">
        <v>17</v>
      </c>
      <c r="C490" t="s">
        <v>461</v>
      </c>
      <c r="D490" s="2" t="str">
        <f>VLOOKUP(C490,Locality_Reference!A:C,2,)</f>
        <v>Western Line</v>
      </c>
      <c r="E490" s="2" t="str">
        <f>VLOOKUP(C490,Locality_Reference!A:C,3,)</f>
        <v>Premium/South</v>
      </c>
      <c r="F490" s="2" t="s">
        <v>1251</v>
      </c>
      <c r="G490" s="8">
        <v>140000</v>
      </c>
      <c r="H490">
        <v>2</v>
      </c>
      <c r="I490">
        <v>2</v>
      </c>
      <c r="J490">
        <v>16</v>
      </c>
      <c r="K490">
        <v>17</v>
      </c>
      <c r="L490">
        <v>714</v>
      </c>
      <c r="M490" t="s">
        <v>33</v>
      </c>
      <c r="N490" t="s">
        <v>29</v>
      </c>
      <c r="O490" t="s">
        <v>16</v>
      </c>
      <c r="P490" t="s">
        <v>34</v>
      </c>
      <c r="Q490" t="str">
        <f t="shared" si="57"/>
        <v/>
      </c>
      <c r="R490" s="5">
        <v>46164</v>
      </c>
      <c r="S490" s="8">
        <f t="shared" si="58"/>
        <v>196.07843137254903</v>
      </c>
      <c r="T490">
        <f t="shared" si="59"/>
        <v>1680000</v>
      </c>
      <c r="U490" t="str">
        <f t="shared" si="60"/>
        <v>Luxury</v>
      </c>
      <c r="V490" t="str">
        <f t="shared" si="61"/>
        <v>Medium</v>
      </c>
      <c r="W490" t="str">
        <f>IF(S490 &lt; VLOOKUP(E490, Locality_Tier_Benchmarks!A:B, 2, FALSE) * 0.7, "Below Tier Range", "Normal")</f>
        <v>Normal</v>
      </c>
      <c r="X490" t="str">
        <f t="shared" si="62"/>
        <v>Normal</v>
      </c>
      <c r="Y490" t="str">
        <f t="shared" si="63"/>
        <v>Normal</v>
      </c>
      <c r="Z490" t="str">
        <f t="shared" si="56"/>
        <v>Pass</v>
      </c>
    </row>
    <row r="491" spans="1:26" x14ac:dyDescent="0.25">
      <c r="A491" s="2" t="s">
        <v>893</v>
      </c>
      <c r="B491" t="s">
        <v>17</v>
      </c>
      <c r="C491" t="s">
        <v>461</v>
      </c>
      <c r="D491" s="2" t="str">
        <f>VLOOKUP(C491,Locality_Reference!A:C,2,)</f>
        <v>Western Line</v>
      </c>
      <c r="E491" s="2" t="str">
        <f>VLOOKUP(C491,Locality_Reference!A:C,3,)</f>
        <v>Premium/South</v>
      </c>
      <c r="F491" s="2" t="s">
        <v>1252</v>
      </c>
      <c r="G491" s="8">
        <v>115000</v>
      </c>
      <c r="H491">
        <v>2</v>
      </c>
      <c r="I491">
        <v>2</v>
      </c>
      <c r="J491">
        <v>14</v>
      </c>
      <c r="K491">
        <v>19</v>
      </c>
      <c r="L491">
        <v>730</v>
      </c>
      <c r="M491" t="s">
        <v>33</v>
      </c>
      <c r="N491" t="s">
        <v>15</v>
      </c>
      <c r="O491" t="s">
        <v>16</v>
      </c>
      <c r="P491" t="s">
        <v>34</v>
      </c>
      <c r="Q491" t="str">
        <f t="shared" si="57"/>
        <v/>
      </c>
      <c r="R491" s="5">
        <v>46189</v>
      </c>
      <c r="S491" s="8">
        <f t="shared" si="58"/>
        <v>157.53424657534248</v>
      </c>
      <c r="T491">
        <f t="shared" si="59"/>
        <v>1380000</v>
      </c>
      <c r="U491" t="str">
        <f t="shared" si="60"/>
        <v>Luxury</v>
      </c>
      <c r="V491" t="str">
        <f t="shared" si="61"/>
        <v>Medium</v>
      </c>
      <c r="W491" t="str">
        <f>IF(S491 &lt; VLOOKUP(E491, Locality_Tier_Benchmarks!A:B, 2, FALSE) * 0.7, "Below Tier Range", "Normal")</f>
        <v>Normal</v>
      </c>
      <c r="X491" t="str">
        <f t="shared" si="62"/>
        <v>Normal</v>
      </c>
      <c r="Y491" t="str">
        <f t="shared" si="63"/>
        <v>Normal</v>
      </c>
      <c r="Z491" t="str">
        <f t="shared" si="56"/>
        <v>Pass</v>
      </c>
    </row>
    <row r="492" spans="1:26" x14ac:dyDescent="0.25">
      <c r="A492" s="2" t="s">
        <v>894</v>
      </c>
      <c r="B492" t="s">
        <v>17</v>
      </c>
      <c r="C492" t="s">
        <v>461</v>
      </c>
      <c r="D492" s="2" t="str">
        <f>VLOOKUP(C492,Locality_Reference!A:C,2,)</f>
        <v>Western Line</v>
      </c>
      <c r="E492" s="2" t="str">
        <f>VLOOKUP(C492,Locality_Reference!A:C,3,)</f>
        <v>Premium/South</v>
      </c>
      <c r="F492" s="2" t="s">
        <v>1253</v>
      </c>
      <c r="G492" s="8">
        <v>130000</v>
      </c>
      <c r="H492">
        <v>2</v>
      </c>
      <c r="I492">
        <v>2</v>
      </c>
      <c r="J492">
        <v>11</v>
      </c>
      <c r="K492">
        <v>20</v>
      </c>
      <c r="L492">
        <v>734.1</v>
      </c>
      <c r="M492" t="s">
        <v>36</v>
      </c>
      <c r="N492" t="s">
        <v>15</v>
      </c>
      <c r="O492" t="s">
        <v>16</v>
      </c>
      <c r="P492" t="s">
        <v>34</v>
      </c>
      <c r="Q492" t="str">
        <f t="shared" si="57"/>
        <v/>
      </c>
      <c r="R492" s="5">
        <v>46191</v>
      </c>
      <c r="S492" s="8">
        <f t="shared" si="58"/>
        <v>177.08759024656041</v>
      </c>
      <c r="T492">
        <f t="shared" si="59"/>
        <v>1560000</v>
      </c>
      <c r="U492" t="str">
        <f t="shared" si="60"/>
        <v>Luxury</v>
      </c>
      <c r="V492" t="str">
        <f t="shared" si="61"/>
        <v>Medium</v>
      </c>
      <c r="W492" t="str">
        <f>IF(S492 &lt; VLOOKUP(E492, Locality_Tier_Benchmarks!A:B, 2, FALSE) * 0.7, "Below Tier Range", "Normal")</f>
        <v>Normal</v>
      </c>
      <c r="X492" t="str">
        <f t="shared" si="62"/>
        <v>Normal</v>
      </c>
      <c r="Y492" t="str">
        <f t="shared" si="63"/>
        <v>Normal</v>
      </c>
      <c r="Z492" t="str">
        <f t="shared" si="56"/>
        <v>Pass</v>
      </c>
    </row>
    <row r="493" spans="1:26" x14ac:dyDescent="0.25">
      <c r="A493" s="2" t="s">
        <v>895</v>
      </c>
      <c r="B493" t="s">
        <v>17</v>
      </c>
      <c r="C493" t="s">
        <v>461</v>
      </c>
      <c r="D493" s="2" t="str">
        <f>VLOOKUP(C493,Locality_Reference!A:C,2,)</f>
        <v>Western Line</v>
      </c>
      <c r="E493" s="2" t="str">
        <f>VLOOKUP(C493,Locality_Reference!A:C,3,)</f>
        <v>Premium/South</v>
      </c>
      <c r="F493" s="2" t="s">
        <v>1254</v>
      </c>
      <c r="G493" s="8">
        <v>125000</v>
      </c>
      <c r="H493">
        <v>2</v>
      </c>
      <c r="I493">
        <v>2</v>
      </c>
      <c r="J493">
        <v>6</v>
      </c>
      <c r="K493">
        <v>18</v>
      </c>
      <c r="L493">
        <v>780</v>
      </c>
      <c r="M493" t="s">
        <v>36</v>
      </c>
      <c r="N493" t="s">
        <v>29</v>
      </c>
      <c r="O493" t="s">
        <v>16</v>
      </c>
      <c r="P493" t="s">
        <v>47</v>
      </c>
      <c r="Q493" t="str">
        <f t="shared" si="57"/>
        <v>1</v>
      </c>
      <c r="R493" s="5">
        <v>46197</v>
      </c>
      <c r="S493" s="8">
        <f t="shared" si="58"/>
        <v>160.25641025641025</v>
      </c>
      <c r="T493">
        <f t="shared" si="59"/>
        <v>1500000</v>
      </c>
      <c r="U493" t="str">
        <f t="shared" si="60"/>
        <v>Luxury</v>
      </c>
      <c r="V493" t="str">
        <f t="shared" si="61"/>
        <v>Medium</v>
      </c>
      <c r="W493" t="str">
        <f>IF(S493 &lt; VLOOKUP(E493, Locality_Tier_Benchmarks!A:B, 2, FALSE) * 0.7, "Below Tier Range", "Normal")</f>
        <v>Normal</v>
      </c>
      <c r="X493" t="str">
        <f t="shared" si="62"/>
        <v>Normal</v>
      </c>
      <c r="Y493" t="str">
        <f t="shared" si="63"/>
        <v>Normal</v>
      </c>
      <c r="Z493" t="str">
        <f t="shared" si="56"/>
        <v>Pass</v>
      </c>
    </row>
    <row r="494" spans="1:26" x14ac:dyDescent="0.25">
      <c r="A494" s="2" t="s">
        <v>896</v>
      </c>
      <c r="B494" t="s">
        <v>17</v>
      </c>
      <c r="C494" t="s">
        <v>461</v>
      </c>
      <c r="D494" s="2" t="str">
        <f>VLOOKUP(C494,Locality_Reference!A:C,2,)</f>
        <v>Western Line</v>
      </c>
      <c r="E494" s="2" t="str">
        <f>VLOOKUP(C494,Locality_Reference!A:C,3,)</f>
        <v>Premium/South</v>
      </c>
      <c r="F494" s="2" t="s">
        <v>1255</v>
      </c>
      <c r="G494" s="8">
        <v>140000</v>
      </c>
      <c r="H494">
        <v>2</v>
      </c>
      <c r="I494">
        <v>2</v>
      </c>
      <c r="J494">
        <v>19</v>
      </c>
      <c r="K494">
        <v>44</v>
      </c>
      <c r="L494">
        <v>761</v>
      </c>
      <c r="M494" t="s">
        <v>36</v>
      </c>
      <c r="N494" t="s">
        <v>29</v>
      </c>
      <c r="O494" t="s">
        <v>16</v>
      </c>
      <c r="P494" t="s">
        <v>31</v>
      </c>
      <c r="Q494" t="str">
        <f t="shared" si="57"/>
        <v>3</v>
      </c>
      <c r="R494" s="5">
        <v>46196</v>
      </c>
      <c r="S494" s="8">
        <f t="shared" si="58"/>
        <v>183.96846254927726</v>
      </c>
      <c r="T494">
        <f t="shared" si="59"/>
        <v>1680000</v>
      </c>
      <c r="U494" t="str">
        <f t="shared" si="60"/>
        <v>Luxury</v>
      </c>
      <c r="V494" t="str">
        <f t="shared" si="61"/>
        <v>Medium</v>
      </c>
      <c r="W494" t="str">
        <f>IF(S494 &lt; VLOOKUP(E494, Locality_Tier_Benchmarks!A:B, 2, FALSE) * 0.7, "Below Tier Range", "Normal")</f>
        <v>Normal</v>
      </c>
      <c r="X494" t="str">
        <f t="shared" si="62"/>
        <v>Normal</v>
      </c>
      <c r="Y494" t="str">
        <f t="shared" si="63"/>
        <v>Normal</v>
      </c>
      <c r="Z494" t="str">
        <f t="shared" si="56"/>
        <v>Pass</v>
      </c>
    </row>
    <row r="495" spans="1:26" x14ac:dyDescent="0.25">
      <c r="A495" s="2" t="s">
        <v>897</v>
      </c>
      <c r="B495" t="s">
        <v>17</v>
      </c>
      <c r="C495" t="s">
        <v>461</v>
      </c>
      <c r="D495" s="2" t="str">
        <f>VLOOKUP(C495,Locality_Reference!A:C,2,)</f>
        <v>Western Line</v>
      </c>
      <c r="E495" s="2" t="str">
        <f>VLOOKUP(C495,Locality_Reference!A:C,3,)</f>
        <v>Premium/South</v>
      </c>
      <c r="F495" s="2" t="s">
        <v>1256</v>
      </c>
      <c r="G495" s="8">
        <v>210000</v>
      </c>
      <c r="H495">
        <v>3</v>
      </c>
      <c r="I495">
        <v>3</v>
      </c>
      <c r="J495">
        <v>17</v>
      </c>
      <c r="K495">
        <v>19</v>
      </c>
      <c r="L495">
        <v>1014.61</v>
      </c>
      <c r="M495" t="s">
        <v>14</v>
      </c>
      <c r="N495" t="s">
        <v>29</v>
      </c>
      <c r="O495" t="s">
        <v>16</v>
      </c>
      <c r="P495" t="s">
        <v>34</v>
      </c>
      <c r="Q495" t="str">
        <f t="shared" si="57"/>
        <v/>
      </c>
      <c r="R495" s="5">
        <v>46192</v>
      </c>
      <c r="S495" s="8">
        <f t="shared" si="58"/>
        <v>206.97607947881451</v>
      </c>
      <c r="T495">
        <f t="shared" si="59"/>
        <v>2520000</v>
      </c>
      <c r="U495" t="str">
        <f t="shared" si="60"/>
        <v>Luxury</v>
      </c>
      <c r="V495" t="str">
        <f t="shared" si="61"/>
        <v>Large</v>
      </c>
      <c r="W495" t="str">
        <f>IF(S495 &lt; VLOOKUP(E495, Locality_Tier_Benchmarks!A:B, 2, FALSE) * 0.7, "Below Tier Range", "Normal")</f>
        <v>Normal</v>
      </c>
      <c r="X495" t="str">
        <f t="shared" si="62"/>
        <v>Normal</v>
      </c>
      <c r="Y495" t="str">
        <f t="shared" si="63"/>
        <v>Normal</v>
      </c>
      <c r="Z495" t="str">
        <f t="shared" si="56"/>
        <v>Pass</v>
      </c>
    </row>
    <row r="496" spans="1:26" x14ac:dyDescent="0.25">
      <c r="A496" s="2" t="s">
        <v>898</v>
      </c>
      <c r="B496" t="s">
        <v>17</v>
      </c>
      <c r="C496" t="s">
        <v>461</v>
      </c>
      <c r="D496" s="2" t="str">
        <f>VLOOKUP(C496,Locality_Reference!A:C,2,)</f>
        <v>Western Line</v>
      </c>
      <c r="E496" s="2" t="str">
        <f>VLOOKUP(C496,Locality_Reference!A:C,3,)</f>
        <v>Premium/South</v>
      </c>
      <c r="F496" s="2" t="s">
        <v>1257</v>
      </c>
      <c r="G496" s="8">
        <v>235000</v>
      </c>
      <c r="H496">
        <v>3</v>
      </c>
      <c r="I496">
        <v>4</v>
      </c>
      <c r="J496">
        <v>7</v>
      </c>
      <c r="K496">
        <v>32</v>
      </c>
      <c r="L496">
        <v>1250</v>
      </c>
      <c r="M496" t="s">
        <v>33</v>
      </c>
      <c r="N496" t="s">
        <v>15</v>
      </c>
      <c r="O496" t="s">
        <v>16</v>
      </c>
      <c r="P496" t="s">
        <v>47</v>
      </c>
      <c r="Q496" t="str">
        <f t="shared" si="57"/>
        <v>1</v>
      </c>
      <c r="R496" s="5">
        <v>46202</v>
      </c>
      <c r="S496" s="8">
        <f t="shared" si="58"/>
        <v>188</v>
      </c>
      <c r="T496">
        <f t="shared" si="59"/>
        <v>2820000</v>
      </c>
      <c r="U496" t="str">
        <f t="shared" si="60"/>
        <v>Luxury</v>
      </c>
      <c r="V496" t="str">
        <f t="shared" si="61"/>
        <v>Spacious</v>
      </c>
      <c r="W496" t="str">
        <f>IF(S496 &lt; VLOOKUP(E496, Locality_Tier_Benchmarks!A:B, 2, FALSE) * 0.7, "Below Tier Range", "Normal")</f>
        <v>Normal</v>
      </c>
      <c r="X496" t="str">
        <f t="shared" si="62"/>
        <v>Normal</v>
      </c>
      <c r="Y496" t="str">
        <f t="shared" si="63"/>
        <v>Normal</v>
      </c>
      <c r="Z496" t="str">
        <f t="shared" si="56"/>
        <v>Pass</v>
      </c>
    </row>
    <row r="497" spans="1:26" x14ac:dyDescent="0.25">
      <c r="A497" s="2" t="s">
        <v>899</v>
      </c>
      <c r="B497" t="s">
        <v>17</v>
      </c>
      <c r="C497" t="s">
        <v>461</v>
      </c>
      <c r="D497" s="2" t="str">
        <f>VLOOKUP(C497,Locality_Reference!A:C,2,)</f>
        <v>Western Line</v>
      </c>
      <c r="E497" s="2" t="str">
        <f>VLOOKUP(C497,Locality_Reference!A:C,3,)</f>
        <v>Premium/South</v>
      </c>
      <c r="F497" s="2" t="s">
        <v>1258</v>
      </c>
      <c r="G497" s="8">
        <v>190000</v>
      </c>
      <c r="H497">
        <v>3</v>
      </c>
      <c r="I497">
        <v>3</v>
      </c>
      <c r="J497">
        <v>14</v>
      </c>
      <c r="K497">
        <v>17</v>
      </c>
      <c r="L497">
        <v>1300</v>
      </c>
      <c r="M497" t="s">
        <v>14</v>
      </c>
      <c r="N497" t="s">
        <v>29</v>
      </c>
      <c r="O497" t="s">
        <v>16</v>
      </c>
      <c r="P497" t="s">
        <v>34</v>
      </c>
      <c r="Q497" t="str">
        <f t="shared" si="57"/>
        <v/>
      </c>
      <c r="R497" s="5">
        <v>46142</v>
      </c>
      <c r="S497" s="8">
        <f t="shared" si="58"/>
        <v>146.15384615384616</v>
      </c>
      <c r="T497">
        <f t="shared" si="59"/>
        <v>2280000</v>
      </c>
      <c r="U497" t="str">
        <f t="shared" si="60"/>
        <v>Luxury</v>
      </c>
      <c r="V497" t="str">
        <f t="shared" si="61"/>
        <v>Spacious</v>
      </c>
      <c r="W497" t="str">
        <f>IF(S497 &lt; VLOOKUP(E497, Locality_Tier_Benchmarks!A:B, 2, FALSE) * 0.7, "Below Tier Range", "Normal")</f>
        <v>Normal</v>
      </c>
      <c r="X497" t="str">
        <f t="shared" si="62"/>
        <v>Normal</v>
      </c>
      <c r="Y497" t="str">
        <f t="shared" si="63"/>
        <v>Normal</v>
      </c>
      <c r="Z497" t="str">
        <f t="shared" si="56"/>
        <v>Pass</v>
      </c>
    </row>
    <row r="498" spans="1:26" x14ac:dyDescent="0.25">
      <c r="A498" s="2" t="s">
        <v>900</v>
      </c>
      <c r="B498" t="s">
        <v>17</v>
      </c>
      <c r="C498" t="s">
        <v>461</v>
      </c>
      <c r="D498" s="2" t="str">
        <f>VLOOKUP(C498,Locality_Reference!A:C,2,)</f>
        <v>Western Line</v>
      </c>
      <c r="E498" s="2" t="str">
        <f>VLOOKUP(C498,Locality_Reference!A:C,3,)</f>
        <v>Premium/South</v>
      </c>
      <c r="F498" s="2" t="s">
        <v>1259</v>
      </c>
      <c r="G498" s="8">
        <v>250000</v>
      </c>
      <c r="H498">
        <v>3</v>
      </c>
      <c r="I498">
        <v>3</v>
      </c>
      <c r="J498">
        <v>21</v>
      </c>
      <c r="K498">
        <v>39</v>
      </c>
      <c r="L498">
        <v>1150</v>
      </c>
      <c r="M498" t="s">
        <v>33</v>
      </c>
      <c r="N498" t="s">
        <v>15</v>
      </c>
      <c r="O498" t="s">
        <v>16</v>
      </c>
      <c r="P498" t="s">
        <v>31</v>
      </c>
      <c r="Q498" t="str">
        <f t="shared" si="57"/>
        <v>3</v>
      </c>
      <c r="R498" s="5">
        <v>46185</v>
      </c>
      <c r="S498" s="8">
        <f t="shared" si="58"/>
        <v>217.39130434782609</v>
      </c>
      <c r="T498">
        <f t="shared" si="59"/>
        <v>3000000</v>
      </c>
      <c r="U498" t="str">
        <f t="shared" si="60"/>
        <v>Luxury</v>
      </c>
      <c r="V498" t="str">
        <f t="shared" si="61"/>
        <v>Large</v>
      </c>
      <c r="W498" t="str">
        <f>IF(S498 &lt; VLOOKUP(E498, Locality_Tier_Benchmarks!A:B, 2, FALSE) * 0.7, "Below Tier Range", "Normal")</f>
        <v>Normal</v>
      </c>
      <c r="X498" t="str">
        <f t="shared" si="62"/>
        <v>Normal</v>
      </c>
      <c r="Y498" t="str">
        <f t="shared" si="63"/>
        <v>Normal</v>
      </c>
      <c r="Z498" t="str">
        <f t="shared" si="56"/>
        <v>Pass</v>
      </c>
    </row>
    <row r="499" spans="1:26" x14ac:dyDescent="0.25">
      <c r="A499" s="2" t="s">
        <v>901</v>
      </c>
      <c r="B499" t="s">
        <v>17</v>
      </c>
      <c r="C499" t="s">
        <v>460</v>
      </c>
      <c r="D499" s="2" t="str">
        <f>VLOOKUP(C499,Locality_Reference!A:C,2,)</f>
        <v>Western Line</v>
      </c>
      <c r="E499" s="2" t="str">
        <f>VLOOKUP(C499,Locality_Reference!A:C,3,)</f>
        <v>Premium/South</v>
      </c>
      <c r="F499" s="2" t="s">
        <v>1260</v>
      </c>
      <c r="G499" s="8">
        <v>60000</v>
      </c>
      <c r="H499">
        <v>1</v>
      </c>
      <c r="I499">
        <v>2</v>
      </c>
      <c r="J499">
        <v>8</v>
      </c>
      <c r="K499">
        <v>12</v>
      </c>
      <c r="L499">
        <v>415</v>
      </c>
      <c r="M499" t="s">
        <v>33</v>
      </c>
      <c r="N499" t="s">
        <v>29</v>
      </c>
      <c r="O499" t="s">
        <v>16</v>
      </c>
      <c r="P499" t="s">
        <v>34</v>
      </c>
      <c r="Q499" t="str">
        <f t="shared" si="57"/>
        <v/>
      </c>
      <c r="R499" s="5">
        <v>46199</v>
      </c>
      <c r="S499" s="8">
        <f t="shared" si="58"/>
        <v>144.57831325301206</v>
      </c>
      <c r="T499">
        <f t="shared" si="59"/>
        <v>720000</v>
      </c>
      <c r="U499" t="str">
        <f t="shared" si="60"/>
        <v>Mid</v>
      </c>
      <c r="V499" t="str">
        <f t="shared" si="61"/>
        <v>Compact</v>
      </c>
      <c r="W499" t="str">
        <f>IF(S499 &lt; VLOOKUP(E499, Locality_Tier_Benchmarks!A:B, 2, FALSE) * 0.7, "Below Tier Range", "Normal")</f>
        <v>Normal</v>
      </c>
      <c r="X499" t="str">
        <f t="shared" si="62"/>
        <v>Normal</v>
      </c>
      <c r="Y499" t="str">
        <f t="shared" si="63"/>
        <v>Normal</v>
      </c>
      <c r="Z499" t="str">
        <f t="shared" si="56"/>
        <v>Pass</v>
      </c>
    </row>
    <row r="500" spans="1:26" x14ac:dyDescent="0.25">
      <c r="A500" s="2" t="s">
        <v>902</v>
      </c>
      <c r="B500" t="s">
        <v>17</v>
      </c>
      <c r="C500" t="s">
        <v>460</v>
      </c>
      <c r="D500" s="2" t="str">
        <f>VLOOKUP(C500,Locality_Reference!A:C,2,)</f>
        <v>Western Line</v>
      </c>
      <c r="E500" s="2" t="str">
        <f>VLOOKUP(C500,Locality_Reference!A:C,3,)</f>
        <v>Premium/South</v>
      </c>
      <c r="F500" s="2" t="s">
        <v>1261</v>
      </c>
      <c r="G500" s="8">
        <v>85000</v>
      </c>
      <c r="H500">
        <v>1</v>
      </c>
      <c r="I500">
        <v>2</v>
      </c>
      <c r="J500">
        <v>2</v>
      </c>
      <c r="K500">
        <v>7</v>
      </c>
      <c r="L500">
        <v>550</v>
      </c>
      <c r="M500" t="s">
        <v>36</v>
      </c>
      <c r="N500" t="s">
        <v>29</v>
      </c>
      <c r="O500" t="s">
        <v>16</v>
      </c>
      <c r="P500" t="s">
        <v>23</v>
      </c>
      <c r="Q500" t="str">
        <f t="shared" si="57"/>
        <v>10</v>
      </c>
      <c r="R500" s="5">
        <v>46168</v>
      </c>
      <c r="S500" s="8">
        <f t="shared" si="58"/>
        <v>154.54545454545453</v>
      </c>
      <c r="T500">
        <f t="shared" si="59"/>
        <v>1020000</v>
      </c>
      <c r="U500" t="str">
        <f t="shared" si="60"/>
        <v>Premium</v>
      </c>
      <c r="V500" t="str">
        <f t="shared" si="61"/>
        <v>Medium</v>
      </c>
      <c r="W500" t="str">
        <f>IF(S500 &lt; VLOOKUP(E500, Locality_Tier_Benchmarks!A:B, 2, FALSE) * 0.7, "Below Tier Range", "Normal")</f>
        <v>Normal</v>
      </c>
      <c r="X500" t="str">
        <f t="shared" si="62"/>
        <v>Normal</v>
      </c>
      <c r="Y500" t="str">
        <f t="shared" si="63"/>
        <v>Normal</v>
      </c>
      <c r="Z500" t="str">
        <f t="shared" si="56"/>
        <v>Pass</v>
      </c>
    </row>
    <row r="501" spans="1:26" x14ac:dyDescent="0.25">
      <c r="A501" s="2" t="s">
        <v>903</v>
      </c>
      <c r="B501" t="s">
        <v>17</v>
      </c>
      <c r="C501" t="s">
        <v>460</v>
      </c>
      <c r="D501" s="2" t="str">
        <f>VLOOKUP(C501,Locality_Reference!A:C,2,)</f>
        <v>Western Line</v>
      </c>
      <c r="E501" s="2" t="str">
        <f>VLOOKUP(C501,Locality_Reference!A:C,3,)</f>
        <v>Premium/South</v>
      </c>
      <c r="F501" s="2" t="s">
        <v>1262</v>
      </c>
      <c r="G501" s="8">
        <v>85000</v>
      </c>
      <c r="H501">
        <v>1</v>
      </c>
      <c r="I501">
        <v>1</v>
      </c>
      <c r="J501">
        <v>10</v>
      </c>
      <c r="K501">
        <v>20</v>
      </c>
      <c r="L501">
        <v>470</v>
      </c>
      <c r="M501" t="s">
        <v>36</v>
      </c>
      <c r="N501" t="s">
        <v>15</v>
      </c>
      <c r="O501" t="s">
        <v>16</v>
      </c>
      <c r="P501" t="s">
        <v>31</v>
      </c>
      <c r="Q501" t="str">
        <f t="shared" si="57"/>
        <v>3</v>
      </c>
      <c r="R501" s="5">
        <v>46197</v>
      </c>
      <c r="S501" s="8">
        <f t="shared" si="58"/>
        <v>180.85106382978722</v>
      </c>
      <c r="T501">
        <f t="shared" si="59"/>
        <v>1020000</v>
      </c>
      <c r="U501" t="str">
        <f t="shared" si="60"/>
        <v>Premium</v>
      </c>
      <c r="V501" t="str">
        <f t="shared" si="61"/>
        <v>Compact</v>
      </c>
      <c r="W501" t="str">
        <f>IF(S501 &lt; VLOOKUP(E501, Locality_Tier_Benchmarks!A:B, 2, FALSE) * 0.7, "Below Tier Range", "Normal")</f>
        <v>Normal</v>
      </c>
      <c r="X501" t="str">
        <f t="shared" si="62"/>
        <v>Normal</v>
      </c>
      <c r="Y501" t="str">
        <f t="shared" si="63"/>
        <v>Normal</v>
      </c>
      <c r="Z501" t="str">
        <f t="shared" si="56"/>
        <v>Pass</v>
      </c>
    </row>
    <row r="502" spans="1:26" x14ac:dyDescent="0.25">
      <c r="A502" s="2" t="s">
        <v>904</v>
      </c>
      <c r="B502" t="s">
        <v>17</v>
      </c>
      <c r="C502" t="s">
        <v>460</v>
      </c>
      <c r="D502" s="2" t="str">
        <f>VLOOKUP(C502,Locality_Reference!A:C,2,)</f>
        <v>Western Line</v>
      </c>
      <c r="E502" s="2" t="str">
        <f>VLOOKUP(C502,Locality_Reference!A:C,3,)</f>
        <v>Premium/South</v>
      </c>
      <c r="F502" s="2" t="s">
        <v>1263</v>
      </c>
      <c r="G502" s="8">
        <v>70000</v>
      </c>
      <c r="H502">
        <v>1</v>
      </c>
      <c r="I502">
        <v>2</v>
      </c>
      <c r="J502">
        <v>10</v>
      </c>
      <c r="K502">
        <v>21</v>
      </c>
      <c r="L502">
        <v>410</v>
      </c>
      <c r="M502" t="s">
        <v>36</v>
      </c>
      <c r="N502" t="s">
        <v>29</v>
      </c>
      <c r="O502" t="s">
        <v>16</v>
      </c>
      <c r="P502" t="s">
        <v>34</v>
      </c>
      <c r="Q502" t="str">
        <f t="shared" si="57"/>
        <v/>
      </c>
      <c r="R502" s="5">
        <v>46197</v>
      </c>
      <c r="S502" s="8">
        <f t="shared" si="58"/>
        <v>170.73170731707316</v>
      </c>
      <c r="T502">
        <f t="shared" si="59"/>
        <v>840000</v>
      </c>
      <c r="U502" t="str">
        <f t="shared" si="60"/>
        <v>Premium</v>
      </c>
      <c r="V502" t="str">
        <f t="shared" si="61"/>
        <v>Compact</v>
      </c>
      <c r="W502" t="str">
        <f>IF(S502 &lt; VLOOKUP(E502, Locality_Tier_Benchmarks!A:B, 2, FALSE) * 0.7, "Below Tier Range", "Normal")</f>
        <v>Normal</v>
      </c>
      <c r="X502" t="str">
        <f t="shared" si="62"/>
        <v>Normal</v>
      </c>
      <c r="Y502" t="str">
        <f t="shared" si="63"/>
        <v>Normal</v>
      </c>
      <c r="Z502" t="str">
        <f t="shared" si="56"/>
        <v>Pass</v>
      </c>
    </row>
    <row r="503" spans="1:26" x14ac:dyDescent="0.25">
      <c r="A503" s="2" t="s">
        <v>905</v>
      </c>
      <c r="B503" t="s">
        <v>17</v>
      </c>
      <c r="C503" t="s">
        <v>460</v>
      </c>
      <c r="D503" s="2" t="str">
        <f>VLOOKUP(C503,Locality_Reference!A:C,2,)</f>
        <v>Western Line</v>
      </c>
      <c r="E503" s="2" t="str">
        <f>VLOOKUP(C503,Locality_Reference!A:C,3,)</f>
        <v>Premium/South</v>
      </c>
      <c r="F503" s="2" t="s">
        <v>1264</v>
      </c>
      <c r="G503" s="8">
        <v>60000</v>
      </c>
      <c r="H503">
        <v>1</v>
      </c>
      <c r="I503">
        <v>1</v>
      </c>
      <c r="J503">
        <v>0</v>
      </c>
      <c r="K503">
        <v>5</v>
      </c>
      <c r="L503">
        <v>425</v>
      </c>
      <c r="M503" t="s">
        <v>33</v>
      </c>
      <c r="N503" t="s">
        <v>29</v>
      </c>
      <c r="O503" t="s">
        <v>16</v>
      </c>
      <c r="P503" t="s">
        <v>23</v>
      </c>
      <c r="Q503" t="str">
        <f t="shared" si="57"/>
        <v>10</v>
      </c>
      <c r="R503" s="5">
        <v>46190</v>
      </c>
      <c r="S503" s="8">
        <f t="shared" si="58"/>
        <v>141.1764705882353</v>
      </c>
      <c r="T503">
        <f t="shared" si="59"/>
        <v>720000</v>
      </c>
      <c r="U503" t="str">
        <f t="shared" si="60"/>
        <v>Mid</v>
      </c>
      <c r="V503" t="str">
        <f t="shared" si="61"/>
        <v>Compact</v>
      </c>
      <c r="W503" t="str">
        <f>IF(S503 &lt; VLOOKUP(E503, Locality_Tier_Benchmarks!A:B, 2, FALSE) * 0.7, "Below Tier Range", "Normal")</f>
        <v>Normal</v>
      </c>
      <c r="X503" t="str">
        <f t="shared" si="62"/>
        <v>Normal</v>
      </c>
      <c r="Y503" t="str">
        <f t="shared" si="63"/>
        <v>Normal</v>
      </c>
      <c r="Z503" t="str">
        <f t="shared" si="56"/>
        <v>Pass</v>
      </c>
    </row>
    <row r="504" spans="1:26" x14ac:dyDescent="0.25">
      <c r="A504" s="2" t="s">
        <v>906</v>
      </c>
      <c r="B504" t="s">
        <v>17</v>
      </c>
      <c r="C504" t="s">
        <v>460</v>
      </c>
      <c r="D504" s="2" t="str">
        <f>VLOOKUP(C504,Locality_Reference!A:C,2,)</f>
        <v>Western Line</v>
      </c>
      <c r="E504" s="2" t="str">
        <f>VLOOKUP(C504,Locality_Reference!A:C,3,)</f>
        <v>Premium/South</v>
      </c>
      <c r="F504" s="2" t="s">
        <v>1265</v>
      </c>
      <c r="G504" s="8">
        <v>170000</v>
      </c>
      <c r="H504">
        <v>2</v>
      </c>
      <c r="I504">
        <v>2</v>
      </c>
      <c r="J504">
        <v>17</v>
      </c>
      <c r="K504">
        <v>22</v>
      </c>
      <c r="L504">
        <v>1100</v>
      </c>
      <c r="M504" t="s">
        <v>36</v>
      </c>
      <c r="N504" t="s">
        <v>29</v>
      </c>
      <c r="O504" t="s">
        <v>16</v>
      </c>
      <c r="P504" t="s">
        <v>47</v>
      </c>
      <c r="Q504" t="str">
        <f t="shared" si="57"/>
        <v>1</v>
      </c>
      <c r="R504" s="5">
        <v>46200</v>
      </c>
      <c r="S504" s="8">
        <f t="shared" si="58"/>
        <v>154.54545454545453</v>
      </c>
      <c r="T504">
        <f t="shared" si="59"/>
        <v>2040000</v>
      </c>
      <c r="U504" t="str">
        <f t="shared" si="60"/>
        <v>Luxury</v>
      </c>
      <c r="V504" t="str">
        <f t="shared" si="61"/>
        <v>Large</v>
      </c>
      <c r="W504" t="str">
        <f>IF(S504 &lt; VLOOKUP(E504, Locality_Tier_Benchmarks!A:B, 2, FALSE) * 0.7, "Below Tier Range", "Normal")</f>
        <v>Normal</v>
      </c>
      <c r="X504" t="str">
        <f t="shared" si="62"/>
        <v>Normal</v>
      </c>
      <c r="Y504" t="str">
        <f t="shared" si="63"/>
        <v>Normal</v>
      </c>
      <c r="Z504" t="str">
        <f t="shared" si="56"/>
        <v>Pass</v>
      </c>
    </row>
    <row r="505" spans="1:26" x14ac:dyDescent="0.25">
      <c r="A505" s="2" t="s">
        <v>907</v>
      </c>
      <c r="B505" t="s">
        <v>17</v>
      </c>
      <c r="C505" t="s">
        <v>460</v>
      </c>
      <c r="D505" s="2" t="str">
        <f>VLOOKUP(C505,Locality_Reference!A:C,2,)</f>
        <v>Western Line</v>
      </c>
      <c r="E505" s="2" t="str">
        <f>VLOOKUP(C505,Locality_Reference!A:C,3,)</f>
        <v>Premium/South</v>
      </c>
      <c r="F505" s="2" t="s">
        <v>1266</v>
      </c>
      <c r="G505" s="8">
        <v>85000</v>
      </c>
      <c r="H505">
        <v>2</v>
      </c>
      <c r="I505">
        <v>2</v>
      </c>
      <c r="J505">
        <v>5</v>
      </c>
      <c r="K505">
        <v>7</v>
      </c>
      <c r="L505">
        <v>625</v>
      </c>
      <c r="M505" t="s">
        <v>33</v>
      </c>
      <c r="N505" t="s">
        <v>15</v>
      </c>
      <c r="O505" t="s">
        <v>16</v>
      </c>
      <c r="P505" t="s">
        <v>23</v>
      </c>
      <c r="Q505" t="str">
        <f t="shared" si="57"/>
        <v>10</v>
      </c>
      <c r="R505" s="5">
        <v>46197</v>
      </c>
      <c r="S505" s="8">
        <f t="shared" si="58"/>
        <v>136</v>
      </c>
      <c r="T505">
        <f t="shared" si="59"/>
        <v>1020000</v>
      </c>
      <c r="U505" t="str">
        <f t="shared" si="60"/>
        <v>Premium</v>
      </c>
      <c r="V505" t="str">
        <f t="shared" si="61"/>
        <v>Medium</v>
      </c>
      <c r="W505" t="str">
        <f>IF(S505 &lt; VLOOKUP(E505, Locality_Tier_Benchmarks!A:B, 2, FALSE) * 0.7, "Below Tier Range", "Normal")</f>
        <v>Normal</v>
      </c>
      <c r="X505" t="str">
        <f t="shared" si="62"/>
        <v>Normal</v>
      </c>
      <c r="Y505" t="str">
        <f t="shared" si="63"/>
        <v>Normal</v>
      </c>
      <c r="Z505" t="str">
        <f t="shared" si="56"/>
        <v>Pass</v>
      </c>
    </row>
    <row r="506" spans="1:26" x14ac:dyDescent="0.25">
      <c r="A506" s="2" t="s">
        <v>908</v>
      </c>
      <c r="B506" t="s">
        <v>17</v>
      </c>
      <c r="C506" t="s">
        <v>460</v>
      </c>
      <c r="D506" s="2" t="str">
        <f>VLOOKUP(C506,Locality_Reference!A:C,2,)</f>
        <v>Western Line</v>
      </c>
      <c r="E506" s="2" t="str">
        <f>VLOOKUP(C506,Locality_Reference!A:C,3,)</f>
        <v>Premium/South</v>
      </c>
      <c r="F506" s="2" t="s">
        <v>1267</v>
      </c>
      <c r="G506" s="8">
        <v>110000</v>
      </c>
      <c r="H506">
        <v>2</v>
      </c>
      <c r="I506">
        <v>2</v>
      </c>
      <c r="J506">
        <v>10</v>
      </c>
      <c r="K506">
        <v>21</v>
      </c>
      <c r="L506">
        <v>702</v>
      </c>
      <c r="M506" t="s">
        <v>33</v>
      </c>
      <c r="N506" t="s">
        <v>15</v>
      </c>
      <c r="O506" t="s">
        <v>16</v>
      </c>
      <c r="P506" t="s">
        <v>34</v>
      </c>
      <c r="Q506" t="str">
        <f t="shared" si="57"/>
        <v/>
      </c>
      <c r="R506" s="5">
        <v>46150</v>
      </c>
      <c r="S506" s="8">
        <f t="shared" si="58"/>
        <v>156.6951566951567</v>
      </c>
      <c r="T506">
        <f t="shared" si="59"/>
        <v>1320000</v>
      </c>
      <c r="U506" t="str">
        <f t="shared" si="60"/>
        <v>Luxury</v>
      </c>
      <c r="V506" t="str">
        <f t="shared" si="61"/>
        <v>Medium</v>
      </c>
      <c r="W506" t="str">
        <f>IF(S506 &lt; VLOOKUP(E506, Locality_Tier_Benchmarks!A:B, 2, FALSE) * 0.7, "Below Tier Range", "Normal")</f>
        <v>Normal</v>
      </c>
      <c r="X506" t="str">
        <f t="shared" si="62"/>
        <v>Normal</v>
      </c>
      <c r="Y506" t="str">
        <f t="shared" si="63"/>
        <v>Normal</v>
      </c>
      <c r="Z506" t="str">
        <f t="shared" si="56"/>
        <v>Pass</v>
      </c>
    </row>
    <row r="507" spans="1:26" x14ac:dyDescent="0.25">
      <c r="A507" s="2" t="s">
        <v>909</v>
      </c>
      <c r="B507" t="s">
        <v>17</v>
      </c>
      <c r="C507" t="s">
        <v>460</v>
      </c>
      <c r="D507" s="2" t="str">
        <f>VLOOKUP(C507,Locality_Reference!A:C,2,)</f>
        <v>Western Line</v>
      </c>
      <c r="E507" s="2" t="str">
        <f>VLOOKUP(C507,Locality_Reference!A:C,3,)</f>
        <v>Premium/South</v>
      </c>
      <c r="F507" s="2" t="s">
        <v>1268</v>
      </c>
      <c r="G507" s="8">
        <v>130000</v>
      </c>
      <c r="H507">
        <v>2</v>
      </c>
      <c r="I507">
        <v>2</v>
      </c>
      <c r="J507">
        <v>10</v>
      </c>
      <c r="K507">
        <v>15</v>
      </c>
      <c r="L507">
        <v>746</v>
      </c>
      <c r="M507" t="s">
        <v>36</v>
      </c>
      <c r="N507" t="s">
        <v>29</v>
      </c>
      <c r="O507" t="s">
        <v>16</v>
      </c>
      <c r="P507" t="s">
        <v>34</v>
      </c>
      <c r="Q507" t="str">
        <f t="shared" si="57"/>
        <v/>
      </c>
      <c r="R507" s="5">
        <v>46199</v>
      </c>
      <c r="S507" s="8">
        <f t="shared" si="58"/>
        <v>174.26273458445041</v>
      </c>
      <c r="T507">
        <f t="shared" si="59"/>
        <v>1560000</v>
      </c>
      <c r="U507" t="str">
        <f t="shared" si="60"/>
        <v>Luxury</v>
      </c>
      <c r="V507" t="str">
        <f t="shared" si="61"/>
        <v>Medium</v>
      </c>
      <c r="W507" t="str">
        <f>IF(S507 &lt; VLOOKUP(E507, Locality_Tier_Benchmarks!A:B, 2, FALSE) * 0.7, "Below Tier Range", "Normal")</f>
        <v>Normal</v>
      </c>
      <c r="X507" t="str">
        <f t="shared" si="62"/>
        <v>Normal</v>
      </c>
      <c r="Y507" t="str">
        <f t="shared" si="63"/>
        <v>Normal</v>
      </c>
      <c r="Z507" t="str">
        <f t="shared" si="56"/>
        <v>Pass</v>
      </c>
    </row>
    <row r="508" spans="1:26" x14ac:dyDescent="0.25">
      <c r="A508" s="2" t="s">
        <v>910</v>
      </c>
      <c r="B508" t="s">
        <v>17</v>
      </c>
      <c r="C508" t="s">
        <v>460</v>
      </c>
      <c r="D508" s="2" t="str">
        <f>VLOOKUP(C508,Locality_Reference!A:C,2,)</f>
        <v>Western Line</v>
      </c>
      <c r="E508" s="2" t="str">
        <f>VLOOKUP(C508,Locality_Reference!A:C,3,)</f>
        <v>Premium/South</v>
      </c>
      <c r="F508" s="2" t="s">
        <v>1269</v>
      </c>
      <c r="G508" s="8">
        <v>125000</v>
      </c>
      <c r="H508">
        <v>2</v>
      </c>
      <c r="I508">
        <v>2</v>
      </c>
      <c r="J508">
        <v>2</v>
      </c>
      <c r="K508">
        <v>7</v>
      </c>
      <c r="L508">
        <v>800</v>
      </c>
      <c r="M508" t="s">
        <v>36</v>
      </c>
      <c r="N508" t="s">
        <v>29</v>
      </c>
      <c r="O508" t="s">
        <v>16</v>
      </c>
      <c r="P508" t="s">
        <v>34</v>
      </c>
      <c r="Q508" t="str">
        <f t="shared" si="57"/>
        <v/>
      </c>
      <c r="R508" s="5">
        <v>46193</v>
      </c>
      <c r="S508" s="8">
        <f t="shared" si="58"/>
        <v>156.25</v>
      </c>
      <c r="T508">
        <f t="shared" si="59"/>
        <v>1500000</v>
      </c>
      <c r="U508" t="str">
        <f t="shared" si="60"/>
        <v>Luxury</v>
      </c>
      <c r="V508" t="str">
        <f t="shared" si="61"/>
        <v>Medium</v>
      </c>
      <c r="W508" t="str">
        <f>IF(S508 &lt; VLOOKUP(E508, Locality_Tier_Benchmarks!A:B, 2, FALSE) * 0.7, "Below Tier Range", "Normal")</f>
        <v>Normal</v>
      </c>
      <c r="X508" t="str">
        <f t="shared" si="62"/>
        <v>Normal</v>
      </c>
      <c r="Y508" t="str">
        <f t="shared" si="63"/>
        <v>Normal</v>
      </c>
      <c r="Z508" t="str">
        <f t="shared" si="56"/>
        <v>Pass</v>
      </c>
    </row>
    <row r="509" spans="1:26" x14ac:dyDescent="0.25">
      <c r="A509" s="2" t="s">
        <v>911</v>
      </c>
      <c r="B509" t="s">
        <v>17</v>
      </c>
      <c r="C509" t="s">
        <v>460</v>
      </c>
      <c r="D509" s="2" t="str">
        <f>VLOOKUP(C509,Locality_Reference!A:C,2,)</f>
        <v>Western Line</v>
      </c>
      <c r="E509" s="2" t="str">
        <f>VLOOKUP(C509,Locality_Reference!A:C,3,)</f>
        <v>Premium/South</v>
      </c>
      <c r="F509" s="2" t="s">
        <v>1267</v>
      </c>
      <c r="G509" s="8">
        <v>175000</v>
      </c>
      <c r="H509">
        <v>3</v>
      </c>
      <c r="I509">
        <v>3</v>
      </c>
      <c r="J509">
        <v>9</v>
      </c>
      <c r="K509">
        <v>21</v>
      </c>
      <c r="L509">
        <v>1015</v>
      </c>
      <c r="M509" t="s">
        <v>33</v>
      </c>
      <c r="N509" t="s">
        <v>15</v>
      </c>
      <c r="O509" t="s">
        <v>16</v>
      </c>
      <c r="P509" t="s">
        <v>34</v>
      </c>
      <c r="Q509" t="str">
        <f t="shared" si="57"/>
        <v/>
      </c>
      <c r="R509" s="5">
        <v>46150</v>
      </c>
      <c r="S509" s="8">
        <f t="shared" si="58"/>
        <v>172.41379310344828</v>
      </c>
      <c r="T509">
        <f t="shared" si="59"/>
        <v>2100000</v>
      </c>
      <c r="U509" t="str">
        <f t="shared" si="60"/>
        <v>Luxury</v>
      </c>
      <c r="V509" t="str">
        <f t="shared" si="61"/>
        <v>Large</v>
      </c>
      <c r="W509" t="str">
        <f>IF(S509 &lt; VLOOKUP(E509, Locality_Tier_Benchmarks!A:B, 2, FALSE) * 0.7, "Below Tier Range", "Normal")</f>
        <v>Normal</v>
      </c>
      <c r="X509" t="str">
        <f t="shared" si="62"/>
        <v>Normal</v>
      </c>
      <c r="Y509" t="str">
        <f t="shared" si="63"/>
        <v>Normal</v>
      </c>
      <c r="Z509" t="str">
        <f t="shared" si="56"/>
        <v>Pass</v>
      </c>
    </row>
    <row r="510" spans="1:26" x14ac:dyDescent="0.25">
      <c r="A510" s="2" t="s">
        <v>912</v>
      </c>
      <c r="B510" t="s">
        <v>17</v>
      </c>
      <c r="C510" t="s">
        <v>460</v>
      </c>
      <c r="D510" s="2" t="str">
        <f>VLOOKUP(C510,Locality_Reference!A:C,2,)</f>
        <v>Western Line</v>
      </c>
      <c r="E510" s="2" t="str">
        <f>VLOOKUP(C510,Locality_Reference!A:C,3,)</f>
        <v>Premium/South</v>
      </c>
      <c r="F510" s="2" t="s">
        <v>1270</v>
      </c>
      <c r="G510" s="8">
        <v>350000</v>
      </c>
      <c r="H510">
        <v>3</v>
      </c>
      <c r="I510">
        <v>3</v>
      </c>
      <c r="J510">
        <v>22</v>
      </c>
      <c r="K510">
        <v>32</v>
      </c>
      <c r="L510">
        <v>1575</v>
      </c>
      <c r="M510" t="s">
        <v>36</v>
      </c>
      <c r="N510" t="s">
        <v>29</v>
      </c>
      <c r="O510" t="s">
        <v>16</v>
      </c>
      <c r="P510" t="s">
        <v>34</v>
      </c>
      <c r="Q510" t="str">
        <f t="shared" si="57"/>
        <v/>
      </c>
      <c r="R510" s="5">
        <v>46192</v>
      </c>
      <c r="S510" s="8">
        <f t="shared" si="58"/>
        <v>222.22222222222223</v>
      </c>
      <c r="T510">
        <f t="shared" si="59"/>
        <v>4200000</v>
      </c>
      <c r="U510" t="str">
        <f t="shared" si="60"/>
        <v>Luxury</v>
      </c>
      <c r="V510" t="str">
        <f t="shared" si="61"/>
        <v>Spacious</v>
      </c>
      <c r="W510" t="str">
        <f>IF(S510 &lt; VLOOKUP(E510, Locality_Tier_Benchmarks!A:B, 2, FALSE) * 0.7, "Below Tier Range", "Normal")</f>
        <v>Normal</v>
      </c>
      <c r="X510" t="str">
        <f t="shared" si="62"/>
        <v>Normal</v>
      </c>
      <c r="Y510" t="str">
        <f t="shared" si="63"/>
        <v>Normal</v>
      </c>
      <c r="Z510" t="str">
        <f t="shared" si="56"/>
        <v>Pass</v>
      </c>
    </row>
    <row r="511" spans="1:26" x14ac:dyDescent="0.25">
      <c r="A511" s="2" t="s">
        <v>913</v>
      </c>
      <c r="B511" t="s">
        <v>17</v>
      </c>
      <c r="C511" t="s">
        <v>460</v>
      </c>
      <c r="D511" s="2" t="str">
        <f>VLOOKUP(C511,Locality_Reference!A:C,2,)</f>
        <v>Western Line</v>
      </c>
      <c r="E511" s="2" t="str">
        <f>VLOOKUP(C511,Locality_Reference!A:C,3,)</f>
        <v>Premium/South</v>
      </c>
      <c r="F511" s="2" t="s">
        <v>1271</v>
      </c>
      <c r="G511" s="8">
        <v>190000</v>
      </c>
      <c r="H511">
        <v>3</v>
      </c>
      <c r="I511">
        <v>3</v>
      </c>
      <c r="J511">
        <v>29</v>
      </c>
      <c r="K511">
        <v>46</v>
      </c>
      <c r="L511">
        <v>970</v>
      </c>
      <c r="M511" t="s">
        <v>36</v>
      </c>
      <c r="N511" t="s">
        <v>15</v>
      </c>
      <c r="O511" t="s">
        <v>16</v>
      </c>
      <c r="P511" t="s">
        <v>47</v>
      </c>
      <c r="Q511" t="str">
        <f t="shared" si="57"/>
        <v>1</v>
      </c>
      <c r="R511" s="5">
        <v>46143</v>
      </c>
      <c r="S511" s="8">
        <f t="shared" si="58"/>
        <v>195.8762886597938</v>
      </c>
      <c r="T511">
        <f t="shared" si="59"/>
        <v>2280000</v>
      </c>
      <c r="U511" t="str">
        <f t="shared" si="60"/>
        <v>Luxury</v>
      </c>
      <c r="V511" t="str">
        <f t="shared" si="61"/>
        <v>Large</v>
      </c>
      <c r="W511" t="str">
        <f>IF(S511 &lt; VLOOKUP(E511, Locality_Tier_Benchmarks!A:B, 2, FALSE) * 0.7, "Below Tier Range", "Normal")</f>
        <v>Normal</v>
      </c>
      <c r="X511" t="str">
        <f t="shared" si="62"/>
        <v>Normal</v>
      </c>
      <c r="Y511" t="str">
        <f t="shared" si="63"/>
        <v>Normal</v>
      </c>
      <c r="Z511" t="str">
        <f t="shared" si="56"/>
        <v>Pass</v>
      </c>
    </row>
    <row r="512" spans="1:26" x14ac:dyDescent="0.25">
      <c r="A512" s="2" t="s">
        <v>914</v>
      </c>
      <c r="B512" t="s">
        <v>17</v>
      </c>
      <c r="C512" t="s">
        <v>460</v>
      </c>
      <c r="D512" s="2" t="str">
        <f>VLOOKUP(C512,Locality_Reference!A:C,2,)</f>
        <v>Western Line</v>
      </c>
      <c r="E512" s="2" t="str">
        <f>VLOOKUP(C512,Locality_Reference!A:C,3,)</f>
        <v>Premium/South</v>
      </c>
      <c r="F512" s="2" t="s">
        <v>1272</v>
      </c>
      <c r="G512" s="8">
        <v>190000</v>
      </c>
      <c r="H512">
        <v>3</v>
      </c>
      <c r="I512">
        <v>3</v>
      </c>
      <c r="J512">
        <v>7</v>
      </c>
      <c r="K512">
        <v>8</v>
      </c>
      <c r="L512">
        <v>1325</v>
      </c>
      <c r="M512" t="s">
        <v>14</v>
      </c>
      <c r="N512" t="s">
        <v>29</v>
      </c>
      <c r="O512" t="s">
        <v>16</v>
      </c>
      <c r="P512" t="s">
        <v>52</v>
      </c>
      <c r="Q512" t="str">
        <f t="shared" si="57"/>
        <v>7.5</v>
      </c>
      <c r="R512" s="5">
        <v>46184</v>
      </c>
      <c r="S512" s="8">
        <f t="shared" si="58"/>
        <v>143.39622641509433</v>
      </c>
      <c r="T512">
        <f t="shared" si="59"/>
        <v>2280000</v>
      </c>
      <c r="U512" t="str">
        <f t="shared" si="60"/>
        <v>Luxury</v>
      </c>
      <c r="V512" t="str">
        <f t="shared" si="61"/>
        <v>Spacious</v>
      </c>
      <c r="W512" t="str">
        <f>IF(S512 &lt; VLOOKUP(E512, Locality_Tier_Benchmarks!A:B, 2, FALSE) * 0.7, "Below Tier Range", "Normal")</f>
        <v>Normal</v>
      </c>
      <c r="X512" t="str">
        <f t="shared" si="62"/>
        <v>Normal</v>
      </c>
      <c r="Y512" t="str">
        <f t="shared" si="63"/>
        <v>Normal</v>
      </c>
      <c r="Z512" t="str">
        <f t="shared" si="56"/>
        <v>Pass</v>
      </c>
    </row>
    <row r="513" spans="1:26" x14ac:dyDescent="0.25">
      <c r="A513" s="2" t="s">
        <v>915</v>
      </c>
      <c r="B513" t="s">
        <v>17</v>
      </c>
      <c r="C513" t="s">
        <v>460</v>
      </c>
      <c r="D513" s="2" t="str">
        <f>VLOOKUP(C513,Locality_Reference!A:C,2,)</f>
        <v>Western Line</v>
      </c>
      <c r="E513" s="2" t="str">
        <f>VLOOKUP(C513,Locality_Reference!A:C,3,)</f>
        <v>Premium/South</v>
      </c>
      <c r="F513" s="2" t="s">
        <v>1273</v>
      </c>
      <c r="G513" s="8">
        <v>235000</v>
      </c>
      <c r="H513">
        <v>3</v>
      </c>
      <c r="I513">
        <v>3</v>
      </c>
      <c r="J513">
        <v>10</v>
      </c>
      <c r="K513">
        <v>22</v>
      </c>
      <c r="L513">
        <v>1150</v>
      </c>
      <c r="M513" t="s">
        <v>36</v>
      </c>
      <c r="N513" t="s">
        <v>15</v>
      </c>
      <c r="O513" t="s">
        <v>16</v>
      </c>
      <c r="P513" t="s">
        <v>47</v>
      </c>
      <c r="Q513" t="str">
        <f t="shared" si="57"/>
        <v>1</v>
      </c>
      <c r="R513" s="5">
        <v>46170</v>
      </c>
      <c r="S513" s="8">
        <f t="shared" si="58"/>
        <v>204.34782608695653</v>
      </c>
      <c r="T513">
        <f t="shared" si="59"/>
        <v>2820000</v>
      </c>
      <c r="U513" t="str">
        <f t="shared" si="60"/>
        <v>Luxury</v>
      </c>
      <c r="V513" t="str">
        <f t="shared" si="61"/>
        <v>Large</v>
      </c>
      <c r="W513" t="str">
        <f>IF(S513 &lt; VLOOKUP(E513, Locality_Tier_Benchmarks!A:B, 2, FALSE) * 0.7, "Below Tier Range", "Normal")</f>
        <v>Normal</v>
      </c>
      <c r="X513" t="str">
        <f t="shared" si="62"/>
        <v>Normal</v>
      </c>
      <c r="Y513" t="str">
        <f t="shared" si="63"/>
        <v>Normal</v>
      </c>
      <c r="Z513" t="str">
        <f t="shared" si="56"/>
        <v>Pass</v>
      </c>
    </row>
    <row r="514" spans="1:26" x14ac:dyDescent="0.25">
      <c r="A514" s="2" t="s">
        <v>916</v>
      </c>
      <c r="B514" t="s">
        <v>17</v>
      </c>
      <c r="C514" t="s">
        <v>489</v>
      </c>
      <c r="D514" s="2" t="str">
        <f>VLOOKUP(C514,Locality_Reference!A:C,2,)</f>
        <v>Western Line</v>
      </c>
      <c r="E514" s="2" t="str">
        <f>VLOOKUP(C514,Locality_Reference!A:C,3,)</f>
        <v>Premium/South</v>
      </c>
      <c r="F514" s="2" t="s">
        <v>1274</v>
      </c>
      <c r="G514" s="8">
        <v>77000</v>
      </c>
      <c r="H514">
        <v>1</v>
      </c>
      <c r="I514">
        <v>2</v>
      </c>
      <c r="J514">
        <v>7</v>
      </c>
      <c r="K514">
        <v>9</v>
      </c>
      <c r="L514">
        <v>475</v>
      </c>
      <c r="M514" t="s">
        <v>36</v>
      </c>
      <c r="N514" t="s">
        <v>15</v>
      </c>
      <c r="O514" t="s">
        <v>16</v>
      </c>
      <c r="P514" t="s">
        <v>34</v>
      </c>
      <c r="Q514" t="str">
        <f t="shared" si="57"/>
        <v/>
      </c>
      <c r="R514" s="5">
        <v>46195</v>
      </c>
      <c r="S514" s="8">
        <f t="shared" si="58"/>
        <v>162.10526315789474</v>
      </c>
      <c r="T514">
        <f t="shared" si="59"/>
        <v>924000</v>
      </c>
      <c r="U514" t="str">
        <f t="shared" si="60"/>
        <v>Premium</v>
      </c>
      <c r="V514" t="str">
        <f t="shared" si="61"/>
        <v>Compact</v>
      </c>
      <c r="W514" t="str">
        <f>IF(S514 &lt; VLOOKUP(E514, Locality_Tier_Benchmarks!A:B, 2, FALSE) * 0.7, "Below Tier Range", "Normal")</f>
        <v>Normal</v>
      </c>
      <c r="X514" t="str">
        <f t="shared" si="62"/>
        <v>Normal</v>
      </c>
      <c r="Y514" t="str">
        <f t="shared" si="63"/>
        <v>Normal</v>
      </c>
      <c r="Z514" t="str">
        <f t="shared" ref="Z514:Z577" si="64">IF(OR(W514&lt;&gt;"Normal",X514&lt;&gt;"Normal",Y514&lt;&gt;"Normal"),"Review","Pass")</f>
        <v>Pass</v>
      </c>
    </row>
    <row r="515" spans="1:26" x14ac:dyDescent="0.25">
      <c r="A515" s="2" t="s">
        <v>917</v>
      </c>
      <c r="B515" t="s">
        <v>17</v>
      </c>
      <c r="C515" t="s">
        <v>489</v>
      </c>
      <c r="D515" s="2" t="str">
        <f>VLOOKUP(C515,Locality_Reference!A:C,2,)</f>
        <v>Western Line</v>
      </c>
      <c r="E515" s="2" t="str">
        <f>VLOOKUP(C515,Locality_Reference!A:C,3,)</f>
        <v>Premium/South</v>
      </c>
      <c r="F515" s="2" t="s">
        <v>1275</v>
      </c>
      <c r="G515" s="8">
        <v>65000</v>
      </c>
      <c r="H515">
        <v>1</v>
      </c>
      <c r="I515">
        <v>2</v>
      </c>
      <c r="J515">
        <v>9</v>
      </c>
      <c r="K515">
        <v>21</v>
      </c>
      <c r="L515">
        <v>500</v>
      </c>
      <c r="M515" t="s">
        <v>14</v>
      </c>
      <c r="N515" t="s">
        <v>15</v>
      </c>
      <c r="O515" t="s">
        <v>16</v>
      </c>
      <c r="P515" t="s">
        <v>47</v>
      </c>
      <c r="Q515" t="str">
        <f t="shared" ref="Q515:Q578" si="65">IF(P515="20+ Years","20",IF(P515="15-20 Years","17.5",IF(P515="10+ Years","10",IF(P515="5-10 Years","7.5",IF(P515="1-5 Years","3",IF(P515="0-1 Year","1",""))))))</f>
        <v>1</v>
      </c>
      <c r="R515" s="5">
        <v>46198</v>
      </c>
      <c r="S515" s="8">
        <f t="shared" ref="S515:S578" si="66">G515/L515</f>
        <v>130</v>
      </c>
      <c r="T515">
        <f t="shared" ref="T515:T578" si="67">G515*12</f>
        <v>780000</v>
      </c>
      <c r="U515" t="str">
        <f t="shared" ref="U515:U578" si="68">IF(G515&lt;=30000,"Budget",IF(G515&lt;=60000,"Mid",IF(G515&lt;=100000,"Premium","Luxury")))</f>
        <v>Premium</v>
      </c>
      <c r="V515" t="str">
        <f t="shared" ref="V515:V578" si="69">IF(L515&lt;=500,"Compact",IF(L515&lt;=800,"Medium",IF(L515&lt;=1200,"Large","Spacious")))</f>
        <v>Compact</v>
      </c>
      <c r="W515" t="str">
        <f>IF(S515 &lt; VLOOKUP(E515, Locality_Tier_Benchmarks!A:B, 2, FALSE) * 0.7, "Below Tier Range", "Normal")</f>
        <v>Normal</v>
      </c>
      <c r="X515" t="str">
        <f t="shared" ref="X515:X578" si="70">IF(G515&lt;7000,"Below Absolute Floor","Normal")</f>
        <v>Normal</v>
      </c>
      <c r="Y515" t="str">
        <f t="shared" ref="Y515:Y578" si="71">IF(S515&gt;500,"Possible Typo - Check Zero","Normal")</f>
        <v>Normal</v>
      </c>
      <c r="Z515" t="str">
        <f t="shared" si="64"/>
        <v>Pass</v>
      </c>
    </row>
    <row r="516" spans="1:26" x14ac:dyDescent="0.25">
      <c r="A516" s="2" t="s">
        <v>918</v>
      </c>
      <c r="B516" t="s">
        <v>17</v>
      </c>
      <c r="C516" t="s">
        <v>489</v>
      </c>
      <c r="D516" s="2" t="str">
        <f>VLOOKUP(C516,Locality_Reference!A:C,2,)</f>
        <v>Western Line</v>
      </c>
      <c r="E516" s="2" t="str">
        <f>VLOOKUP(C516,Locality_Reference!A:C,3,)</f>
        <v>Premium/South</v>
      </c>
      <c r="F516" s="2" t="s">
        <v>1276</v>
      </c>
      <c r="G516" s="8">
        <v>60000</v>
      </c>
      <c r="H516">
        <v>1</v>
      </c>
      <c r="I516">
        <v>2</v>
      </c>
      <c r="J516">
        <v>15</v>
      </c>
      <c r="K516">
        <v>21</v>
      </c>
      <c r="L516">
        <v>550</v>
      </c>
      <c r="M516" t="s">
        <v>36</v>
      </c>
      <c r="N516" t="s">
        <v>29</v>
      </c>
      <c r="O516" t="s">
        <v>16</v>
      </c>
      <c r="P516" t="s">
        <v>31</v>
      </c>
      <c r="Q516" t="str">
        <f t="shared" si="65"/>
        <v>3</v>
      </c>
      <c r="R516" s="5">
        <v>46201</v>
      </c>
      <c r="S516" s="8">
        <f t="shared" si="66"/>
        <v>109.09090909090909</v>
      </c>
      <c r="T516">
        <f t="shared" si="67"/>
        <v>720000</v>
      </c>
      <c r="U516" t="str">
        <f t="shared" si="68"/>
        <v>Mid</v>
      </c>
      <c r="V516" t="str">
        <f t="shared" si="69"/>
        <v>Medium</v>
      </c>
      <c r="W516" t="str">
        <f>IF(S516 &lt; VLOOKUP(E516, Locality_Tier_Benchmarks!A:B, 2, FALSE) * 0.7, "Below Tier Range", "Normal")</f>
        <v>Normal</v>
      </c>
      <c r="X516" t="str">
        <f t="shared" si="70"/>
        <v>Normal</v>
      </c>
      <c r="Y516" t="str">
        <f t="shared" si="71"/>
        <v>Normal</v>
      </c>
      <c r="Z516" t="str">
        <f t="shared" si="64"/>
        <v>Pass</v>
      </c>
    </row>
    <row r="517" spans="1:26" x14ac:dyDescent="0.25">
      <c r="A517" s="2" t="s">
        <v>919</v>
      </c>
      <c r="B517" t="s">
        <v>17</v>
      </c>
      <c r="C517" t="s">
        <v>489</v>
      </c>
      <c r="D517" s="2" t="str">
        <f>VLOOKUP(C517,Locality_Reference!A:C,2,)</f>
        <v>Western Line</v>
      </c>
      <c r="E517" s="2" t="str">
        <f>VLOOKUP(C517,Locality_Reference!A:C,3,)</f>
        <v>Premium/South</v>
      </c>
      <c r="F517" s="2" t="s">
        <v>1277</v>
      </c>
      <c r="G517" s="8">
        <v>65000</v>
      </c>
      <c r="H517">
        <v>1</v>
      </c>
      <c r="I517">
        <v>2</v>
      </c>
      <c r="J517">
        <v>9</v>
      </c>
      <c r="K517">
        <v>16</v>
      </c>
      <c r="L517">
        <v>505</v>
      </c>
      <c r="M517" t="s">
        <v>33</v>
      </c>
      <c r="N517" t="s">
        <v>15</v>
      </c>
      <c r="O517" t="s">
        <v>16</v>
      </c>
      <c r="P517" t="s">
        <v>47</v>
      </c>
      <c r="Q517" t="str">
        <f t="shared" si="65"/>
        <v>1</v>
      </c>
      <c r="R517" s="5">
        <v>46194</v>
      </c>
      <c r="S517" s="8">
        <f t="shared" si="66"/>
        <v>128.71287128712871</v>
      </c>
      <c r="T517">
        <f t="shared" si="67"/>
        <v>780000</v>
      </c>
      <c r="U517" t="str">
        <f t="shared" si="68"/>
        <v>Premium</v>
      </c>
      <c r="V517" t="str">
        <f t="shared" si="69"/>
        <v>Medium</v>
      </c>
      <c r="W517" t="str">
        <f>IF(S517 &lt; VLOOKUP(E517, Locality_Tier_Benchmarks!A:B, 2, FALSE) * 0.7, "Below Tier Range", "Normal")</f>
        <v>Normal</v>
      </c>
      <c r="X517" t="str">
        <f t="shared" si="70"/>
        <v>Normal</v>
      </c>
      <c r="Y517" t="str">
        <f t="shared" si="71"/>
        <v>Normal</v>
      </c>
      <c r="Z517" t="str">
        <f t="shared" si="64"/>
        <v>Pass</v>
      </c>
    </row>
    <row r="518" spans="1:26" x14ac:dyDescent="0.25">
      <c r="A518" s="2" t="s">
        <v>920</v>
      </c>
      <c r="B518" t="s">
        <v>17</v>
      </c>
      <c r="C518" t="s">
        <v>489</v>
      </c>
      <c r="D518" s="2" t="str">
        <f>VLOOKUP(C518,Locality_Reference!A:C,2,)</f>
        <v>Western Line</v>
      </c>
      <c r="E518" s="2" t="str">
        <f>VLOOKUP(C518,Locality_Reference!A:C,3,)</f>
        <v>Premium/South</v>
      </c>
      <c r="F518" s="2" t="s">
        <v>1278</v>
      </c>
      <c r="G518" s="8">
        <v>65000</v>
      </c>
      <c r="H518">
        <v>1</v>
      </c>
      <c r="I518">
        <v>1</v>
      </c>
      <c r="J518">
        <v>9</v>
      </c>
      <c r="K518">
        <v>18</v>
      </c>
      <c r="L518">
        <v>425</v>
      </c>
      <c r="M518" t="s">
        <v>33</v>
      </c>
      <c r="N518" t="s">
        <v>29</v>
      </c>
      <c r="O518" t="s">
        <v>16</v>
      </c>
      <c r="P518" t="s">
        <v>47</v>
      </c>
      <c r="Q518" t="str">
        <f t="shared" si="65"/>
        <v>1</v>
      </c>
      <c r="R518" s="5">
        <v>46199</v>
      </c>
      <c r="S518" s="8">
        <f t="shared" si="66"/>
        <v>152.94117647058823</v>
      </c>
      <c r="T518">
        <f t="shared" si="67"/>
        <v>780000</v>
      </c>
      <c r="U518" t="str">
        <f t="shared" si="68"/>
        <v>Premium</v>
      </c>
      <c r="V518" t="str">
        <f t="shared" si="69"/>
        <v>Compact</v>
      </c>
      <c r="W518" t="str">
        <f>IF(S518 &lt; VLOOKUP(E518, Locality_Tier_Benchmarks!A:B, 2, FALSE) * 0.7, "Below Tier Range", "Normal")</f>
        <v>Normal</v>
      </c>
      <c r="X518" t="str">
        <f t="shared" si="70"/>
        <v>Normal</v>
      </c>
      <c r="Y518" t="str">
        <f t="shared" si="71"/>
        <v>Normal</v>
      </c>
      <c r="Z518" t="str">
        <f t="shared" si="64"/>
        <v>Pass</v>
      </c>
    </row>
    <row r="519" spans="1:26" x14ac:dyDescent="0.25">
      <c r="A519" s="2" t="s">
        <v>921</v>
      </c>
      <c r="B519" t="s">
        <v>17</v>
      </c>
      <c r="C519" t="s">
        <v>489</v>
      </c>
      <c r="D519" s="2" t="str">
        <f>VLOOKUP(C519,Locality_Reference!A:C,2,)</f>
        <v>Western Line</v>
      </c>
      <c r="E519" s="2" t="str">
        <f>VLOOKUP(C519,Locality_Reference!A:C,3,)</f>
        <v>Premium/South</v>
      </c>
      <c r="F519" s="2" t="s">
        <v>1279</v>
      </c>
      <c r="G519" s="8">
        <v>60000</v>
      </c>
      <c r="H519">
        <v>2</v>
      </c>
      <c r="I519">
        <v>2</v>
      </c>
      <c r="J519">
        <v>4</v>
      </c>
      <c r="K519">
        <v>23</v>
      </c>
      <c r="L519">
        <v>600</v>
      </c>
      <c r="M519" t="s">
        <v>36</v>
      </c>
      <c r="N519" t="s">
        <v>29</v>
      </c>
      <c r="O519" t="s">
        <v>16</v>
      </c>
      <c r="P519" t="s">
        <v>34</v>
      </c>
      <c r="Q519" t="str">
        <f t="shared" si="65"/>
        <v/>
      </c>
      <c r="R519" s="5">
        <v>46200</v>
      </c>
      <c r="S519" s="8">
        <f t="shared" si="66"/>
        <v>100</v>
      </c>
      <c r="T519">
        <f t="shared" si="67"/>
        <v>720000</v>
      </c>
      <c r="U519" t="str">
        <f t="shared" si="68"/>
        <v>Mid</v>
      </c>
      <c r="V519" t="str">
        <f t="shared" si="69"/>
        <v>Medium</v>
      </c>
      <c r="W519" t="str">
        <f>IF(S519 &lt; VLOOKUP(E519, Locality_Tier_Benchmarks!A:B, 2, FALSE) * 0.7, "Below Tier Range", "Normal")</f>
        <v>Normal</v>
      </c>
      <c r="X519" t="str">
        <f t="shared" si="70"/>
        <v>Normal</v>
      </c>
      <c r="Y519" t="str">
        <f t="shared" si="71"/>
        <v>Normal</v>
      </c>
      <c r="Z519" t="str">
        <f t="shared" si="64"/>
        <v>Pass</v>
      </c>
    </row>
    <row r="520" spans="1:26" x14ac:dyDescent="0.25">
      <c r="A520" s="2" t="s">
        <v>922</v>
      </c>
      <c r="B520" t="s">
        <v>17</v>
      </c>
      <c r="C520" t="s">
        <v>489</v>
      </c>
      <c r="D520" s="2" t="str">
        <f>VLOOKUP(C520,Locality_Reference!A:C,2,)</f>
        <v>Western Line</v>
      </c>
      <c r="E520" s="2" t="str">
        <f>VLOOKUP(C520,Locality_Reference!A:C,3,)</f>
        <v>Premium/South</v>
      </c>
      <c r="F520" s="2" t="s">
        <v>1280</v>
      </c>
      <c r="G520" s="8">
        <v>85000</v>
      </c>
      <c r="H520">
        <v>2</v>
      </c>
      <c r="I520">
        <v>2</v>
      </c>
      <c r="J520">
        <v>10</v>
      </c>
      <c r="K520">
        <v>25</v>
      </c>
      <c r="L520">
        <v>750</v>
      </c>
      <c r="M520" t="s">
        <v>33</v>
      </c>
      <c r="N520" t="s">
        <v>29</v>
      </c>
      <c r="O520" t="s">
        <v>16</v>
      </c>
      <c r="P520" t="s">
        <v>34</v>
      </c>
      <c r="Q520" t="str">
        <f t="shared" si="65"/>
        <v/>
      </c>
      <c r="R520" s="5">
        <v>46188</v>
      </c>
      <c r="S520" s="8">
        <f t="shared" si="66"/>
        <v>113.33333333333333</v>
      </c>
      <c r="T520">
        <f t="shared" si="67"/>
        <v>1020000</v>
      </c>
      <c r="U520" t="str">
        <f t="shared" si="68"/>
        <v>Premium</v>
      </c>
      <c r="V520" t="str">
        <f t="shared" si="69"/>
        <v>Medium</v>
      </c>
      <c r="W520" t="str">
        <f>IF(S520 &lt; VLOOKUP(E520, Locality_Tier_Benchmarks!A:B, 2, FALSE) * 0.7, "Below Tier Range", "Normal")</f>
        <v>Normal</v>
      </c>
      <c r="X520" t="str">
        <f t="shared" si="70"/>
        <v>Normal</v>
      </c>
      <c r="Y520" t="str">
        <f t="shared" si="71"/>
        <v>Normal</v>
      </c>
      <c r="Z520" t="str">
        <f t="shared" si="64"/>
        <v>Pass</v>
      </c>
    </row>
    <row r="521" spans="1:26" x14ac:dyDescent="0.25">
      <c r="A521" s="2" t="s">
        <v>923</v>
      </c>
      <c r="B521" t="s">
        <v>17</v>
      </c>
      <c r="C521" t="s">
        <v>489</v>
      </c>
      <c r="D521" s="2" t="str">
        <f>VLOOKUP(C521,Locality_Reference!A:C,2,)</f>
        <v>Western Line</v>
      </c>
      <c r="E521" s="2" t="str">
        <f>VLOOKUP(C521,Locality_Reference!A:C,3,)</f>
        <v>Premium/South</v>
      </c>
      <c r="F521" s="2" t="s">
        <v>1278</v>
      </c>
      <c r="G521" s="8">
        <v>85000</v>
      </c>
      <c r="H521">
        <v>2</v>
      </c>
      <c r="I521">
        <v>2</v>
      </c>
      <c r="J521">
        <v>9</v>
      </c>
      <c r="K521">
        <v>17</v>
      </c>
      <c r="L521">
        <v>600</v>
      </c>
      <c r="M521" t="s">
        <v>33</v>
      </c>
      <c r="N521" t="s">
        <v>15</v>
      </c>
      <c r="O521" t="s">
        <v>16</v>
      </c>
      <c r="P521" t="s">
        <v>34</v>
      </c>
      <c r="Q521" t="str">
        <f t="shared" si="65"/>
        <v/>
      </c>
      <c r="R521" s="5">
        <v>46199</v>
      </c>
      <c r="S521" s="8">
        <f t="shared" si="66"/>
        <v>141.66666666666666</v>
      </c>
      <c r="T521">
        <f t="shared" si="67"/>
        <v>1020000</v>
      </c>
      <c r="U521" t="str">
        <f t="shared" si="68"/>
        <v>Premium</v>
      </c>
      <c r="V521" t="str">
        <f t="shared" si="69"/>
        <v>Medium</v>
      </c>
      <c r="W521" t="str">
        <f>IF(S521 &lt; VLOOKUP(E521, Locality_Tier_Benchmarks!A:B, 2, FALSE) * 0.7, "Below Tier Range", "Normal")</f>
        <v>Normal</v>
      </c>
      <c r="X521" t="str">
        <f t="shared" si="70"/>
        <v>Normal</v>
      </c>
      <c r="Y521" t="str">
        <f t="shared" si="71"/>
        <v>Normal</v>
      </c>
      <c r="Z521" t="str">
        <f t="shared" si="64"/>
        <v>Pass</v>
      </c>
    </row>
    <row r="522" spans="1:26" x14ac:dyDescent="0.25">
      <c r="A522" s="2" t="s">
        <v>924</v>
      </c>
      <c r="B522" t="s">
        <v>17</v>
      </c>
      <c r="C522" t="s">
        <v>489</v>
      </c>
      <c r="D522" s="2" t="str">
        <f>VLOOKUP(C522,Locality_Reference!A:C,2,)</f>
        <v>Western Line</v>
      </c>
      <c r="E522" s="2" t="str">
        <f>VLOOKUP(C522,Locality_Reference!A:C,3,)</f>
        <v>Premium/South</v>
      </c>
      <c r="F522" s="2" t="s">
        <v>1281</v>
      </c>
      <c r="G522" s="8">
        <v>85000</v>
      </c>
      <c r="H522">
        <v>2</v>
      </c>
      <c r="I522">
        <v>2</v>
      </c>
      <c r="J522">
        <v>8</v>
      </c>
      <c r="K522">
        <v>9</v>
      </c>
      <c r="L522">
        <v>720</v>
      </c>
      <c r="M522" t="s">
        <v>33</v>
      </c>
      <c r="N522" t="s">
        <v>29</v>
      </c>
      <c r="O522" t="s">
        <v>16</v>
      </c>
      <c r="P522" t="s">
        <v>23</v>
      </c>
      <c r="Q522" t="str">
        <f t="shared" si="65"/>
        <v>10</v>
      </c>
      <c r="R522" s="5">
        <v>46171</v>
      </c>
      <c r="S522" s="8">
        <f t="shared" si="66"/>
        <v>118.05555555555556</v>
      </c>
      <c r="T522">
        <f t="shared" si="67"/>
        <v>1020000</v>
      </c>
      <c r="U522" t="str">
        <f t="shared" si="68"/>
        <v>Premium</v>
      </c>
      <c r="V522" t="str">
        <f t="shared" si="69"/>
        <v>Medium</v>
      </c>
      <c r="W522" t="str">
        <f>IF(S522 &lt; VLOOKUP(E522, Locality_Tier_Benchmarks!A:B, 2, FALSE) * 0.7, "Below Tier Range", "Normal")</f>
        <v>Normal</v>
      </c>
      <c r="X522" t="str">
        <f t="shared" si="70"/>
        <v>Normal</v>
      </c>
      <c r="Y522" t="str">
        <f t="shared" si="71"/>
        <v>Normal</v>
      </c>
      <c r="Z522" t="str">
        <f t="shared" si="64"/>
        <v>Pass</v>
      </c>
    </row>
    <row r="523" spans="1:26" x14ac:dyDescent="0.25">
      <c r="A523" s="2" t="s">
        <v>925</v>
      </c>
      <c r="B523" t="s">
        <v>17</v>
      </c>
      <c r="C523" t="s">
        <v>489</v>
      </c>
      <c r="D523" s="2" t="str">
        <f>VLOOKUP(C523,Locality_Reference!A:C,2,)</f>
        <v>Western Line</v>
      </c>
      <c r="E523" s="2" t="str">
        <f>VLOOKUP(C523,Locality_Reference!A:C,3,)</f>
        <v>Premium/South</v>
      </c>
      <c r="F523" s="2" t="s">
        <v>1282</v>
      </c>
      <c r="G523" s="8">
        <v>55000</v>
      </c>
      <c r="H523">
        <v>2</v>
      </c>
      <c r="I523">
        <v>2</v>
      </c>
      <c r="J523">
        <v>16</v>
      </c>
      <c r="K523">
        <v>23</v>
      </c>
      <c r="L523">
        <v>580</v>
      </c>
      <c r="M523" t="s">
        <v>33</v>
      </c>
      <c r="N523" t="s">
        <v>29</v>
      </c>
      <c r="O523" t="s">
        <v>16</v>
      </c>
      <c r="P523" t="s">
        <v>47</v>
      </c>
      <c r="Q523" t="str">
        <f t="shared" si="65"/>
        <v>1</v>
      </c>
      <c r="R523" s="5">
        <v>46162</v>
      </c>
      <c r="S523" s="8">
        <f t="shared" si="66"/>
        <v>94.827586206896555</v>
      </c>
      <c r="T523">
        <f t="shared" si="67"/>
        <v>660000</v>
      </c>
      <c r="U523" t="str">
        <f t="shared" si="68"/>
        <v>Mid</v>
      </c>
      <c r="V523" t="str">
        <f t="shared" si="69"/>
        <v>Medium</v>
      </c>
      <c r="W523" t="str">
        <f>IF(S523 &lt; VLOOKUP(E523, Locality_Tier_Benchmarks!A:B, 2, FALSE) * 0.7, "Below Tier Range", "Normal")</f>
        <v>Normal</v>
      </c>
      <c r="X523" t="str">
        <f t="shared" si="70"/>
        <v>Normal</v>
      </c>
      <c r="Y523" t="str">
        <f t="shared" si="71"/>
        <v>Normal</v>
      </c>
      <c r="Z523" t="str">
        <f t="shared" si="64"/>
        <v>Pass</v>
      </c>
    </row>
    <row r="524" spans="1:26" x14ac:dyDescent="0.25">
      <c r="A524" s="2" t="s">
        <v>926</v>
      </c>
      <c r="B524" t="s">
        <v>17</v>
      </c>
      <c r="C524" t="s">
        <v>489</v>
      </c>
      <c r="D524" s="2" t="str">
        <f>VLOOKUP(C524,Locality_Reference!A:C,2,)</f>
        <v>Western Line</v>
      </c>
      <c r="E524" s="2" t="str">
        <f>VLOOKUP(C524,Locality_Reference!A:C,3,)</f>
        <v>Premium/South</v>
      </c>
      <c r="F524" s="2" t="s">
        <v>1283</v>
      </c>
      <c r="G524" s="8">
        <v>280000</v>
      </c>
      <c r="H524">
        <v>3</v>
      </c>
      <c r="I524">
        <v>4</v>
      </c>
      <c r="J524">
        <v>26</v>
      </c>
      <c r="K524">
        <v>63</v>
      </c>
      <c r="L524">
        <v>1611</v>
      </c>
      <c r="M524" t="s">
        <v>36</v>
      </c>
      <c r="N524" t="s">
        <v>15</v>
      </c>
      <c r="O524" t="s">
        <v>16</v>
      </c>
      <c r="P524" t="s">
        <v>31</v>
      </c>
      <c r="Q524" t="str">
        <f t="shared" si="65"/>
        <v>3</v>
      </c>
      <c r="R524" s="5">
        <v>46147</v>
      </c>
      <c r="S524" s="8">
        <f t="shared" si="66"/>
        <v>173.80509000620734</v>
      </c>
      <c r="T524">
        <f t="shared" si="67"/>
        <v>3360000</v>
      </c>
      <c r="U524" t="str">
        <f t="shared" si="68"/>
        <v>Luxury</v>
      </c>
      <c r="V524" t="str">
        <f t="shared" si="69"/>
        <v>Spacious</v>
      </c>
      <c r="W524" t="str">
        <f>IF(S524 &lt; VLOOKUP(E524, Locality_Tier_Benchmarks!A:B, 2, FALSE) * 0.7, "Below Tier Range", "Normal")</f>
        <v>Normal</v>
      </c>
      <c r="X524" t="str">
        <f t="shared" si="70"/>
        <v>Normal</v>
      </c>
      <c r="Y524" t="str">
        <f t="shared" si="71"/>
        <v>Normal</v>
      </c>
      <c r="Z524" t="str">
        <f t="shared" si="64"/>
        <v>Pass</v>
      </c>
    </row>
    <row r="525" spans="1:26" x14ac:dyDescent="0.25">
      <c r="A525" s="2" t="s">
        <v>927</v>
      </c>
      <c r="B525" t="s">
        <v>17</v>
      </c>
      <c r="C525" t="s">
        <v>489</v>
      </c>
      <c r="D525" s="2" t="str">
        <f>VLOOKUP(C525,Locality_Reference!A:C,2,)</f>
        <v>Western Line</v>
      </c>
      <c r="E525" s="2" t="str">
        <f>VLOOKUP(C525,Locality_Reference!A:C,3,)</f>
        <v>Premium/South</v>
      </c>
      <c r="F525" s="2" t="s">
        <v>1284</v>
      </c>
      <c r="G525" s="8">
        <v>185000</v>
      </c>
      <c r="H525">
        <v>3</v>
      </c>
      <c r="I525">
        <v>3</v>
      </c>
      <c r="J525">
        <v>15</v>
      </c>
      <c r="K525">
        <v>20</v>
      </c>
      <c r="L525">
        <v>1500</v>
      </c>
      <c r="M525" t="s">
        <v>36</v>
      </c>
      <c r="N525" t="s">
        <v>29</v>
      </c>
      <c r="O525" t="s">
        <v>16</v>
      </c>
      <c r="P525" t="s">
        <v>23</v>
      </c>
      <c r="Q525" t="str">
        <f t="shared" si="65"/>
        <v>10</v>
      </c>
      <c r="R525" s="5">
        <v>46149</v>
      </c>
      <c r="S525" s="8">
        <f t="shared" si="66"/>
        <v>123.33333333333333</v>
      </c>
      <c r="T525">
        <f t="shared" si="67"/>
        <v>2220000</v>
      </c>
      <c r="U525" t="str">
        <f t="shared" si="68"/>
        <v>Luxury</v>
      </c>
      <c r="V525" t="str">
        <f t="shared" si="69"/>
        <v>Spacious</v>
      </c>
      <c r="W525" t="str">
        <f>IF(S525 &lt; VLOOKUP(E525, Locality_Tier_Benchmarks!A:B, 2, FALSE) * 0.7, "Below Tier Range", "Normal")</f>
        <v>Normal</v>
      </c>
      <c r="X525" t="str">
        <f t="shared" si="70"/>
        <v>Normal</v>
      </c>
      <c r="Y525" t="str">
        <f t="shared" si="71"/>
        <v>Normal</v>
      </c>
      <c r="Z525" t="str">
        <f t="shared" si="64"/>
        <v>Pass</v>
      </c>
    </row>
    <row r="526" spans="1:26" x14ac:dyDescent="0.25">
      <c r="A526" s="2" t="s">
        <v>928</v>
      </c>
      <c r="B526" t="s">
        <v>17</v>
      </c>
      <c r="C526" t="s">
        <v>489</v>
      </c>
      <c r="D526" s="2" t="str">
        <f>VLOOKUP(C526,Locality_Reference!A:C,2,)</f>
        <v>Western Line</v>
      </c>
      <c r="E526" s="2" t="str">
        <f>VLOOKUP(C526,Locality_Reference!A:C,3,)</f>
        <v>Premium/South</v>
      </c>
      <c r="F526" s="2" t="s">
        <v>1285</v>
      </c>
      <c r="G526" s="8">
        <v>150000</v>
      </c>
      <c r="H526">
        <v>3</v>
      </c>
      <c r="I526">
        <v>3</v>
      </c>
      <c r="J526">
        <v>8</v>
      </c>
      <c r="K526">
        <v>20</v>
      </c>
      <c r="L526">
        <v>1000</v>
      </c>
      <c r="M526" t="s">
        <v>14</v>
      </c>
      <c r="N526" t="s">
        <v>15</v>
      </c>
      <c r="O526" t="s">
        <v>16</v>
      </c>
      <c r="P526" t="s">
        <v>34</v>
      </c>
      <c r="Q526" t="str">
        <f t="shared" si="65"/>
        <v/>
      </c>
      <c r="R526" s="5">
        <v>46199</v>
      </c>
      <c r="S526" s="8">
        <f t="shared" si="66"/>
        <v>150</v>
      </c>
      <c r="T526">
        <f t="shared" si="67"/>
        <v>1800000</v>
      </c>
      <c r="U526" t="str">
        <f t="shared" si="68"/>
        <v>Luxury</v>
      </c>
      <c r="V526" t="str">
        <f t="shared" si="69"/>
        <v>Large</v>
      </c>
      <c r="W526" t="str">
        <f>IF(S526 &lt; VLOOKUP(E526, Locality_Tier_Benchmarks!A:B, 2, FALSE) * 0.7, "Below Tier Range", "Normal")</f>
        <v>Normal</v>
      </c>
      <c r="X526" t="str">
        <f t="shared" si="70"/>
        <v>Normal</v>
      </c>
      <c r="Y526" t="str">
        <f t="shared" si="71"/>
        <v>Normal</v>
      </c>
      <c r="Z526" t="str">
        <f t="shared" si="64"/>
        <v>Pass</v>
      </c>
    </row>
    <row r="527" spans="1:26" x14ac:dyDescent="0.25">
      <c r="A527" s="2" t="s">
        <v>929</v>
      </c>
      <c r="B527" t="s">
        <v>17</v>
      </c>
      <c r="C527" t="s">
        <v>489</v>
      </c>
      <c r="D527" s="2" t="str">
        <f>VLOOKUP(C527,Locality_Reference!A:C,2,)</f>
        <v>Western Line</v>
      </c>
      <c r="E527" s="2" t="str">
        <f>VLOOKUP(C527,Locality_Reference!A:C,3,)</f>
        <v>Premium/South</v>
      </c>
      <c r="F527" s="2" t="s">
        <v>1286</v>
      </c>
      <c r="G527" s="8">
        <v>150000</v>
      </c>
      <c r="H527">
        <v>3</v>
      </c>
      <c r="I527">
        <v>3</v>
      </c>
      <c r="J527">
        <v>4</v>
      </c>
      <c r="K527">
        <v>8</v>
      </c>
      <c r="L527">
        <v>1285</v>
      </c>
      <c r="M527" t="s">
        <v>36</v>
      </c>
      <c r="N527" t="s">
        <v>15</v>
      </c>
      <c r="O527" t="s">
        <v>16</v>
      </c>
      <c r="P527" t="s">
        <v>52</v>
      </c>
      <c r="Q527" t="str">
        <f t="shared" si="65"/>
        <v>7.5</v>
      </c>
      <c r="R527" s="5">
        <v>46196</v>
      </c>
      <c r="S527" s="8">
        <f t="shared" si="66"/>
        <v>116.73151750972762</v>
      </c>
      <c r="T527">
        <f t="shared" si="67"/>
        <v>1800000</v>
      </c>
      <c r="U527" t="str">
        <f t="shared" si="68"/>
        <v>Luxury</v>
      </c>
      <c r="V527" t="str">
        <f t="shared" si="69"/>
        <v>Spacious</v>
      </c>
      <c r="W527" t="str">
        <f>IF(S527 &lt; VLOOKUP(E527, Locality_Tier_Benchmarks!A:B, 2, FALSE) * 0.7, "Below Tier Range", "Normal")</f>
        <v>Normal</v>
      </c>
      <c r="X527" t="str">
        <f t="shared" si="70"/>
        <v>Normal</v>
      </c>
      <c r="Y527" t="str">
        <f t="shared" si="71"/>
        <v>Normal</v>
      </c>
      <c r="Z527" t="str">
        <f t="shared" si="64"/>
        <v>Pass</v>
      </c>
    </row>
    <row r="528" spans="1:26" x14ac:dyDescent="0.25">
      <c r="A528" s="2" t="s">
        <v>930</v>
      </c>
      <c r="B528" t="s">
        <v>17</v>
      </c>
      <c r="C528" t="s">
        <v>489</v>
      </c>
      <c r="D528" s="2" t="str">
        <f>VLOOKUP(C528,Locality_Reference!A:C,2,)</f>
        <v>Western Line</v>
      </c>
      <c r="E528" s="2" t="str">
        <f>VLOOKUP(C528,Locality_Reference!A:C,3,)</f>
        <v>Premium/South</v>
      </c>
      <c r="F528" s="2" t="s">
        <v>1287</v>
      </c>
      <c r="G528" s="8">
        <v>180000</v>
      </c>
      <c r="H528">
        <v>3</v>
      </c>
      <c r="I528">
        <v>3</v>
      </c>
      <c r="J528">
        <v>2</v>
      </c>
      <c r="K528">
        <v>2</v>
      </c>
      <c r="L528">
        <v>1200</v>
      </c>
      <c r="M528" t="s">
        <v>14</v>
      </c>
      <c r="N528" t="s">
        <v>29</v>
      </c>
      <c r="O528" t="s">
        <v>16</v>
      </c>
      <c r="P528" t="s">
        <v>23</v>
      </c>
      <c r="Q528" t="str">
        <f t="shared" si="65"/>
        <v>10</v>
      </c>
      <c r="R528" s="5">
        <v>46183</v>
      </c>
      <c r="S528" s="8">
        <f t="shared" si="66"/>
        <v>150</v>
      </c>
      <c r="T528">
        <f t="shared" si="67"/>
        <v>2160000</v>
      </c>
      <c r="U528" t="str">
        <f t="shared" si="68"/>
        <v>Luxury</v>
      </c>
      <c r="V528" t="str">
        <f t="shared" si="69"/>
        <v>Large</v>
      </c>
      <c r="W528" t="str">
        <f>IF(S528 &lt; VLOOKUP(E528, Locality_Tier_Benchmarks!A:B, 2, FALSE) * 0.7, "Below Tier Range", "Normal")</f>
        <v>Normal</v>
      </c>
      <c r="X528" t="str">
        <f t="shared" si="70"/>
        <v>Normal</v>
      </c>
      <c r="Y528" t="str">
        <f t="shared" si="71"/>
        <v>Normal</v>
      </c>
      <c r="Z528" t="str">
        <f t="shared" si="64"/>
        <v>Pass</v>
      </c>
    </row>
    <row r="529" spans="1:26" x14ac:dyDescent="0.25">
      <c r="A529" s="2" t="s">
        <v>931</v>
      </c>
      <c r="B529" t="s">
        <v>17</v>
      </c>
      <c r="C529" t="s">
        <v>459</v>
      </c>
      <c r="D529" s="2" t="str">
        <f>VLOOKUP(C529,Locality_Reference!A:C,2,)</f>
        <v>Western Line</v>
      </c>
      <c r="E529" s="2" t="str">
        <f>VLOOKUP(C529,Locality_Reference!A:C,3,)</f>
        <v>Premium/South</v>
      </c>
      <c r="F529" s="2" t="s">
        <v>1288</v>
      </c>
      <c r="G529" s="8">
        <v>25000</v>
      </c>
      <c r="H529">
        <v>1</v>
      </c>
      <c r="I529">
        <v>1</v>
      </c>
      <c r="J529">
        <v>3</v>
      </c>
      <c r="K529">
        <v>4</v>
      </c>
      <c r="L529">
        <v>420</v>
      </c>
      <c r="M529" t="s">
        <v>36</v>
      </c>
      <c r="N529" t="s">
        <v>1289</v>
      </c>
      <c r="O529" t="s">
        <v>16</v>
      </c>
      <c r="P529" t="s">
        <v>47</v>
      </c>
      <c r="Q529" t="str">
        <f t="shared" si="65"/>
        <v>1</v>
      </c>
      <c r="R529" s="5">
        <v>46202</v>
      </c>
      <c r="S529" s="8">
        <f t="shared" si="66"/>
        <v>59.523809523809526</v>
      </c>
      <c r="T529">
        <f t="shared" si="67"/>
        <v>300000</v>
      </c>
      <c r="U529" t="str">
        <f t="shared" si="68"/>
        <v>Budget</v>
      </c>
      <c r="V529" t="str">
        <f t="shared" si="69"/>
        <v>Compact</v>
      </c>
      <c r="W529" t="str">
        <f>IF(S529 &lt; VLOOKUP(E529, Locality_Tier_Benchmarks!A:B, 2, FALSE) * 0.7, "Below Tier Range", "Normal")</f>
        <v>Below Tier Range</v>
      </c>
      <c r="X529" t="str">
        <f t="shared" si="70"/>
        <v>Normal</v>
      </c>
      <c r="Y529" t="str">
        <f t="shared" si="71"/>
        <v>Normal</v>
      </c>
      <c r="Z529" t="str">
        <f t="shared" si="64"/>
        <v>Review</v>
      </c>
    </row>
    <row r="530" spans="1:26" x14ac:dyDescent="0.25">
      <c r="A530" s="2" t="s">
        <v>932</v>
      </c>
      <c r="B530" t="s">
        <v>17</v>
      </c>
      <c r="C530" t="s">
        <v>459</v>
      </c>
      <c r="D530" s="2" t="str">
        <f>VLOOKUP(C530,Locality_Reference!A:C,2,)</f>
        <v>Western Line</v>
      </c>
      <c r="E530" s="2" t="str">
        <f>VLOOKUP(C530,Locality_Reference!A:C,3,)</f>
        <v>Premium/South</v>
      </c>
      <c r="F530" s="2" t="s">
        <v>1290</v>
      </c>
      <c r="G530" s="8">
        <v>47000</v>
      </c>
      <c r="H530">
        <v>1</v>
      </c>
      <c r="I530">
        <v>1</v>
      </c>
      <c r="J530">
        <v>5</v>
      </c>
      <c r="K530">
        <v>7</v>
      </c>
      <c r="L530">
        <v>450</v>
      </c>
      <c r="M530" t="s">
        <v>36</v>
      </c>
      <c r="N530" t="s">
        <v>29</v>
      </c>
      <c r="O530" t="s">
        <v>16</v>
      </c>
      <c r="P530" t="s">
        <v>31</v>
      </c>
      <c r="Q530" t="str">
        <f t="shared" si="65"/>
        <v>3</v>
      </c>
      <c r="R530" s="5">
        <v>46202</v>
      </c>
      <c r="S530" s="8">
        <f t="shared" si="66"/>
        <v>104.44444444444444</v>
      </c>
      <c r="T530">
        <f t="shared" si="67"/>
        <v>564000</v>
      </c>
      <c r="U530" t="str">
        <f t="shared" si="68"/>
        <v>Mid</v>
      </c>
      <c r="V530" t="str">
        <f t="shared" si="69"/>
        <v>Compact</v>
      </c>
      <c r="W530" t="str">
        <f>IF(S530 &lt; VLOOKUP(E530, Locality_Tier_Benchmarks!A:B, 2, FALSE) * 0.7, "Below Tier Range", "Normal")</f>
        <v>Normal</v>
      </c>
      <c r="X530" t="str">
        <f t="shared" si="70"/>
        <v>Normal</v>
      </c>
      <c r="Y530" t="str">
        <f t="shared" si="71"/>
        <v>Normal</v>
      </c>
      <c r="Z530" t="str">
        <f t="shared" si="64"/>
        <v>Pass</v>
      </c>
    </row>
    <row r="531" spans="1:26" x14ac:dyDescent="0.25">
      <c r="A531" s="2" t="s">
        <v>933</v>
      </c>
      <c r="B531" t="s">
        <v>17</v>
      </c>
      <c r="C531" t="s">
        <v>459</v>
      </c>
      <c r="D531" s="2" t="str">
        <f>VLOOKUP(C531,Locality_Reference!A:C,2,)</f>
        <v>Western Line</v>
      </c>
      <c r="E531" s="2" t="str">
        <f>VLOOKUP(C531,Locality_Reference!A:C,3,)</f>
        <v>Premium/South</v>
      </c>
      <c r="F531" s="2" t="s">
        <v>1291</v>
      </c>
      <c r="G531" s="8">
        <v>50000</v>
      </c>
      <c r="H531">
        <v>1</v>
      </c>
      <c r="I531">
        <v>1</v>
      </c>
      <c r="J531">
        <v>5</v>
      </c>
      <c r="K531">
        <v>8</v>
      </c>
      <c r="L531">
        <v>400</v>
      </c>
      <c r="M531" t="s">
        <v>36</v>
      </c>
      <c r="N531" t="s">
        <v>29</v>
      </c>
      <c r="O531" t="s">
        <v>16</v>
      </c>
      <c r="P531" t="s">
        <v>34</v>
      </c>
      <c r="Q531" t="str">
        <f t="shared" si="65"/>
        <v/>
      </c>
      <c r="R531" s="5">
        <v>46200</v>
      </c>
      <c r="S531" s="8">
        <f t="shared" si="66"/>
        <v>125</v>
      </c>
      <c r="T531">
        <f t="shared" si="67"/>
        <v>600000</v>
      </c>
      <c r="U531" t="str">
        <f t="shared" si="68"/>
        <v>Mid</v>
      </c>
      <c r="V531" t="str">
        <f t="shared" si="69"/>
        <v>Compact</v>
      </c>
      <c r="W531" t="str">
        <f>IF(S531 &lt; VLOOKUP(E531, Locality_Tier_Benchmarks!A:B, 2, FALSE) * 0.7, "Below Tier Range", "Normal")</f>
        <v>Normal</v>
      </c>
      <c r="X531" t="str">
        <f t="shared" si="70"/>
        <v>Normal</v>
      </c>
      <c r="Y531" t="str">
        <f t="shared" si="71"/>
        <v>Normal</v>
      </c>
      <c r="Z531" t="str">
        <f t="shared" si="64"/>
        <v>Pass</v>
      </c>
    </row>
    <row r="532" spans="1:26" x14ac:dyDescent="0.25">
      <c r="A532" s="2" t="s">
        <v>934</v>
      </c>
      <c r="B532" t="s">
        <v>17</v>
      </c>
      <c r="C532" t="s">
        <v>459</v>
      </c>
      <c r="D532" s="2" t="str">
        <f>VLOOKUP(C532,Locality_Reference!A:C,2,)</f>
        <v>Western Line</v>
      </c>
      <c r="E532" s="2" t="str">
        <f>VLOOKUP(C532,Locality_Reference!A:C,3,)</f>
        <v>Premium/South</v>
      </c>
      <c r="F532" s="2" t="s">
        <v>1292</v>
      </c>
      <c r="G532" s="8">
        <v>61000</v>
      </c>
      <c r="H532">
        <v>1</v>
      </c>
      <c r="I532">
        <v>1</v>
      </c>
      <c r="J532">
        <v>3</v>
      </c>
      <c r="K532">
        <v>21</v>
      </c>
      <c r="L532">
        <v>375</v>
      </c>
      <c r="M532" t="s">
        <v>33</v>
      </c>
      <c r="N532" t="s">
        <v>29</v>
      </c>
      <c r="O532" t="s">
        <v>16</v>
      </c>
      <c r="P532" t="s">
        <v>47</v>
      </c>
      <c r="Q532" t="str">
        <f t="shared" si="65"/>
        <v>1</v>
      </c>
      <c r="R532" s="5">
        <v>46202</v>
      </c>
      <c r="S532" s="8">
        <f t="shared" si="66"/>
        <v>162.66666666666666</v>
      </c>
      <c r="T532">
        <f t="shared" si="67"/>
        <v>732000</v>
      </c>
      <c r="U532" t="str">
        <f t="shared" si="68"/>
        <v>Premium</v>
      </c>
      <c r="V532" t="str">
        <f t="shared" si="69"/>
        <v>Compact</v>
      </c>
      <c r="W532" t="str">
        <f>IF(S532 &lt; VLOOKUP(E532, Locality_Tier_Benchmarks!A:B, 2, FALSE) * 0.7, "Below Tier Range", "Normal")</f>
        <v>Normal</v>
      </c>
      <c r="X532" t="str">
        <f t="shared" si="70"/>
        <v>Normal</v>
      </c>
      <c r="Y532" t="str">
        <f t="shared" si="71"/>
        <v>Normal</v>
      </c>
      <c r="Z532" t="str">
        <f t="shared" si="64"/>
        <v>Pass</v>
      </c>
    </row>
    <row r="533" spans="1:26" x14ac:dyDescent="0.25">
      <c r="A533" s="2" t="s">
        <v>935</v>
      </c>
      <c r="B533" t="s">
        <v>17</v>
      </c>
      <c r="C533" t="s">
        <v>459</v>
      </c>
      <c r="D533" s="2" t="str">
        <f>VLOOKUP(C533,Locality_Reference!A:C,2,)</f>
        <v>Western Line</v>
      </c>
      <c r="E533" s="2" t="str">
        <f>VLOOKUP(C533,Locality_Reference!A:C,3,)</f>
        <v>Premium/South</v>
      </c>
      <c r="F533" s="2" t="s">
        <v>1293</v>
      </c>
      <c r="G533" s="8">
        <v>85000</v>
      </c>
      <c r="H533">
        <v>1</v>
      </c>
      <c r="I533">
        <v>1</v>
      </c>
      <c r="J533">
        <v>1</v>
      </c>
      <c r="K533">
        <v>15</v>
      </c>
      <c r="L533">
        <v>550</v>
      </c>
      <c r="M533" t="s">
        <v>14</v>
      </c>
      <c r="N533" t="s">
        <v>29</v>
      </c>
      <c r="O533" t="s">
        <v>16</v>
      </c>
      <c r="P533" t="s">
        <v>23</v>
      </c>
      <c r="Q533" t="str">
        <f t="shared" si="65"/>
        <v>10</v>
      </c>
      <c r="R533" s="5">
        <v>46202</v>
      </c>
      <c r="S533" s="8">
        <f t="shared" si="66"/>
        <v>154.54545454545453</v>
      </c>
      <c r="T533">
        <f t="shared" si="67"/>
        <v>1020000</v>
      </c>
      <c r="U533" t="str">
        <f t="shared" si="68"/>
        <v>Premium</v>
      </c>
      <c r="V533" t="str">
        <f t="shared" si="69"/>
        <v>Medium</v>
      </c>
      <c r="W533" t="str">
        <f>IF(S533 &lt; VLOOKUP(E533, Locality_Tier_Benchmarks!A:B, 2, FALSE) * 0.7, "Below Tier Range", "Normal")</f>
        <v>Normal</v>
      </c>
      <c r="X533" t="str">
        <f t="shared" si="70"/>
        <v>Normal</v>
      </c>
      <c r="Y533" t="str">
        <f t="shared" si="71"/>
        <v>Normal</v>
      </c>
      <c r="Z533" t="str">
        <f t="shared" si="64"/>
        <v>Pass</v>
      </c>
    </row>
    <row r="534" spans="1:26" x14ac:dyDescent="0.25">
      <c r="A534" s="2" t="s">
        <v>936</v>
      </c>
      <c r="B534" t="s">
        <v>17</v>
      </c>
      <c r="C534" t="s">
        <v>459</v>
      </c>
      <c r="D534" s="2" t="str">
        <f>VLOOKUP(C534,Locality_Reference!A:C,2,)</f>
        <v>Western Line</v>
      </c>
      <c r="E534" s="2" t="str">
        <f>VLOOKUP(C534,Locality_Reference!A:C,3,)</f>
        <v>Premium/South</v>
      </c>
      <c r="F534" s="2" t="s">
        <v>1293</v>
      </c>
      <c r="G534" s="8">
        <v>150000</v>
      </c>
      <c r="H534">
        <v>2</v>
      </c>
      <c r="I534">
        <v>2</v>
      </c>
      <c r="J534">
        <v>7</v>
      </c>
      <c r="K534">
        <v>14</v>
      </c>
      <c r="L534">
        <v>750</v>
      </c>
      <c r="M534" t="s">
        <v>14</v>
      </c>
      <c r="N534" t="s">
        <v>29</v>
      </c>
      <c r="O534" t="s">
        <v>16</v>
      </c>
      <c r="P534" t="s">
        <v>34</v>
      </c>
      <c r="Q534" t="str">
        <f t="shared" si="65"/>
        <v/>
      </c>
      <c r="R534" s="5">
        <v>46191</v>
      </c>
      <c r="S534" s="8">
        <f t="shared" si="66"/>
        <v>200</v>
      </c>
      <c r="T534">
        <f t="shared" si="67"/>
        <v>1800000</v>
      </c>
      <c r="U534" t="str">
        <f t="shared" si="68"/>
        <v>Luxury</v>
      </c>
      <c r="V534" t="str">
        <f t="shared" si="69"/>
        <v>Medium</v>
      </c>
      <c r="W534" t="str">
        <f>IF(S534 &lt; VLOOKUP(E534, Locality_Tier_Benchmarks!A:B, 2, FALSE) * 0.7, "Below Tier Range", "Normal")</f>
        <v>Normal</v>
      </c>
      <c r="X534" t="str">
        <f t="shared" si="70"/>
        <v>Normal</v>
      </c>
      <c r="Y534" t="str">
        <f t="shared" si="71"/>
        <v>Normal</v>
      </c>
      <c r="Z534" t="str">
        <f t="shared" si="64"/>
        <v>Pass</v>
      </c>
    </row>
    <row r="535" spans="1:26" x14ac:dyDescent="0.25">
      <c r="A535" s="2" t="s">
        <v>937</v>
      </c>
      <c r="B535" t="s">
        <v>17</v>
      </c>
      <c r="C535" t="s">
        <v>459</v>
      </c>
      <c r="D535" s="2" t="str">
        <f>VLOOKUP(C535,Locality_Reference!A:C,2,)</f>
        <v>Western Line</v>
      </c>
      <c r="E535" s="2" t="str">
        <f>VLOOKUP(C535,Locality_Reference!A:C,3,)</f>
        <v>Premium/South</v>
      </c>
      <c r="F535" s="2" t="s">
        <v>1294</v>
      </c>
      <c r="G535" s="8">
        <v>125000</v>
      </c>
      <c r="H535">
        <v>2</v>
      </c>
      <c r="I535">
        <v>2</v>
      </c>
      <c r="J535">
        <v>13</v>
      </c>
      <c r="K535">
        <v>23</v>
      </c>
      <c r="L535">
        <v>750</v>
      </c>
      <c r="M535" t="s">
        <v>36</v>
      </c>
      <c r="N535" t="s">
        <v>29</v>
      </c>
      <c r="O535" t="s">
        <v>16</v>
      </c>
      <c r="P535" t="s">
        <v>31</v>
      </c>
      <c r="Q535" t="str">
        <f t="shared" si="65"/>
        <v>3</v>
      </c>
      <c r="R535" s="5">
        <v>46192</v>
      </c>
      <c r="S535" s="8">
        <f t="shared" si="66"/>
        <v>166.66666666666666</v>
      </c>
      <c r="T535">
        <f t="shared" si="67"/>
        <v>1500000</v>
      </c>
      <c r="U535" t="str">
        <f t="shared" si="68"/>
        <v>Luxury</v>
      </c>
      <c r="V535" t="str">
        <f t="shared" si="69"/>
        <v>Medium</v>
      </c>
      <c r="W535" t="str">
        <f>IF(S535 &lt; VLOOKUP(E535, Locality_Tier_Benchmarks!A:B, 2, FALSE) * 0.7, "Below Tier Range", "Normal")</f>
        <v>Normal</v>
      </c>
      <c r="X535" t="str">
        <f t="shared" si="70"/>
        <v>Normal</v>
      </c>
      <c r="Y535" t="str">
        <f t="shared" si="71"/>
        <v>Normal</v>
      </c>
      <c r="Z535" t="str">
        <f t="shared" si="64"/>
        <v>Pass</v>
      </c>
    </row>
    <row r="536" spans="1:26" x14ac:dyDescent="0.25">
      <c r="A536" s="2" t="s">
        <v>938</v>
      </c>
      <c r="B536" t="s">
        <v>17</v>
      </c>
      <c r="C536" t="s">
        <v>459</v>
      </c>
      <c r="D536" s="2" t="str">
        <f>VLOOKUP(C536,Locality_Reference!A:C,2,)</f>
        <v>Western Line</v>
      </c>
      <c r="E536" s="2" t="str">
        <f>VLOOKUP(C536,Locality_Reference!A:C,3,)</f>
        <v>Premium/South</v>
      </c>
      <c r="F536" s="2" t="s">
        <v>1295</v>
      </c>
      <c r="G536" s="8">
        <v>210000</v>
      </c>
      <c r="H536">
        <v>2</v>
      </c>
      <c r="I536">
        <v>2</v>
      </c>
      <c r="J536">
        <v>10</v>
      </c>
      <c r="K536">
        <v>26</v>
      </c>
      <c r="L536">
        <v>955</v>
      </c>
      <c r="M536" t="s">
        <v>36</v>
      </c>
      <c r="N536" t="s">
        <v>15</v>
      </c>
      <c r="O536" t="s">
        <v>16</v>
      </c>
      <c r="P536" t="s">
        <v>34</v>
      </c>
      <c r="Q536" t="str">
        <f t="shared" si="65"/>
        <v/>
      </c>
      <c r="R536" s="5">
        <v>46190</v>
      </c>
      <c r="S536" s="8">
        <f t="shared" si="66"/>
        <v>219.89528795811518</v>
      </c>
      <c r="T536">
        <f t="shared" si="67"/>
        <v>2520000</v>
      </c>
      <c r="U536" t="str">
        <f t="shared" si="68"/>
        <v>Luxury</v>
      </c>
      <c r="V536" t="str">
        <f t="shared" si="69"/>
        <v>Large</v>
      </c>
      <c r="W536" t="str">
        <f>IF(S536 &lt; VLOOKUP(E536, Locality_Tier_Benchmarks!A:B, 2, FALSE) * 0.7, "Below Tier Range", "Normal")</f>
        <v>Normal</v>
      </c>
      <c r="X536" t="str">
        <f t="shared" si="70"/>
        <v>Normal</v>
      </c>
      <c r="Y536" t="str">
        <f t="shared" si="71"/>
        <v>Normal</v>
      </c>
      <c r="Z536" t="str">
        <f t="shared" si="64"/>
        <v>Pass</v>
      </c>
    </row>
    <row r="537" spans="1:26" x14ac:dyDescent="0.25">
      <c r="A537" s="2" t="s">
        <v>939</v>
      </c>
      <c r="B537" t="s">
        <v>17</v>
      </c>
      <c r="C537" t="s">
        <v>459</v>
      </c>
      <c r="D537" s="2" t="str">
        <f>VLOOKUP(C537,Locality_Reference!A:C,2,)</f>
        <v>Western Line</v>
      </c>
      <c r="E537" s="2" t="str">
        <f>VLOOKUP(C537,Locality_Reference!A:C,3,)</f>
        <v>Premium/South</v>
      </c>
      <c r="F537" s="2" t="s">
        <v>1296</v>
      </c>
      <c r="G537" s="8">
        <v>135000</v>
      </c>
      <c r="H537">
        <v>2</v>
      </c>
      <c r="I537">
        <v>2</v>
      </c>
      <c r="J537">
        <v>7</v>
      </c>
      <c r="K537">
        <v>7</v>
      </c>
      <c r="L537">
        <v>750</v>
      </c>
      <c r="M537" t="s">
        <v>14</v>
      </c>
      <c r="N537" t="s">
        <v>29</v>
      </c>
      <c r="O537" t="s">
        <v>16</v>
      </c>
      <c r="P537" t="s">
        <v>34</v>
      </c>
      <c r="Q537" t="str">
        <f t="shared" si="65"/>
        <v/>
      </c>
      <c r="R537" s="5">
        <v>46202</v>
      </c>
      <c r="S537" s="8">
        <f t="shared" si="66"/>
        <v>180</v>
      </c>
      <c r="T537">
        <f t="shared" si="67"/>
        <v>1620000</v>
      </c>
      <c r="U537" t="str">
        <f t="shared" si="68"/>
        <v>Luxury</v>
      </c>
      <c r="V537" t="str">
        <f t="shared" si="69"/>
        <v>Medium</v>
      </c>
      <c r="W537" t="str">
        <f>IF(S537 &lt; VLOOKUP(E537, Locality_Tier_Benchmarks!A:B, 2, FALSE) * 0.7, "Below Tier Range", "Normal")</f>
        <v>Normal</v>
      </c>
      <c r="X537" t="str">
        <f t="shared" si="70"/>
        <v>Normal</v>
      </c>
      <c r="Y537" t="str">
        <f t="shared" si="71"/>
        <v>Normal</v>
      </c>
      <c r="Z537" t="str">
        <f t="shared" si="64"/>
        <v>Pass</v>
      </c>
    </row>
    <row r="538" spans="1:26" x14ac:dyDescent="0.25">
      <c r="A538" s="2" t="s">
        <v>940</v>
      </c>
      <c r="B538" t="s">
        <v>17</v>
      </c>
      <c r="C538" t="s">
        <v>459</v>
      </c>
      <c r="D538" s="2" t="str">
        <f>VLOOKUP(C538,Locality_Reference!A:C,2,)</f>
        <v>Western Line</v>
      </c>
      <c r="E538" s="2" t="str">
        <f>VLOOKUP(C538,Locality_Reference!A:C,3,)</f>
        <v>Premium/South</v>
      </c>
      <c r="F538" s="2" t="s">
        <v>1297</v>
      </c>
      <c r="G538" s="8">
        <v>215000</v>
      </c>
      <c r="H538">
        <v>2</v>
      </c>
      <c r="I538">
        <v>3</v>
      </c>
      <c r="J538">
        <v>6</v>
      </c>
      <c r="K538">
        <v>13</v>
      </c>
      <c r="L538">
        <v>1100</v>
      </c>
      <c r="M538" t="s">
        <v>14</v>
      </c>
      <c r="N538" t="s">
        <v>15</v>
      </c>
      <c r="O538" t="s">
        <v>16</v>
      </c>
      <c r="P538" t="s">
        <v>23</v>
      </c>
      <c r="Q538" t="str">
        <f t="shared" si="65"/>
        <v>10</v>
      </c>
      <c r="R538" s="5">
        <v>46183</v>
      </c>
      <c r="S538" s="8">
        <f t="shared" si="66"/>
        <v>195.45454545454547</v>
      </c>
      <c r="T538">
        <f t="shared" si="67"/>
        <v>2580000</v>
      </c>
      <c r="U538" t="str">
        <f t="shared" si="68"/>
        <v>Luxury</v>
      </c>
      <c r="V538" t="str">
        <f t="shared" si="69"/>
        <v>Large</v>
      </c>
      <c r="W538" t="str">
        <f>IF(S538 &lt; VLOOKUP(E538, Locality_Tier_Benchmarks!A:B, 2, FALSE) * 0.7, "Below Tier Range", "Normal")</f>
        <v>Normal</v>
      </c>
      <c r="X538" t="str">
        <f t="shared" si="70"/>
        <v>Normal</v>
      </c>
      <c r="Y538" t="str">
        <f t="shared" si="71"/>
        <v>Normal</v>
      </c>
      <c r="Z538" t="str">
        <f t="shared" si="64"/>
        <v>Pass</v>
      </c>
    </row>
    <row r="539" spans="1:26" x14ac:dyDescent="0.25">
      <c r="A539" s="2" t="s">
        <v>941</v>
      </c>
      <c r="B539" t="s">
        <v>17</v>
      </c>
      <c r="C539" t="s">
        <v>459</v>
      </c>
      <c r="D539" s="2" t="str">
        <f>VLOOKUP(C539,Locality_Reference!A:C,2,)</f>
        <v>Western Line</v>
      </c>
      <c r="E539" s="2" t="str">
        <f>VLOOKUP(C539,Locality_Reference!A:C,3,)</f>
        <v>Premium/South</v>
      </c>
      <c r="F539" s="2" t="s">
        <v>1295</v>
      </c>
      <c r="G539" s="8">
        <v>245000</v>
      </c>
      <c r="H539">
        <v>3</v>
      </c>
      <c r="I539">
        <v>3</v>
      </c>
      <c r="J539">
        <v>14</v>
      </c>
      <c r="K539">
        <v>26</v>
      </c>
      <c r="L539">
        <v>1210</v>
      </c>
      <c r="M539" t="s">
        <v>36</v>
      </c>
      <c r="N539" t="s">
        <v>15</v>
      </c>
      <c r="O539" t="s">
        <v>16</v>
      </c>
      <c r="P539" t="s">
        <v>52</v>
      </c>
      <c r="Q539" t="str">
        <f t="shared" si="65"/>
        <v>7.5</v>
      </c>
      <c r="R539" s="5">
        <v>46196</v>
      </c>
      <c r="S539" s="8">
        <f t="shared" si="66"/>
        <v>202.47933884297521</v>
      </c>
      <c r="T539">
        <f t="shared" si="67"/>
        <v>2940000</v>
      </c>
      <c r="U539" t="str">
        <f t="shared" si="68"/>
        <v>Luxury</v>
      </c>
      <c r="V539" t="str">
        <f t="shared" si="69"/>
        <v>Spacious</v>
      </c>
      <c r="W539" t="str">
        <f>IF(S539 &lt; VLOOKUP(E539, Locality_Tier_Benchmarks!A:B, 2, FALSE) * 0.7, "Below Tier Range", "Normal")</f>
        <v>Normal</v>
      </c>
      <c r="X539" t="str">
        <f t="shared" si="70"/>
        <v>Normal</v>
      </c>
      <c r="Y539" t="str">
        <f t="shared" si="71"/>
        <v>Normal</v>
      </c>
      <c r="Z539" t="str">
        <f t="shared" si="64"/>
        <v>Pass</v>
      </c>
    </row>
    <row r="540" spans="1:26" x14ac:dyDescent="0.25">
      <c r="A540" s="2" t="s">
        <v>942</v>
      </c>
      <c r="B540" t="s">
        <v>17</v>
      </c>
      <c r="C540" t="s">
        <v>459</v>
      </c>
      <c r="D540" s="2" t="str">
        <f>VLOOKUP(C540,Locality_Reference!A:C,2,)</f>
        <v>Western Line</v>
      </c>
      <c r="E540" s="2" t="str">
        <f>VLOOKUP(C540,Locality_Reference!A:C,3,)</f>
        <v>Premium/South</v>
      </c>
      <c r="F540" s="2" t="s">
        <v>1298</v>
      </c>
      <c r="G540" s="8">
        <v>200000</v>
      </c>
      <c r="H540">
        <v>3</v>
      </c>
      <c r="I540">
        <v>3</v>
      </c>
      <c r="J540">
        <v>4</v>
      </c>
      <c r="K540">
        <v>6</v>
      </c>
      <c r="L540">
        <v>1100</v>
      </c>
      <c r="M540" t="s">
        <v>36</v>
      </c>
      <c r="N540" t="s">
        <v>29</v>
      </c>
      <c r="O540" t="s">
        <v>16</v>
      </c>
      <c r="P540" t="s">
        <v>34</v>
      </c>
      <c r="Q540" t="str">
        <f t="shared" si="65"/>
        <v/>
      </c>
      <c r="R540" s="5">
        <v>46197</v>
      </c>
      <c r="S540" s="8">
        <f t="shared" si="66"/>
        <v>181.81818181818181</v>
      </c>
      <c r="T540">
        <f t="shared" si="67"/>
        <v>2400000</v>
      </c>
      <c r="U540" t="str">
        <f t="shared" si="68"/>
        <v>Luxury</v>
      </c>
      <c r="V540" t="str">
        <f t="shared" si="69"/>
        <v>Large</v>
      </c>
      <c r="W540" t="str">
        <f>IF(S540 &lt; VLOOKUP(E540, Locality_Tier_Benchmarks!A:B, 2, FALSE) * 0.7, "Below Tier Range", "Normal")</f>
        <v>Normal</v>
      </c>
      <c r="X540" t="str">
        <f t="shared" si="70"/>
        <v>Normal</v>
      </c>
      <c r="Y540" t="str">
        <f t="shared" si="71"/>
        <v>Normal</v>
      </c>
      <c r="Z540" t="str">
        <f t="shared" si="64"/>
        <v>Pass</v>
      </c>
    </row>
    <row r="541" spans="1:26" x14ac:dyDescent="0.25">
      <c r="A541" s="2" t="s">
        <v>943</v>
      </c>
      <c r="B541" t="s">
        <v>17</v>
      </c>
      <c r="C541" t="s">
        <v>459</v>
      </c>
      <c r="D541" s="2" t="str">
        <f>VLOOKUP(C541,Locality_Reference!A:C,2,)</f>
        <v>Western Line</v>
      </c>
      <c r="E541" s="2" t="str">
        <f>VLOOKUP(C541,Locality_Reference!A:C,3,)</f>
        <v>Premium/South</v>
      </c>
      <c r="F541" s="2" t="s">
        <v>1299</v>
      </c>
      <c r="G541" s="8">
        <v>425000</v>
      </c>
      <c r="H541">
        <v>3</v>
      </c>
      <c r="I541">
        <v>4</v>
      </c>
      <c r="J541">
        <v>17</v>
      </c>
      <c r="K541">
        <v>42</v>
      </c>
      <c r="L541">
        <v>1750</v>
      </c>
      <c r="M541" t="s">
        <v>14</v>
      </c>
      <c r="N541" t="s">
        <v>29</v>
      </c>
      <c r="O541" t="s">
        <v>16</v>
      </c>
      <c r="P541" t="s">
        <v>34</v>
      </c>
      <c r="Q541" t="str">
        <f t="shared" si="65"/>
        <v/>
      </c>
      <c r="R541" s="5">
        <v>46156</v>
      </c>
      <c r="S541" s="8">
        <f t="shared" si="66"/>
        <v>242.85714285714286</v>
      </c>
      <c r="T541">
        <f t="shared" si="67"/>
        <v>5100000</v>
      </c>
      <c r="U541" t="str">
        <f t="shared" si="68"/>
        <v>Luxury</v>
      </c>
      <c r="V541" t="str">
        <f t="shared" si="69"/>
        <v>Spacious</v>
      </c>
      <c r="W541" t="str">
        <f>IF(S541 &lt; VLOOKUP(E541, Locality_Tier_Benchmarks!A:B, 2, FALSE) * 0.7, "Below Tier Range", "Normal")</f>
        <v>Normal</v>
      </c>
      <c r="X541" t="str">
        <f t="shared" si="70"/>
        <v>Normal</v>
      </c>
      <c r="Y541" t="str">
        <f t="shared" si="71"/>
        <v>Normal</v>
      </c>
      <c r="Z541" t="str">
        <f t="shared" si="64"/>
        <v>Pass</v>
      </c>
    </row>
    <row r="542" spans="1:26" x14ac:dyDescent="0.25">
      <c r="A542" s="2" t="s">
        <v>944</v>
      </c>
      <c r="B542" t="s">
        <v>17</v>
      </c>
      <c r="C542" t="s">
        <v>459</v>
      </c>
      <c r="D542" s="2" t="str">
        <f>VLOOKUP(C542,Locality_Reference!A:C,2,)</f>
        <v>Western Line</v>
      </c>
      <c r="E542" s="2" t="str">
        <f>VLOOKUP(C542,Locality_Reference!A:C,3,)</f>
        <v>Premium/South</v>
      </c>
      <c r="F542" s="2" t="s">
        <v>1300</v>
      </c>
      <c r="G542" s="8">
        <v>250000</v>
      </c>
      <c r="H542">
        <v>3</v>
      </c>
      <c r="I542">
        <v>3</v>
      </c>
      <c r="J542">
        <v>3</v>
      </c>
      <c r="K542">
        <v>7</v>
      </c>
      <c r="L542">
        <v>1500</v>
      </c>
      <c r="M542" t="s">
        <v>36</v>
      </c>
      <c r="N542" t="s">
        <v>29</v>
      </c>
      <c r="O542" t="s">
        <v>16</v>
      </c>
      <c r="P542" t="s">
        <v>23</v>
      </c>
      <c r="Q542" t="str">
        <f t="shared" si="65"/>
        <v>10</v>
      </c>
      <c r="R542" s="5">
        <v>46179</v>
      </c>
      <c r="S542" s="8">
        <f t="shared" si="66"/>
        <v>166.66666666666666</v>
      </c>
      <c r="T542">
        <f t="shared" si="67"/>
        <v>3000000</v>
      </c>
      <c r="U542" t="str">
        <f t="shared" si="68"/>
        <v>Luxury</v>
      </c>
      <c r="V542" t="str">
        <f t="shared" si="69"/>
        <v>Spacious</v>
      </c>
      <c r="W542" t="str">
        <f>IF(S542 &lt; VLOOKUP(E542, Locality_Tier_Benchmarks!A:B, 2, FALSE) * 0.7, "Below Tier Range", "Normal")</f>
        <v>Normal</v>
      </c>
      <c r="X542" t="str">
        <f t="shared" si="70"/>
        <v>Normal</v>
      </c>
      <c r="Y542" t="str">
        <f t="shared" si="71"/>
        <v>Normal</v>
      </c>
      <c r="Z542" t="str">
        <f t="shared" si="64"/>
        <v>Pass</v>
      </c>
    </row>
    <row r="543" spans="1:26" x14ac:dyDescent="0.25">
      <c r="A543" s="2" t="s">
        <v>945</v>
      </c>
      <c r="B543" t="s">
        <v>17</v>
      </c>
      <c r="C543" t="s">
        <v>459</v>
      </c>
      <c r="D543" s="2" t="str">
        <f>VLOOKUP(C543,Locality_Reference!A:C,2,)</f>
        <v>Western Line</v>
      </c>
      <c r="E543" s="2" t="str">
        <f>VLOOKUP(C543,Locality_Reference!A:C,3,)</f>
        <v>Premium/South</v>
      </c>
      <c r="F543" s="2" t="s">
        <v>1301</v>
      </c>
      <c r="G543" s="8">
        <v>240000</v>
      </c>
      <c r="H543">
        <v>3</v>
      </c>
      <c r="I543">
        <v>3</v>
      </c>
      <c r="J543">
        <v>11</v>
      </c>
      <c r="K543">
        <v>20</v>
      </c>
      <c r="L543">
        <v>1150</v>
      </c>
      <c r="M543" t="s">
        <v>33</v>
      </c>
      <c r="N543" t="s">
        <v>29</v>
      </c>
      <c r="O543" t="s">
        <v>16</v>
      </c>
      <c r="P543" t="s">
        <v>47</v>
      </c>
      <c r="Q543" t="str">
        <f t="shared" si="65"/>
        <v>1</v>
      </c>
      <c r="R543" s="5">
        <v>46200</v>
      </c>
      <c r="S543" s="8">
        <f t="shared" si="66"/>
        <v>208.69565217391303</v>
      </c>
      <c r="T543">
        <f t="shared" si="67"/>
        <v>2880000</v>
      </c>
      <c r="U543" t="str">
        <f t="shared" si="68"/>
        <v>Luxury</v>
      </c>
      <c r="V543" t="str">
        <f t="shared" si="69"/>
        <v>Large</v>
      </c>
      <c r="W543" t="str">
        <f>IF(S543 &lt; VLOOKUP(E543, Locality_Tier_Benchmarks!A:B, 2, FALSE) * 0.7, "Below Tier Range", "Normal")</f>
        <v>Normal</v>
      </c>
      <c r="X543" t="str">
        <f t="shared" si="70"/>
        <v>Normal</v>
      </c>
      <c r="Y543" t="str">
        <f t="shared" si="71"/>
        <v>Normal</v>
      </c>
      <c r="Z543" t="str">
        <f t="shared" si="64"/>
        <v>Pass</v>
      </c>
    </row>
    <row r="544" spans="1:26" x14ac:dyDescent="0.25">
      <c r="A544" s="2" t="s">
        <v>946</v>
      </c>
      <c r="B544" t="s">
        <v>17</v>
      </c>
      <c r="C544" t="s">
        <v>1302</v>
      </c>
      <c r="D544" s="2" t="str">
        <f>VLOOKUP(C544,Locality_Reference!A:C,2,)</f>
        <v>Western Line</v>
      </c>
      <c r="E544" s="2" t="str">
        <f>VLOOKUP(C544,Locality_Reference!A:C,3,)</f>
        <v>Premium/South</v>
      </c>
      <c r="F544" s="2" t="s">
        <v>1304</v>
      </c>
      <c r="G544" s="8">
        <v>52000</v>
      </c>
      <c r="H544">
        <v>1</v>
      </c>
      <c r="I544">
        <v>1</v>
      </c>
      <c r="J544">
        <v>12</v>
      </c>
      <c r="K544">
        <v>22</v>
      </c>
      <c r="L544">
        <v>460</v>
      </c>
      <c r="M544" t="s">
        <v>36</v>
      </c>
      <c r="N544" t="s">
        <v>29</v>
      </c>
      <c r="O544" t="s">
        <v>16</v>
      </c>
      <c r="P544" t="s">
        <v>31</v>
      </c>
      <c r="Q544" t="str">
        <f t="shared" si="65"/>
        <v>3</v>
      </c>
      <c r="R544" s="5">
        <v>46193</v>
      </c>
      <c r="S544" s="8">
        <f t="shared" si="66"/>
        <v>113.04347826086956</v>
      </c>
      <c r="T544">
        <f t="shared" si="67"/>
        <v>624000</v>
      </c>
      <c r="U544" t="str">
        <f t="shared" si="68"/>
        <v>Mid</v>
      </c>
      <c r="V544" t="str">
        <f t="shared" si="69"/>
        <v>Compact</v>
      </c>
      <c r="W544" t="str">
        <f>IF(S544 &lt; VLOOKUP(E544, Locality_Tier_Benchmarks!A:B, 2, FALSE) * 0.7, "Below Tier Range", "Normal")</f>
        <v>Normal</v>
      </c>
      <c r="X544" t="str">
        <f t="shared" si="70"/>
        <v>Normal</v>
      </c>
      <c r="Y544" t="str">
        <f t="shared" si="71"/>
        <v>Normal</v>
      </c>
      <c r="Z544" t="str">
        <f t="shared" si="64"/>
        <v>Pass</v>
      </c>
    </row>
    <row r="545" spans="1:26" x14ac:dyDescent="0.25">
      <c r="A545" s="2" t="s">
        <v>947</v>
      </c>
      <c r="B545" t="s">
        <v>17</v>
      </c>
      <c r="C545" t="s">
        <v>1302</v>
      </c>
      <c r="D545" s="2" t="str">
        <f>VLOOKUP(C545,Locality_Reference!A:C,2,)</f>
        <v>Western Line</v>
      </c>
      <c r="E545" s="2" t="str">
        <f>VLOOKUP(C545,Locality_Reference!A:C,3,)</f>
        <v>Premium/South</v>
      </c>
      <c r="F545" s="2" t="s">
        <v>1305</v>
      </c>
      <c r="G545" s="8">
        <v>28000</v>
      </c>
      <c r="H545">
        <v>1</v>
      </c>
      <c r="I545">
        <v>1</v>
      </c>
      <c r="J545">
        <v>2</v>
      </c>
      <c r="K545">
        <v>2</v>
      </c>
      <c r="L545">
        <v>390</v>
      </c>
      <c r="M545" t="s">
        <v>14</v>
      </c>
      <c r="N545" t="s">
        <v>15</v>
      </c>
      <c r="O545" t="s">
        <v>16</v>
      </c>
      <c r="P545" t="s">
        <v>23</v>
      </c>
      <c r="Q545" t="str">
        <f t="shared" si="65"/>
        <v>10</v>
      </c>
      <c r="R545" s="5">
        <v>46199</v>
      </c>
      <c r="S545" s="8">
        <f t="shared" si="66"/>
        <v>71.794871794871796</v>
      </c>
      <c r="T545">
        <f t="shared" si="67"/>
        <v>336000</v>
      </c>
      <c r="U545" t="str">
        <f t="shared" si="68"/>
        <v>Budget</v>
      </c>
      <c r="V545" t="str">
        <f t="shared" si="69"/>
        <v>Compact</v>
      </c>
      <c r="W545" t="str">
        <f>IF(S545 &lt; VLOOKUP(E545, Locality_Tier_Benchmarks!A:B, 2, FALSE) * 0.7, "Below Tier Range", "Normal")</f>
        <v>Normal</v>
      </c>
      <c r="X545" t="str">
        <f t="shared" si="70"/>
        <v>Normal</v>
      </c>
      <c r="Y545" t="str">
        <f t="shared" si="71"/>
        <v>Normal</v>
      </c>
      <c r="Z545" t="str">
        <f t="shared" si="64"/>
        <v>Pass</v>
      </c>
    </row>
    <row r="546" spans="1:26" x14ac:dyDescent="0.25">
      <c r="A546" s="2" t="s">
        <v>948</v>
      </c>
      <c r="B546" t="s">
        <v>17</v>
      </c>
      <c r="C546" t="s">
        <v>1302</v>
      </c>
      <c r="D546" s="2" t="str">
        <f>VLOOKUP(C546,Locality_Reference!A:C,2,)</f>
        <v>Western Line</v>
      </c>
      <c r="E546" s="2" t="str">
        <f>VLOOKUP(C546,Locality_Reference!A:C,3,)</f>
        <v>Premium/South</v>
      </c>
      <c r="F546" s="2" t="s">
        <v>1306</v>
      </c>
      <c r="G546" s="8">
        <v>100000</v>
      </c>
      <c r="H546">
        <v>1</v>
      </c>
      <c r="I546">
        <v>2</v>
      </c>
      <c r="J546">
        <v>13</v>
      </c>
      <c r="K546">
        <v>19</v>
      </c>
      <c r="L546">
        <v>400</v>
      </c>
      <c r="M546" t="s">
        <v>14</v>
      </c>
      <c r="N546" t="s">
        <v>29</v>
      </c>
      <c r="O546" t="s">
        <v>16</v>
      </c>
      <c r="P546" t="s">
        <v>52</v>
      </c>
      <c r="Q546" t="str">
        <f t="shared" si="65"/>
        <v>7.5</v>
      </c>
      <c r="R546" s="5">
        <v>46188</v>
      </c>
      <c r="S546" s="8">
        <f t="shared" si="66"/>
        <v>250</v>
      </c>
      <c r="T546">
        <f t="shared" si="67"/>
        <v>1200000</v>
      </c>
      <c r="U546" t="str">
        <f t="shared" si="68"/>
        <v>Premium</v>
      </c>
      <c r="V546" t="str">
        <f t="shared" si="69"/>
        <v>Compact</v>
      </c>
      <c r="W546" t="str">
        <f>IF(S546 &lt; VLOOKUP(E546, Locality_Tier_Benchmarks!A:B, 2, FALSE) * 0.7, "Below Tier Range", "Normal")</f>
        <v>Normal</v>
      </c>
      <c r="X546" t="str">
        <f t="shared" si="70"/>
        <v>Normal</v>
      </c>
      <c r="Y546" t="str">
        <f t="shared" si="71"/>
        <v>Normal</v>
      </c>
      <c r="Z546" t="str">
        <f t="shared" si="64"/>
        <v>Pass</v>
      </c>
    </row>
    <row r="547" spans="1:26" x14ac:dyDescent="0.25">
      <c r="A547" s="2" t="s">
        <v>949</v>
      </c>
      <c r="B547" t="s">
        <v>366</v>
      </c>
      <c r="C547" t="s">
        <v>1302</v>
      </c>
      <c r="D547" s="2" t="str">
        <f>VLOOKUP(C547,Locality_Reference!A:C,2,)</f>
        <v>Western Line</v>
      </c>
      <c r="E547" s="2" t="str">
        <f>VLOOKUP(C547,Locality_Reference!A:C,3,)</f>
        <v>Premium/South</v>
      </c>
      <c r="F547" s="2" t="s">
        <v>1308</v>
      </c>
      <c r="G547" s="8">
        <v>70000</v>
      </c>
      <c r="H547">
        <v>1</v>
      </c>
      <c r="I547">
        <v>1</v>
      </c>
      <c r="J547">
        <v>8</v>
      </c>
      <c r="K547">
        <v>12</v>
      </c>
      <c r="L547">
        <v>510</v>
      </c>
      <c r="M547" t="s">
        <v>36</v>
      </c>
      <c r="N547" t="s">
        <v>34</v>
      </c>
      <c r="O547" t="s">
        <v>16</v>
      </c>
      <c r="P547" t="s">
        <v>31</v>
      </c>
      <c r="Q547" t="str">
        <f t="shared" si="65"/>
        <v>3</v>
      </c>
      <c r="R547" s="5">
        <v>46194</v>
      </c>
      <c r="S547" s="8">
        <f t="shared" si="66"/>
        <v>137.25490196078431</v>
      </c>
      <c r="T547">
        <f t="shared" si="67"/>
        <v>840000</v>
      </c>
      <c r="U547" t="str">
        <f t="shared" si="68"/>
        <v>Premium</v>
      </c>
      <c r="V547" t="str">
        <f t="shared" si="69"/>
        <v>Medium</v>
      </c>
      <c r="W547" t="str">
        <f>IF(S547 &lt; VLOOKUP(E547, Locality_Tier_Benchmarks!A:B, 2, FALSE) * 0.7, "Below Tier Range", "Normal")</f>
        <v>Normal</v>
      </c>
      <c r="X547" t="str">
        <f t="shared" si="70"/>
        <v>Normal</v>
      </c>
      <c r="Y547" t="str">
        <f t="shared" si="71"/>
        <v>Normal</v>
      </c>
      <c r="Z547" t="str">
        <f t="shared" si="64"/>
        <v>Pass</v>
      </c>
    </row>
    <row r="548" spans="1:26" x14ac:dyDescent="0.25">
      <c r="A548" s="2" t="s">
        <v>950</v>
      </c>
      <c r="B548" t="s">
        <v>17</v>
      </c>
      <c r="C548" t="s">
        <v>1302</v>
      </c>
      <c r="D548" s="2" t="str">
        <f>VLOOKUP(C548,Locality_Reference!A:C,2,)</f>
        <v>Western Line</v>
      </c>
      <c r="E548" s="2" t="str">
        <f>VLOOKUP(C548,Locality_Reference!A:C,3,)</f>
        <v>Premium/South</v>
      </c>
      <c r="F548" s="2" t="s">
        <v>1309</v>
      </c>
      <c r="G548" s="8">
        <v>125000</v>
      </c>
      <c r="H548">
        <v>2</v>
      </c>
      <c r="I548">
        <v>3</v>
      </c>
      <c r="J548">
        <v>12</v>
      </c>
      <c r="K548">
        <v>23</v>
      </c>
      <c r="L548">
        <v>900</v>
      </c>
      <c r="M548" t="s">
        <v>36</v>
      </c>
      <c r="N548" t="s">
        <v>15</v>
      </c>
      <c r="O548" t="s">
        <v>16</v>
      </c>
      <c r="P548" t="s">
        <v>34</v>
      </c>
      <c r="Q548" t="str">
        <f t="shared" si="65"/>
        <v/>
      </c>
      <c r="R548" s="5">
        <v>46202</v>
      </c>
      <c r="S548" s="8">
        <f t="shared" si="66"/>
        <v>138.88888888888889</v>
      </c>
      <c r="T548">
        <f t="shared" si="67"/>
        <v>1500000</v>
      </c>
      <c r="U548" t="str">
        <f t="shared" si="68"/>
        <v>Luxury</v>
      </c>
      <c r="V548" t="str">
        <f t="shared" si="69"/>
        <v>Large</v>
      </c>
      <c r="W548" t="str">
        <f>IF(S548 &lt; VLOOKUP(E548, Locality_Tier_Benchmarks!A:B, 2, FALSE) * 0.7, "Below Tier Range", "Normal")</f>
        <v>Normal</v>
      </c>
      <c r="X548" t="str">
        <f t="shared" si="70"/>
        <v>Normal</v>
      </c>
      <c r="Y548" t="str">
        <f t="shared" si="71"/>
        <v>Normal</v>
      </c>
      <c r="Z548" t="str">
        <f t="shared" si="64"/>
        <v>Pass</v>
      </c>
    </row>
    <row r="549" spans="1:26" x14ac:dyDescent="0.25">
      <c r="A549" s="2" t="s">
        <v>951</v>
      </c>
      <c r="B549" t="s">
        <v>17</v>
      </c>
      <c r="C549" t="s">
        <v>1302</v>
      </c>
      <c r="D549" s="2" t="str">
        <f>VLOOKUP(C549,Locality_Reference!A:C,2,)</f>
        <v>Western Line</v>
      </c>
      <c r="E549" s="2" t="str">
        <f>VLOOKUP(C549,Locality_Reference!A:C,3,)</f>
        <v>Premium/South</v>
      </c>
      <c r="F549" s="2" t="s">
        <v>1310</v>
      </c>
      <c r="G549" s="8">
        <v>160000</v>
      </c>
      <c r="H549">
        <v>2</v>
      </c>
      <c r="I549">
        <v>2</v>
      </c>
      <c r="J549">
        <v>11</v>
      </c>
      <c r="K549">
        <v>13</v>
      </c>
      <c r="L549">
        <v>950</v>
      </c>
      <c r="M549" t="s">
        <v>14</v>
      </c>
      <c r="N549" t="s">
        <v>29</v>
      </c>
      <c r="O549" t="s">
        <v>16</v>
      </c>
      <c r="P549" t="s">
        <v>31</v>
      </c>
      <c r="Q549" t="str">
        <f t="shared" si="65"/>
        <v>3</v>
      </c>
      <c r="R549" s="5">
        <v>46167</v>
      </c>
      <c r="S549" s="8">
        <f t="shared" si="66"/>
        <v>168.42105263157896</v>
      </c>
      <c r="T549">
        <f t="shared" si="67"/>
        <v>1920000</v>
      </c>
      <c r="U549" t="str">
        <f t="shared" si="68"/>
        <v>Luxury</v>
      </c>
      <c r="V549" t="str">
        <f t="shared" si="69"/>
        <v>Large</v>
      </c>
      <c r="W549" t="str">
        <f>IF(S549 &lt; VLOOKUP(E549, Locality_Tier_Benchmarks!A:B, 2, FALSE) * 0.7, "Below Tier Range", "Normal")</f>
        <v>Normal</v>
      </c>
      <c r="X549" t="str">
        <f t="shared" si="70"/>
        <v>Normal</v>
      </c>
      <c r="Y549" t="str">
        <f t="shared" si="71"/>
        <v>Normal</v>
      </c>
      <c r="Z549" t="str">
        <f t="shared" si="64"/>
        <v>Pass</v>
      </c>
    </row>
    <row r="550" spans="1:26" x14ac:dyDescent="0.25">
      <c r="A550" s="2" t="s">
        <v>952</v>
      </c>
      <c r="B550" t="s">
        <v>17</v>
      </c>
      <c r="C550" t="s">
        <v>1302</v>
      </c>
      <c r="D550" s="2" t="str">
        <f>VLOOKUP(C550,Locality_Reference!A:C,2,)</f>
        <v>Western Line</v>
      </c>
      <c r="E550" s="2" t="str">
        <f>VLOOKUP(C550,Locality_Reference!A:C,3,)</f>
        <v>Premium/South</v>
      </c>
      <c r="F550" s="2" t="s">
        <v>1311</v>
      </c>
      <c r="G550" s="8">
        <v>150000</v>
      </c>
      <c r="H550">
        <v>2</v>
      </c>
      <c r="I550">
        <v>2</v>
      </c>
      <c r="J550">
        <v>27</v>
      </c>
      <c r="K550">
        <v>41</v>
      </c>
      <c r="L550">
        <v>823</v>
      </c>
      <c r="M550" t="s">
        <v>36</v>
      </c>
      <c r="N550" t="s">
        <v>15</v>
      </c>
      <c r="O550" t="s">
        <v>16</v>
      </c>
      <c r="P550" t="s">
        <v>31</v>
      </c>
      <c r="Q550" t="str">
        <f t="shared" si="65"/>
        <v>3</v>
      </c>
      <c r="R550" s="5">
        <v>46174</v>
      </c>
      <c r="S550" s="8">
        <f t="shared" si="66"/>
        <v>182.26002430133659</v>
      </c>
      <c r="T550">
        <f t="shared" si="67"/>
        <v>1800000</v>
      </c>
      <c r="U550" t="str">
        <f t="shared" si="68"/>
        <v>Luxury</v>
      </c>
      <c r="V550" t="str">
        <f t="shared" si="69"/>
        <v>Large</v>
      </c>
      <c r="W550" t="str">
        <f>IF(S550 &lt; VLOOKUP(E550, Locality_Tier_Benchmarks!A:B, 2, FALSE) * 0.7, "Below Tier Range", "Normal")</f>
        <v>Normal</v>
      </c>
      <c r="X550" t="str">
        <f t="shared" si="70"/>
        <v>Normal</v>
      </c>
      <c r="Y550" t="str">
        <f t="shared" si="71"/>
        <v>Normal</v>
      </c>
      <c r="Z550" t="str">
        <f t="shared" si="64"/>
        <v>Pass</v>
      </c>
    </row>
    <row r="551" spans="1:26" x14ac:dyDescent="0.25">
      <c r="A551" s="2" t="s">
        <v>953</v>
      </c>
      <c r="B551" t="s">
        <v>17</v>
      </c>
      <c r="C551" t="s">
        <v>1302</v>
      </c>
      <c r="D551" s="2" t="str">
        <f>VLOOKUP(C551,Locality_Reference!A:C,2,)</f>
        <v>Western Line</v>
      </c>
      <c r="E551" s="2" t="str">
        <f>VLOOKUP(C551,Locality_Reference!A:C,3,)</f>
        <v>Premium/South</v>
      </c>
      <c r="F551" s="2" t="s">
        <v>1312</v>
      </c>
      <c r="G551" s="8">
        <v>775000</v>
      </c>
      <c r="H551">
        <v>3</v>
      </c>
      <c r="I551">
        <v>4</v>
      </c>
      <c r="J551">
        <v>15</v>
      </c>
      <c r="K551">
        <v>20</v>
      </c>
      <c r="L551">
        <v>1300</v>
      </c>
      <c r="M551" t="s">
        <v>36</v>
      </c>
      <c r="N551" t="s">
        <v>29</v>
      </c>
      <c r="O551" t="s">
        <v>16</v>
      </c>
      <c r="P551" t="s">
        <v>31</v>
      </c>
      <c r="Q551" t="str">
        <f t="shared" si="65"/>
        <v>3</v>
      </c>
      <c r="R551" s="5">
        <v>46161</v>
      </c>
      <c r="S551" s="8">
        <f t="shared" si="66"/>
        <v>596.15384615384619</v>
      </c>
      <c r="T551">
        <f t="shared" si="67"/>
        <v>9300000</v>
      </c>
      <c r="U551" t="str">
        <f t="shared" si="68"/>
        <v>Luxury</v>
      </c>
      <c r="V551" t="str">
        <f t="shared" si="69"/>
        <v>Spacious</v>
      </c>
      <c r="W551" t="str">
        <f>IF(S551 &lt; VLOOKUP(E551, Locality_Tier_Benchmarks!A:B, 2, FALSE) * 0.7, "Below Tier Range", "Normal")</f>
        <v>Normal</v>
      </c>
      <c r="X551" t="str">
        <f t="shared" si="70"/>
        <v>Normal</v>
      </c>
      <c r="Y551" t="str">
        <f t="shared" si="71"/>
        <v>Possible Typo - Check Zero</v>
      </c>
      <c r="Z551" t="str">
        <f t="shared" si="64"/>
        <v>Review</v>
      </c>
    </row>
    <row r="552" spans="1:26" x14ac:dyDescent="0.25">
      <c r="A552" s="2" t="s">
        <v>954</v>
      </c>
      <c r="B552" t="s">
        <v>366</v>
      </c>
      <c r="C552" t="s">
        <v>1302</v>
      </c>
      <c r="D552" s="2" t="str">
        <f>VLOOKUP(C552,Locality_Reference!A:C,2,)</f>
        <v>Western Line</v>
      </c>
      <c r="E552" s="2" t="str">
        <f>VLOOKUP(C552,Locality_Reference!A:C,3,)</f>
        <v>Premium/South</v>
      </c>
      <c r="F552" s="2" t="s">
        <v>1313</v>
      </c>
      <c r="G552" s="8">
        <v>460000</v>
      </c>
      <c r="H552">
        <v>3</v>
      </c>
      <c r="I552">
        <v>3</v>
      </c>
      <c r="J552">
        <v>20</v>
      </c>
      <c r="K552">
        <v>30</v>
      </c>
      <c r="L552">
        <v>1900</v>
      </c>
      <c r="M552" t="s">
        <v>14</v>
      </c>
      <c r="N552" t="s">
        <v>15</v>
      </c>
      <c r="O552" t="s">
        <v>16</v>
      </c>
      <c r="P552" t="s">
        <v>34</v>
      </c>
      <c r="Q552" t="str">
        <f t="shared" si="65"/>
        <v/>
      </c>
      <c r="R552" s="5">
        <v>46200</v>
      </c>
      <c r="S552" s="8">
        <f t="shared" si="66"/>
        <v>242.10526315789474</v>
      </c>
      <c r="T552">
        <f t="shared" si="67"/>
        <v>5520000</v>
      </c>
      <c r="U552" t="str">
        <f t="shared" si="68"/>
        <v>Luxury</v>
      </c>
      <c r="V552" t="str">
        <f t="shared" si="69"/>
        <v>Spacious</v>
      </c>
      <c r="W552" t="str">
        <f>IF(S552 &lt; VLOOKUP(E552, Locality_Tier_Benchmarks!A:B, 2, FALSE) * 0.7, "Below Tier Range", "Normal")</f>
        <v>Normal</v>
      </c>
      <c r="X552" t="str">
        <f t="shared" si="70"/>
        <v>Normal</v>
      </c>
      <c r="Y552" t="str">
        <f t="shared" si="71"/>
        <v>Normal</v>
      </c>
      <c r="Z552" t="str">
        <f t="shared" si="64"/>
        <v>Pass</v>
      </c>
    </row>
    <row r="553" spans="1:26" x14ac:dyDescent="0.25">
      <c r="A553" s="2" t="s">
        <v>955</v>
      </c>
      <c r="B553" t="s">
        <v>366</v>
      </c>
      <c r="C553" t="s">
        <v>1302</v>
      </c>
      <c r="D553" s="2" t="str">
        <f>VLOOKUP(C553,Locality_Reference!A:C,2,)</f>
        <v>Western Line</v>
      </c>
      <c r="E553" s="2" t="str">
        <f>VLOOKUP(C553,Locality_Reference!A:C,3,)</f>
        <v>Premium/South</v>
      </c>
      <c r="F553" s="2" t="s">
        <v>1314</v>
      </c>
      <c r="G553" s="8">
        <v>180000</v>
      </c>
      <c r="H553">
        <v>3</v>
      </c>
      <c r="I553">
        <v>3</v>
      </c>
      <c r="J553">
        <v>28</v>
      </c>
      <c r="K553">
        <v>40</v>
      </c>
      <c r="L553">
        <v>1100</v>
      </c>
      <c r="M553" t="s">
        <v>36</v>
      </c>
      <c r="N553" t="s">
        <v>29</v>
      </c>
      <c r="O553" t="s">
        <v>16</v>
      </c>
      <c r="P553" t="s">
        <v>47</v>
      </c>
      <c r="Q553" t="str">
        <f t="shared" si="65"/>
        <v>1</v>
      </c>
      <c r="R553" s="5">
        <v>46196</v>
      </c>
      <c r="S553" s="8">
        <f t="shared" si="66"/>
        <v>163.63636363636363</v>
      </c>
      <c r="T553">
        <f t="shared" si="67"/>
        <v>2160000</v>
      </c>
      <c r="U553" t="str">
        <f t="shared" si="68"/>
        <v>Luxury</v>
      </c>
      <c r="V553" t="str">
        <f t="shared" si="69"/>
        <v>Large</v>
      </c>
      <c r="W553" t="str">
        <f>IF(S553 &lt; VLOOKUP(E553, Locality_Tier_Benchmarks!A:B, 2, FALSE) * 0.7, "Below Tier Range", "Normal")</f>
        <v>Normal</v>
      </c>
      <c r="X553" t="str">
        <f t="shared" si="70"/>
        <v>Normal</v>
      </c>
      <c r="Y553" t="str">
        <f t="shared" si="71"/>
        <v>Normal</v>
      </c>
      <c r="Z553" t="str">
        <f t="shared" si="64"/>
        <v>Pass</v>
      </c>
    </row>
    <row r="554" spans="1:26" x14ac:dyDescent="0.25">
      <c r="A554" s="2" t="s">
        <v>956</v>
      </c>
      <c r="B554" t="s">
        <v>17</v>
      </c>
      <c r="C554" t="s">
        <v>1303</v>
      </c>
      <c r="D554" s="2" t="str">
        <f>VLOOKUP(C554,Locality_Reference!A:C,2,)</f>
        <v>Western Line</v>
      </c>
      <c r="E554" s="2" t="str">
        <f>VLOOKUP(C554,Locality_Reference!A:C,3,)</f>
        <v>Premium/South</v>
      </c>
      <c r="F554" s="2" t="s">
        <v>1315</v>
      </c>
      <c r="G554" s="8">
        <v>70000</v>
      </c>
      <c r="H554">
        <v>1</v>
      </c>
      <c r="I554">
        <v>2</v>
      </c>
      <c r="J554">
        <v>16</v>
      </c>
      <c r="K554">
        <v>18</v>
      </c>
      <c r="L554">
        <v>550</v>
      </c>
      <c r="M554" t="s">
        <v>36</v>
      </c>
      <c r="N554" t="s">
        <v>29</v>
      </c>
      <c r="O554" t="s">
        <v>16</v>
      </c>
      <c r="P554" t="s">
        <v>47</v>
      </c>
      <c r="Q554" t="str">
        <f t="shared" si="65"/>
        <v>1</v>
      </c>
      <c r="R554" s="5">
        <v>46199</v>
      </c>
      <c r="S554" s="8">
        <f t="shared" si="66"/>
        <v>127.27272727272727</v>
      </c>
      <c r="T554">
        <f t="shared" si="67"/>
        <v>840000</v>
      </c>
      <c r="U554" t="str">
        <f t="shared" si="68"/>
        <v>Premium</v>
      </c>
      <c r="V554" t="str">
        <f t="shared" si="69"/>
        <v>Medium</v>
      </c>
      <c r="W554" t="str">
        <f>IF(S554 &lt; VLOOKUP(E554, Locality_Tier_Benchmarks!A:B, 2, FALSE) * 0.7, "Below Tier Range", "Normal")</f>
        <v>Normal</v>
      </c>
      <c r="X554" t="str">
        <f t="shared" si="70"/>
        <v>Normal</v>
      </c>
      <c r="Y554" t="str">
        <f t="shared" si="71"/>
        <v>Normal</v>
      </c>
      <c r="Z554" t="str">
        <f t="shared" si="64"/>
        <v>Pass</v>
      </c>
    </row>
    <row r="555" spans="1:26" x14ac:dyDescent="0.25">
      <c r="A555" s="2" t="s">
        <v>957</v>
      </c>
      <c r="B555" t="s">
        <v>17</v>
      </c>
      <c r="C555" t="s">
        <v>1303</v>
      </c>
      <c r="D555" s="2" t="str">
        <f>VLOOKUP(C555,Locality_Reference!A:C,2,)</f>
        <v>Western Line</v>
      </c>
      <c r="E555" s="2" t="str">
        <f>VLOOKUP(C555,Locality_Reference!A:C,3,)</f>
        <v>Premium/South</v>
      </c>
      <c r="F555" s="2" t="s">
        <v>1316</v>
      </c>
      <c r="G555" s="8">
        <v>55000</v>
      </c>
      <c r="H555">
        <v>1</v>
      </c>
      <c r="I555">
        <v>1</v>
      </c>
      <c r="J555">
        <v>25</v>
      </c>
      <c r="K555">
        <v>35</v>
      </c>
      <c r="L555">
        <v>385</v>
      </c>
      <c r="M555" t="s">
        <v>36</v>
      </c>
      <c r="N555" t="s">
        <v>29</v>
      </c>
      <c r="O555" t="s">
        <v>16</v>
      </c>
      <c r="P555" t="s">
        <v>31</v>
      </c>
      <c r="Q555" t="str">
        <f t="shared" si="65"/>
        <v>3</v>
      </c>
      <c r="R555" s="5">
        <v>46200</v>
      </c>
      <c r="S555" s="8">
        <f t="shared" si="66"/>
        <v>142.85714285714286</v>
      </c>
      <c r="T555">
        <f t="shared" si="67"/>
        <v>660000</v>
      </c>
      <c r="U555" t="str">
        <f t="shared" si="68"/>
        <v>Mid</v>
      </c>
      <c r="V555" t="str">
        <f t="shared" si="69"/>
        <v>Compact</v>
      </c>
      <c r="W555" t="str">
        <f>IF(S555 &lt; VLOOKUP(E555, Locality_Tier_Benchmarks!A:B, 2, FALSE) * 0.7, "Below Tier Range", "Normal")</f>
        <v>Normal</v>
      </c>
      <c r="X555" t="str">
        <f t="shared" si="70"/>
        <v>Normal</v>
      </c>
      <c r="Y555" t="str">
        <f t="shared" si="71"/>
        <v>Normal</v>
      </c>
      <c r="Z555" t="str">
        <f t="shared" si="64"/>
        <v>Pass</v>
      </c>
    </row>
    <row r="556" spans="1:26" x14ac:dyDescent="0.25">
      <c r="A556" s="2" t="s">
        <v>958</v>
      </c>
      <c r="B556" t="s">
        <v>17</v>
      </c>
      <c r="C556" t="s">
        <v>1303</v>
      </c>
      <c r="D556" s="2" t="str">
        <f>VLOOKUP(C556,Locality_Reference!A:C,2,)</f>
        <v>Western Line</v>
      </c>
      <c r="E556" s="2" t="str">
        <f>VLOOKUP(C556,Locality_Reference!A:C,3,)</f>
        <v>Premium/South</v>
      </c>
      <c r="F556" s="2" t="s">
        <v>1317</v>
      </c>
      <c r="G556" s="8">
        <v>29000</v>
      </c>
      <c r="H556">
        <v>1</v>
      </c>
      <c r="I556">
        <v>1</v>
      </c>
      <c r="J556">
        <v>15</v>
      </c>
      <c r="K556">
        <v>25</v>
      </c>
      <c r="L556">
        <v>230</v>
      </c>
      <c r="M556" t="s">
        <v>36</v>
      </c>
      <c r="N556" t="s">
        <v>29</v>
      </c>
      <c r="O556" t="s">
        <v>16</v>
      </c>
      <c r="P556" t="s">
        <v>31</v>
      </c>
      <c r="Q556" t="str">
        <f t="shared" si="65"/>
        <v>3</v>
      </c>
      <c r="R556" s="5">
        <v>46188</v>
      </c>
      <c r="S556" s="8">
        <f t="shared" si="66"/>
        <v>126.08695652173913</v>
      </c>
      <c r="T556">
        <f t="shared" si="67"/>
        <v>348000</v>
      </c>
      <c r="U556" t="str">
        <f t="shared" si="68"/>
        <v>Budget</v>
      </c>
      <c r="V556" t="str">
        <f t="shared" si="69"/>
        <v>Compact</v>
      </c>
      <c r="W556" t="str">
        <f>IF(S556 &lt; VLOOKUP(E556, Locality_Tier_Benchmarks!A:B, 2, FALSE) * 0.7, "Below Tier Range", "Normal")</f>
        <v>Normal</v>
      </c>
      <c r="X556" t="str">
        <f t="shared" si="70"/>
        <v>Normal</v>
      </c>
      <c r="Y556" t="str">
        <f t="shared" si="71"/>
        <v>Normal</v>
      </c>
      <c r="Z556" t="str">
        <f t="shared" si="64"/>
        <v>Pass</v>
      </c>
    </row>
    <row r="557" spans="1:26" x14ac:dyDescent="0.25">
      <c r="A557" s="2" t="s">
        <v>959</v>
      </c>
      <c r="B557" t="s">
        <v>17</v>
      </c>
      <c r="C557" t="s">
        <v>1303</v>
      </c>
      <c r="D557" s="2" t="str">
        <f>VLOOKUP(C557,Locality_Reference!A:C,2,)</f>
        <v>Western Line</v>
      </c>
      <c r="E557" s="2" t="str">
        <f>VLOOKUP(C557,Locality_Reference!A:C,3,)</f>
        <v>Premium/South</v>
      </c>
      <c r="F557" s="2" t="s">
        <v>1318</v>
      </c>
      <c r="G557" s="8">
        <v>65000</v>
      </c>
      <c r="H557">
        <v>1</v>
      </c>
      <c r="I557">
        <v>1</v>
      </c>
      <c r="J557">
        <v>5</v>
      </c>
      <c r="K557">
        <v>7</v>
      </c>
      <c r="L557">
        <v>450</v>
      </c>
      <c r="M557" t="s">
        <v>36</v>
      </c>
      <c r="N557" t="s">
        <v>29</v>
      </c>
      <c r="O557" t="s">
        <v>16</v>
      </c>
      <c r="P557" t="s">
        <v>52</v>
      </c>
      <c r="Q557" t="str">
        <f t="shared" si="65"/>
        <v>7.5</v>
      </c>
      <c r="R557" s="5">
        <v>46176</v>
      </c>
      <c r="S557" s="8">
        <f t="shared" si="66"/>
        <v>144.44444444444446</v>
      </c>
      <c r="T557">
        <f t="shared" si="67"/>
        <v>780000</v>
      </c>
      <c r="U557" t="str">
        <f t="shared" si="68"/>
        <v>Premium</v>
      </c>
      <c r="V557" t="str">
        <f t="shared" si="69"/>
        <v>Compact</v>
      </c>
      <c r="W557" t="str">
        <f>IF(S557 &lt; VLOOKUP(E557, Locality_Tier_Benchmarks!A:B, 2, FALSE) * 0.7, "Below Tier Range", "Normal")</f>
        <v>Normal</v>
      </c>
      <c r="X557" t="str">
        <f t="shared" si="70"/>
        <v>Normal</v>
      </c>
      <c r="Y557" t="str">
        <f t="shared" si="71"/>
        <v>Normal</v>
      </c>
      <c r="Z557" t="str">
        <f t="shared" si="64"/>
        <v>Pass</v>
      </c>
    </row>
    <row r="558" spans="1:26" x14ac:dyDescent="0.25">
      <c r="A558" s="2" t="s">
        <v>960</v>
      </c>
      <c r="B558" t="s">
        <v>17</v>
      </c>
      <c r="C558" t="s">
        <v>1303</v>
      </c>
      <c r="D558" s="2" t="str">
        <f>VLOOKUP(C558,Locality_Reference!A:C,2,)</f>
        <v>Western Line</v>
      </c>
      <c r="E558" s="2" t="str">
        <f>VLOOKUP(C558,Locality_Reference!A:C,3,)</f>
        <v>Premium/South</v>
      </c>
      <c r="F558" s="2" t="s">
        <v>1319</v>
      </c>
      <c r="G558" s="8">
        <v>30000</v>
      </c>
      <c r="H558">
        <v>1</v>
      </c>
      <c r="I558">
        <v>1</v>
      </c>
      <c r="J558">
        <v>21</v>
      </c>
      <c r="K558">
        <v>30</v>
      </c>
      <c r="L558">
        <v>350</v>
      </c>
      <c r="M558" t="s">
        <v>33</v>
      </c>
      <c r="N558" t="s">
        <v>29</v>
      </c>
      <c r="O558" t="s">
        <v>16</v>
      </c>
      <c r="P558" t="s">
        <v>47</v>
      </c>
      <c r="Q558" t="str">
        <f t="shared" si="65"/>
        <v>1</v>
      </c>
      <c r="R558" s="5">
        <v>46154</v>
      </c>
      <c r="S558" s="8">
        <f t="shared" si="66"/>
        <v>85.714285714285708</v>
      </c>
      <c r="T558">
        <f t="shared" si="67"/>
        <v>360000</v>
      </c>
      <c r="U558" t="str">
        <f t="shared" si="68"/>
        <v>Budget</v>
      </c>
      <c r="V558" t="str">
        <f t="shared" si="69"/>
        <v>Compact</v>
      </c>
      <c r="W558" t="str">
        <f>IF(S558 &lt; VLOOKUP(E558, Locality_Tier_Benchmarks!A:B, 2, FALSE) * 0.7, "Below Tier Range", "Normal")</f>
        <v>Normal</v>
      </c>
      <c r="X558" t="str">
        <f t="shared" si="70"/>
        <v>Normal</v>
      </c>
      <c r="Y558" t="str">
        <f t="shared" si="71"/>
        <v>Normal</v>
      </c>
      <c r="Z558" t="str">
        <f t="shared" si="64"/>
        <v>Pass</v>
      </c>
    </row>
    <row r="559" spans="1:26" x14ac:dyDescent="0.25">
      <c r="A559" s="2" t="s">
        <v>961</v>
      </c>
      <c r="B559" t="s">
        <v>17</v>
      </c>
      <c r="C559" t="s">
        <v>1303</v>
      </c>
      <c r="D559" s="2" t="str">
        <f>VLOOKUP(C559,Locality_Reference!A:C,2,)</f>
        <v>Western Line</v>
      </c>
      <c r="E559" s="2" t="str">
        <f>VLOOKUP(C559,Locality_Reference!A:C,3,)</f>
        <v>Premium/South</v>
      </c>
      <c r="F559" s="2" t="s">
        <v>1320</v>
      </c>
      <c r="G559" s="8">
        <v>90000</v>
      </c>
      <c r="H559">
        <v>2</v>
      </c>
      <c r="I559">
        <v>2</v>
      </c>
      <c r="J559">
        <v>11</v>
      </c>
      <c r="K559">
        <v>14</v>
      </c>
      <c r="L559">
        <v>560</v>
      </c>
      <c r="M559" t="s">
        <v>36</v>
      </c>
      <c r="N559" t="s">
        <v>29</v>
      </c>
      <c r="O559" t="s">
        <v>16</v>
      </c>
      <c r="P559" t="s">
        <v>52</v>
      </c>
      <c r="Q559" t="str">
        <f t="shared" si="65"/>
        <v>7.5</v>
      </c>
      <c r="R559" s="5">
        <v>46202</v>
      </c>
      <c r="S559" s="8">
        <f t="shared" si="66"/>
        <v>160.71428571428572</v>
      </c>
      <c r="T559">
        <f t="shared" si="67"/>
        <v>1080000</v>
      </c>
      <c r="U559" t="str">
        <f t="shared" si="68"/>
        <v>Premium</v>
      </c>
      <c r="V559" t="str">
        <f t="shared" si="69"/>
        <v>Medium</v>
      </c>
      <c r="W559" t="str">
        <f>IF(S559 &lt; VLOOKUP(E559, Locality_Tier_Benchmarks!A:B, 2, FALSE) * 0.7, "Below Tier Range", "Normal")</f>
        <v>Normal</v>
      </c>
      <c r="X559" t="str">
        <f t="shared" si="70"/>
        <v>Normal</v>
      </c>
      <c r="Y559" t="str">
        <f t="shared" si="71"/>
        <v>Normal</v>
      </c>
      <c r="Z559" t="str">
        <f t="shared" si="64"/>
        <v>Pass</v>
      </c>
    </row>
    <row r="560" spans="1:26" x14ac:dyDescent="0.25">
      <c r="A560" s="2" t="s">
        <v>962</v>
      </c>
      <c r="B560" t="s">
        <v>17</v>
      </c>
      <c r="C560" t="s">
        <v>1303</v>
      </c>
      <c r="D560" s="2" t="str">
        <f>VLOOKUP(C560,Locality_Reference!A:C,2,)</f>
        <v>Western Line</v>
      </c>
      <c r="E560" s="2" t="str">
        <f>VLOOKUP(C560,Locality_Reference!A:C,3,)</f>
        <v>Premium/South</v>
      </c>
      <c r="F560" s="2" t="s">
        <v>1321</v>
      </c>
      <c r="G560" s="8">
        <v>290000</v>
      </c>
      <c r="H560">
        <v>2</v>
      </c>
      <c r="I560">
        <v>2</v>
      </c>
      <c r="J560">
        <v>30</v>
      </c>
      <c r="K560">
        <v>31</v>
      </c>
      <c r="L560">
        <v>1325</v>
      </c>
      <c r="M560" t="s">
        <v>36</v>
      </c>
      <c r="N560" t="s">
        <v>15</v>
      </c>
      <c r="O560" t="s">
        <v>16</v>
      </c>
      <c r="P560" t="s">
        <v>31</v>
      </c>
      <c r="Q560" t="str">
        <f t="shared" si="65"/>
        <v>3</v>
      </c>
      <c r="R560" s="5">
        <v>46165</v>
      </c>
      <c r="S560" s="8">
        <f t="shared" si="66"/>
        <v>218.8679245283019</v>
      </c>
      <c r="T560">
        <f t="shared" si="67"/>
        <v>3480000</v>
      </c>
      <c r="U560" t="str">
        <f t="shared" si="68"/>
        <v>Luxury</v>
      </c>
      <c r="V560" t="str">
        <f t="shared" si="69"/>
        <v>Spacious</v>
      </c>
      <c r="W560" t="str">
        <f>IF(S560 &lt; VLOOKUP(E560, Locality_Tier_Benchmarks!A:B, 2, FALSE) * 0.7, "Below Tier Range", "Normal")</f>
        <v>Normal</v>
      </c>
      <c r="X560" t="str">
        <f t="shared" si="70"/>
        <v>Normal</v>
      </c>
      <c r="Y560" t="str">
        <f t="shared" si="71"/>
        <v>Normal</v>
      </c>
      <c r="Z560" t="str">
        <f t="shared" si="64"/>
        <v>Pass</v>
      </c>
    </row>
    <row r="561" spans="1:26" x14ac:dyDescent="0.25">
      <c r="A561" s="2" t="s">
        <v>963</v>
      </c>
      <c r="B561" t="s">
        <v>17</v>
      </c>
      <c r="C561" t="s">
        <v>1303</v>
      </c>
      <c r="D561" s="2" t="str">
        <f>VLOOKUP(C561,Locality_Reference!A:C,2,)</f>
        <v>Western Line</v>
      </c>
      <c r="E561" s="2" t="str">
        <f>VLOOKUP(C561,Locality_Reference!A:C,3,)</f>
        <v>Premium/South</v>
      </c>
      <c r="F561" s="2" t="s">
        <v>1315</v>
      </c>
      <c r="G561" s="8">
        <v>240000</v>
      </c>
      <c r="H561">
        <v>2</v>
      </c>
      <c r="I561">
        <v>2</v>
      </c>
      <c r="J561">
        <v>14</v>
      </c>
      <c r="K561">
        <v>20</v>
      </c>
      <c r="L561">
        <v>950</v>
      </c>
      <c r="M561" t="s">
        <v>14</v>
      </c>
      <c r="N561" t="s">
        <v>29</v>
      </c>
      <c r="O561" t="s">
        <v>16</v>
      </c>
      <c r="P561" t="s">
        <v>34</v>
      </c>
      <c r="Q561" t="str">
        <f t="shared" si="65"/>
        <v/>
      </c>
      <c r="R561" s="5">
        <v>46190</v>
      </c>
      <c r="S561" s="8">
        <f t="shared" si="66"/>
        <v>252.63157894736841</v>
      </c>
      <c r="T561">
        <f t="shared" si="67"/>
        <v>2880000</v>
      </c>
      <c r="U561" t="str">
        <f t="shared" si="68"/>
        <v>Luxury</v>
      </c>
      <c r="V561" t="str">
        <f t="shared" si="69"/>
        <v>Large</v>
      </c>
      <c r="W561" t="str">
        <f>IF(S561 &lt; VLOOKUP(E561, Locality_Tier_Benchmarks!A:B, 2, FALSE) * 0.7, "Below Tier Range", "Normal")</f>
        <v>Normal</v>
      </c>
      <c r="X561" t="str">
        <f t="shared" si="70"/>
        <v>Normal</v>
      </c>
      <c r="Y561" t="str">
        <f t="shared" si="71"/>
        <v>Normal</v>
      </c>
      <c r="Z561" t="str">
        <f t="shared" si="64"/>
        <v>Pass</v>
      </c>
    </row>
    <row r="562" spans="1:26" x14ac:dyDescent="0.25">
      <c r="A562" s="2" t="s">
        <v>964</v>
      </c>
      <c r="B562" t="s">
        <v>17</v>
      </c>
      <c r="C562" t="s">
        <v>1303</v>
      </c>
      <c r="D562" s="2" t="str">
        <f>VLOOKUP(C562,Locality_Reference!A:C,2,)</f>
        <v>Western Line</v>
      </c>
      <c r="E562" s="2" t="str">
        <f>VLOOKUP(C562,Locality_Reference!A:C,3,)</f>
        <v>Premium/South</v>
      </c>
      <c r="F562" s="2" t="s">
        <v>1307</v>
      </c>
      <c r="G562" s="8">
        <v>110000</v>
      </c>
      <c r="H562">
        <v>2</v>
      </c>
      <c r="I562">
        <v>2</v>
      </c>
      <c r="J562">
        <v>12</v>
      </c>
      <c r="K562">
        <v>22</v>
      </c>
      <c r="L562">
        <v>577</v>
      </c>
      <c r="M562" t="s">
        <v>36</v>
      </c>
      <c r="N562" t="s">
        <v>29</v>
      </c>
      <c r="O562" t="s">
        <v>16</v>
      </c>
      <c r="P562" t="s">
        <v>34</v>
      </c>
      <c r="Q562" t="str">
        <f t="shared" si="65"/>
        <v/>
      </c>
      <c r="R562" s="5">
        <v>46184</v>
      </c>
      <c r="S562" s="8">
        <f t="shared" si="66"/>
        <v>190.64124783362217</v>
      </c>
      <c r="T562">
        <f t="shared" si="67"/>
        <v>1320000</v>
      </c>
      <c r="U562" t="str">
        <f t="shared" si="68"/>
        <v>Luxury</v>
      </c>
      <c r="V562" t="str">
        <f t="shared" si="69"/>
        <v>Medium</v>
      </c>
      <c r="W562" t="str">
        <f>IF(S562 &lt; VLOOKUP(E562, Locality_Tier_Benchmarks!A:B, 2, FALSE) * 0.7, "Below Tier Range", "Normal")</f>
        <v>Normal</v>
      </c>
      <c r="X562" t="str">
        <f t="shared" si="70"/>
        <v>Normal</v>
      </c>
      <c r="Y562" t="str">
        <f t="shared" si="71"/>
        <v>Normal</v>
      </c>
      <c r="Z562" t="str">
        <f t="shared" si="64"/>
        <v>Pass</v>
      </c>
    </row>
    <row r="563" spans="1:26" x14ac:dyDescent="0.25">
      <c r="A563" s="2" t="s">
        <v>965</v>
      </c>
      <c r="B563" t="s">
        <v>17</v>
      </c>
      <c r="C563" t="s">
        <v>1303</v>
      </c>
      <c r="D563" s="2" t="str">
        <f>VLOOKUP(C563,Locality_Reference!A:C,2,)</f>
        <v>Western Line</v>
      </c>
      <c r="E563" s="2" t="str">
        <f>VLOOKUP(C563,Locality_Reference!A:C,3,)</f>
        <v>Premium/South</v>
      </c>
      <c r="F563" s="2" t="s">
        <v>1316</v>
      </c>
      <c r="G563" s="8">
        <v>130000</v>
      </c>
      <c r="H563">
        <v>2</v>
      </c>
      <c r="I563">
        <v>2</v>
      </c>
      <c r="J563">
        <v>12</v>
      </c>
      <c r="K563">
        <v>33</v>
      </c>
      <c r="L563">
        <v>740</v>
      </c>
      <c r="M563" t="s">
        <v>36</v>
      </c>
      <c r="N563" t="s">
        <v>29</v>
      </c>
      <c r="O563" t="s">
        <v>16</v>
      </c>
      <c r="P563" t="s">
        <v>31</v>
      </c>
      <c r="Q563" t="str">
        <f t="shared" si="65"/>
        <v>3</v>
      </c>
      <c r="R563" s="5">
        <v>46197</v>
      </c>
      <c r="S563" s="8">
        <f t="shared" si="66"/>
        <v>175.67567567567568</v>
      </c>
      <c r="T563">
        <f t="shared" si="67"/>
        <v>1560000</v>
      </c>
      <c r="U563" t="str">
        <f t="shared" si="68"/>
        <v>Luxury</v>
      </c>
      <c r="V563" t="str">
        <f t="shared" si="69"/>
        <v>Medium</v>
      </c>
      <c r="W563" t="str">
        <f>IF(S563 &lt; VLOOKUP(E563, Locality_Tier_Benchmarks!A:B, 2, FALSE) * 0.7, "Below Tier Range", "Normal")</f>
        <v>Normal</v>
      </c>
      <c r="X563" t="str">
        <f t="shared" si="70"/>
        <v>Normal</v>
      </c>
      <c r="Y563" t="str">
        <f t="shared" si="71"/>
        <v>Normal</v>
      </c>
      <c r="Z563" t="str">
        <f t="shared" si="64"/>
        <v>Pass</v>
      </c>
    </row>
    <row r="564" spans="1:26" x14ac:dyDescent="0.25">
      <c r="A564" s="2" t="s">
        <v>966</v>
      </c>
      <c r="B564" t="s">
        <v>17</v>
      </c>
      <c r="C564" t="s">
        <v>1303</v>
      </c>
      <c r="D564" s="2" t="str">
        <f>VLOOKUP(C564,Locality_Reference!A:C,2,)</f>
        <v>Western Line</v>
      </c>
      <c r="E564" s="2" t="str">
        <f>VLOOKUP(C564,Locality_Reference!A:C,3,)</f>
        <v>Premium/South</v>
      </c>
      <c r="F564" s="2" t="s">
        <v>1321</v>
      </c>
      <c r="G564" s="8">
        <v>350000</v>
      </c>
      <c r="H564">
        <v>3</v>
      </c>
      <c r="I564">
        <v>3</v>
      </c>
      <c r="J564">
        <v>40</v>
      </c>
      <c r="K564">
        <v>50</v>
      </c>
      <c r="L564">
        <v>1600</v>
      </c>
      <c r="M564" t="s">
        <v>14</v>
      </c>
      <c r="N564" t="s">
        <v>29</v>
      </c>
      <c r="O564" t="s">
        <v>16</v>
      </c>
      <c r="P564" t="s">
        <v>52</v>
      </c>
      <c r="Q564" t="str">
        <f t="shared" si="65"/>
        <v>7.5</v>
      </c>
      <c r="R564" s="5">
        <v>46200</v>
      </c>
      <c r="S564" s="8">
        <f t="shared" si="66"/>
        <v>218.75</v>
      </c>
      <c r="T564">
        <f t="shared" si="67"/>
        <v>4200000</v>
      </c>
      <c r="U564" t="str">
        <f t="shared" si="68"/>
        <v>Luxury</v>
      </c>
      <c r="V564" t="str">
        <f t="shared" si="69"/>
        <v>Spacious</v>
      </c>
      <c r="W564" t="str">
        <f>IF(S564 &lt; VLOOKUP(E564, Locality_Tier_Benchmarks!A:B, 2, FALSE) * 0.7, "Below Tier Range", "Normal")</f>
        <v>Normal</v>
      </c>
      <c r="X564" t="str">
        <f t="shared" si="70"/>
        <v>Normal</v>
      </c>
      <c r="Y564" t="str">
        <f t="shared" si="71"/>
        <v>Normal</v>
      </c>
      <c r="Z564" t="str">
        <f t="shared" si="64"/>
        <v>Pass</v>
      </c>
    </row>
    <row r="565" spans="1:26" x14ac:dyDescent="0.25">
      <c r="A565" s="2" t="s">
        <v>967</v>
      </c>
      <c r="B565" t="s">
        <v>17</v>
      </c>
      <c r="C565" t="s">
        <v>1303</v>
      </c>
      <c r="D565" s="2" t="str">
        <f>VLOOKUP(C565,Locality_Reference!A:C,2,)</f>
        <v>Western Line</v>
      </c>
      <c r="E565" s="2" t="str">
        <f>VLOOKUP(C565,Locality_Reference!A:C,3,)</f>
        <v>Premium/South</v>
      </c>
      <c r="F565" s="2" t="s">
        <v>1315</v>
      </c>
      <c r="G565" s="8">
        <v>250000</v>
      </c>
      <c r="H565">
        <v>3</v>
      </c>
      <c r="I565">
        <v>2</v>
      </c>
      <c r="J565">
        <v>15</v>
      </c>
      <c r="K565">
        <v>23</v>
      </c>
      <c r="L565">
        <v>1100</v>
      </c>
      <c r="M565" t="s">
        <v>14</v>
      </c>
      <c r="N565" t="s">
        <v>29</v>
      </c>
      <c r="O565" t="s">
        <v>16</v>
      </c>
      <c r="P565" t="s">
        <v>47</v>
      </c>
      <c r="Q565" t="str">
        <f t="shared" si="65"/>
        <v>1</v>
      </c>
      <c r="R565" s="5">
        <v>46192</v>
      </c>
      <c r="S565" s="8">
        <f t="shared" si="66"/>
        <v>227.27272727272728</v>
      </c>
      <c r="T565">
        <f t="shared" si="67"/>
        <v>3000000</v>
      </c>
      <c r="U565" t="str">
        <f t="shared" si="68"/>
        <v>Luxury</v>
      </c>
      <c r="V565" t="str">
        <f t="shared" si="69"/>
        <v>Large</v>
      </c>
      <c r="W565" t="str">
        <f>IF(S565 &lt; VLOOKUP(E565, Locality_Tier_Benchmarks!A:B, 2, FALSE) * 0.7, "Below Tier Range", "Normal")</f>
        <v>Normal</v>
      </c>
      <c r="X565" t="str">
        <f t="shared" si="70"/>
        <v>Normal</v>
      </c>
      <c r="Y565" t="str">
        <f t="shared" si="71"/>
        <v>Normal</v>
      </c>
      <c r="Z565" t="str">
        <f t="shared" si="64"/>
        <v>Pass</v>
      </c>
    </row>
    <row r="566" spans="1:26" x14ac:dyDescent="0.25">
      <c r="A566" s="2" t="s">
        <v>968</v>
      </c>
      <c r="B566" t="s">
        <v>17</v>
      </c>
      <c r="C566" t="s">
        <v>1303</v>
      </c>
      <c r="D566" s="2" t="str">
        <f>VLOOKUP(C566,Locality_Reference!A:C,2,)</f>
        <v>Western Line</v>
      </c>
      <c r="E566" s="2" t="str">
        <f>VLOOKUP(C566,Locality_Reference!A:C,3,)</f>
        <v>Premium/South</v>
      </c>
      <c r="F566" s="2" t="s">
        <v>1322</v>
      </c>
      <c r="G566" s="8">
        <v>325000</v>
      </c>
      <c r="H566">
        <v>3</v>
      </c>
      <c r="I566">
        <v>3</v>
      </c>
      <c r="J566">
        <v>68</v>
      </c>
      <c r="K566">
        <v>79</v>
      </c>
      <c r="L566">
        <v>1375</v>
      </c>
      <c r="M566" t="s">
        <v>36</v>
      </c>
      <c r="N566" t="s">
        <v>15</v>
      </c>
      <c r="O566" t="s">
        <v>16</v>
      </c>
      <c r="P566" t="s">
        <v>52</v>
      </c>
      <c r="Q566" t="str">
        <f t="shared" si="65"/>
        <v>7.5</v>
      </c>
      <c r="R566" s="5">
        <v>46183</v>
      </c>
      <c r="S566" s="8">
        <f t="shared" si="66"/>
        <v>236.36363636363637</v>
      </c>
      <c r="T566">
        <f t="shared" si="67"/>
        <v>3900000</v>
      </c>
      <c r="U566" t="str">
        <f t="shared" si="68"/>
        <v>Luxury</v>
      </c>
      <c r="V566" t="str">
        <f t="shared" si="69"/>
        <v>Spacious</v>
      </c>
      <c r="W566" t="str">
        <f>IF(S566 &lt; VLOOKUP(E566, Locality_Tier_Benchmarks!A:B, 2, FALSE) * 0.7, "Below Tier Range", "Normal")</f>
        <v>Normal</v>
      </c>
      <c r="X566" t="str">
        <f t="shared" si="70"/>
        <v>Normal</v>
      </c>
      <c r="Y566" t="str">
        <f t="shared" si="71"/>
        <v>Normal</v>
      </c>
      <c r="Z566" t="str">
        <f t="shared" si="64"/>
        <v>Pass</v>
      </c>
    </row>
    <row r="567" spans="1:26" x14ac:dyDescent="0.25">
      <c r="A567" s="2" t="s">
        <v>969</v>
      </c>
      <c r="B567" t="s">
        <v>17</v>
      </c>
      <c r="C567" t="s">
        <v>1303</v>
      </c>
      <c r="D567" s="2" t="str">
        <f>VLOOKUP(C567,Locality_Reference!A:C,2,)</f>
        <v>Western Line</v>
      </c>
      <c r="E567" s="2" t="str">
        <f>VLOOKUP(C567,Locality_Reference!A:C,3,)</f>
        <v>Premium/South</v>
      </c>
      <c r="F567" s="2" t="s">
        <v>1323</v>
      </c>
      <c r="G567" s="8">
        <v>160000</v>
      </c>
      <c r="H567">
        <v>3</v>
      </c>
      <c r="I567">
        <v>3</v>
      </c>
      <c r="J567">
        <v>6</v>
      </c>
      <c r="K567">
        <v>11</v>
      </c>
      <c r="L567">
        <v>1300</v>
      </c>
      <c r="M567" t="s">
        <v>36</v>
      </c>
      <c r="N567" t="s">
        <v>29</v>
      </c>
      <c r="O567" t="s">
        <v>16</v>
      </c>
      <c r="P567" t="s">
        <v>52</v>
      </c>
      <c r="Q567" t="str">
        <f t="shared" si="65"/>
        <v>7.5</v>
      </c>
      <c r="R567" s="5">
        <v>46179</v>
      </c>
      <c r="S567" s="8">
        <f t="shared" si="66"/>
        <v>123.07692307692308</v>
      </c>
      <c r="T567">
        <f t="shared" si="67"/>
        <v>1920000</v>
      </c>
      <c r="U567" t="str">
        <f t="shared" si="68"/>
        <v>Luxury</v>
      </c>
      <c r="V567" t="str">
        <f t="shared" si="69"/>
        <v>Spacious</v>
      </c>
      <c r="W567" t="str">
        <f>IF(S567 &lt; VLOOKUP(E567, Locality_Tier_Benchmarks!A:B, 2, FALSE) * 0.7, "Below Tier Range", "Normal")</f>
        <v>Normal</v>
      </c>
      <c r="X567" t="str">
        <f t="shared" si="70"/>
        <v>Normal</v>
      </c>
      <c r="Y567" t="str">
        <f t="shared" si="71"/>
        <v>Normal</v>
      </c>
      <c r="Z567" t="str">
        <f t="shared" si="64"/>
        <v>Pass</v>
      </c>
    </row>
    <row r="568" spans="1:26" x14ac:dyDescent="0.25">
      <c r="A568" s="2" t="s">
        <v>970</v>
      </c>
      <c r="B568" t="s">
        <v>17</v>
      </c>
      <c r="C568" t="s">
        <v>1303</v>
      </c>
      <c r="D568" s="2" t="str">
        <f>VLOOKUP(C568,Locality_Reference!A:C,2,)</f>
        <v>Western Line</v>
      </c>
      <c r="E568" s="2" t="str">
        <f>VLOOKUP(C568,Locality_Reference!A:C,3,)</f>
        <v>Premium/South</v>
      </c>
      <c r="F568" s="2" t="s">
        <v>1324</v>
      </c>
      <c r="G568" s="8">
        <v>225000</v>
      </c>
      <c r="H568">
        <v>3</v>
      </c>
      <c r="I568">
        <v>3</v>
      </c>
      <c r="J568">
        <v>8</v>
      </c>
      <c r="K568">
        <v>32</v>
      </c>
      <c r="L568">
        <v>1250</v>
      </c>
      <c r="M568" t="s">
        <v>36</v>
      </c>
      <c r="N568" t="s">
        <v>29</v>
      </c>
      <c r="O568" t="s">
        <v>16</v>
      </c>
      <c r="P568" t="s">
        <v>52</v>
      </c>
      <c r="Q568" t="str">
        <f t="shared" si="65"/>
        <v>7.5</v>
      </c>
      <c r="R568" s="5">
        <v>46164</v>
      </c>
      <c r="S568" s="8">
        <f t="shared" si="66"/>
        <v>180</v>
      </c>
      <c r="T568">
        <f t="shared" si="67"/>
        <v>2700000</v>
      </c>
      <c r="U568" t="str">
        <f t="shared" si="68"/>
        <v>Luxury</v>
      </c>
      <c r="V568" t="str">
        <f t="shared" si="69"/>
        <v>Spacious</v>
      </c>
      <c r="W568" t="str">
        <f>IF(S568 &lt; VLOOKUP(E568, Locality_Tier_Benchmarks!A:B, 2, FALSE) * 0.7, "Below Tier Range", "Normal")</f>
        <v>Normal</v>
      </c>
      <c r="X568" t="str">
        <f t="shared" si="70"/>
        <v>Normal</v>
      </c>
      <c r="Y568" t="str">
        <f t="shared" si="71"/>
        <v>Normal</v>
      </c>
      <c r="Z568" t="str">
        <f t="shared" si="64"/>
        <v>Pass</v>
      </c>
    </row>
    <row r="569" spans="1:26" x14ac:dyDescent="0.25">
      <c r="A569" s="2" t="s">
        <v>971</v>
      </c>
      <c r="B569" t="s">
        <v>17</v>
      </c>
      <c r="C569" t="s">
        <v>458</v>
      </c>
      <c r="D569" s="2" t="str">
        <f>VLOOKUP(C569,Locality_Reference!A:C,2,)</f>
        <v>Western Line</v>
      </c>
      <c r="E569" s="2" t="str">
        <f>VLOOKUP(C569,Locality_Reference!A:C,3,)</f>
        <v>Premium/South</v>
      </c>
      <c r="F569" s="2" t="s">
        <v>1325</v>
      </c>
      <c r="G569" s="8">
        <v>30000</v>
      </c>
      <c r="H569">
        <v>1</v>
      </c>
      <c r="I569">
        <v>1</v>
      </c>
      <c r="J569">
        <v>5</v>
      </c>
      <c r="K569">
        <v>25</v>
      </c>
      <c r="L569">
        <v>550</v>
      </c>
      <c r="M569" t="s">
        <v>14</v>
      </c>
      <c r="N569" t="s">
        <v>29</v>
      </c>
      <c r="O569" t="s">
        <v>16</v>
      </c>
      <c r="P569" t="s">
        <v>34</v>
      </c>
      <c r="Q569" t="str">
        <f t="shared" si="65"/>
        <v/>
      </c>
      <c r="R569" s="5">
        <v>46199</v>
      </c>
      <c r="S569" s="8">
        <f t="shared" si="66"/>
        <v>54.545454545454547</v>
      </c>
      <c r="T569">
        <f t="shared" si="67"/>
        <v>360000</v>
      </c>
      <c r="U569" t="str">
        <f t="shared" si="68"/>
        <v>Budget</v>
      </c>
      <c r="V569" t="str">
        <f t="shared" si="69"/>
        <v>Medium</v>
      </c>
      <c r="W569" t="str">
        <f>IF(S569 &lt; VLOOKUP(E569, Locality_Tier_Benchmarks!A:B, 2, FALSE) * 0.7, "Below Tier Range", "Normal")</f>
        <v>Below Tier Range</v>
      </c>
      <c r="X569" t="str">
        <f t="shared" si="70"/>
        <v>Normal</v>
      </c>
      <c r="Y569" t="str">
        <f t="shared" si="71"/>
        <v>Normal</v>
      </c>
      <c r="Z569" t="str">
        <f t="shared" si="64"/>
        <v>Review</v>
      </c>
    </row>
    <row r="570" spans="1:26" x14ac:dyDescent="0.25">
      <c r="A570" s="2" t="s">
        <v>972</v>
      </c>
      <c r="B570" t="s">
        <v>17</v>
      </c>
      <c r="C570" t="s">
        <v>458</v>
      </c>
      <c r="D570" s="2" t="str">
        <f>VLOOKUP(C570,Locality_Reference!A:C,2,)</f>
        <v>Western Line</v>
      </c>
      <c r="E570" s="2" t="str">
        <f>VLOOKUP(C570,Locality_Reference!A:C,3,)</f>
        <v>Premium/South</v>
      </c>
      <c r="F570" s="2" t="s">
        <v>1326</v>
      </c>
      <c r="G570" s="8">
        <v>40000</v>
      </c>
      <c r="H570">
        <v>1</v>
      </c>
      <c r="I570">
        <v>1</v>
      </c>
      <c r="J570">
        <v>18</v>
      </c>
      <c r="K570">
        <v>22</v>
      </c>
      <c r="L570">
        <v>345</v>
      </c>
      <c r="M570" t="s">
        <v>36</v>
      </c>
      <c r="N570" t="s">
        <v>29</v>
      </c>
      <c r="O570" t="s">
        <v>16</v>
      </c>
      <c r="P570" t="s">
        <v>31</v>
      </c>
      <c r="Q570" t="str">
        <f t="shared" si="65"/>
        <v>3</v>
      </c>
      <c r="R570" s="5">
        <v>46193</v>
      </c>
      <c r="S570" s="8">
        <f t="shared" si="66"/>
        <v>115.94202898550725</v>
      </c>
      <c r="T570">
        <f t="shared" si="67"/>
        <v>480000</v>
      </c>
      <c r="U570" t="str">
        <f t="shared" si="68"/>
        <v>Mid</v>
      </c>
      <c r="V570" t="str">
        <f t="shared" si="69"/>
        <v>Compact</v>
      </c>
      <c r="W570" t="str">
        <f>IF(S570 &lt; VLOOKUP(E570, Locality_Tier_Benchmarks!A:B, 2, FALSE) * 0.7, "Below Tier Range", "Normal")</f>
        <v>Normal</v>
      </c>
      <c r="X570" t="str">
        <f t="shared" si="70"/>
        <v>Normal</v>
      </c>
      <c r="Y570" t="str">
        <f t="shared" si="71"/>
        <v>Normal</v>
      </c>
      <c r="Z570" t="str">
        <f t="shared" si="64"/>
        <v>Pass</v>
      </c>
    </row>
    <row r="571" spans="1:26" x14ac:dyDescent="0.25">
      <c r="A571" s="2" t="s">
        <v>973</v>
      </c>
      <c r="B571" t="s">
        <v>17</v>
      </c>
      <c r="C571" t="s">
        <v>458</v>
      </c>
      <c r="D571" s="2" t="str">
        <f>VLOOKUP(C571,Locality_Reference!A:C,2,)</f>
        <v>Western Line</v>
      </c>
      <c r="E571" s="2" t="str">
        <f>VLOOKUP(C571,Locality_Reference!A:C,3,)</f>
        <v>Premium/South</v>
      </c>
      <c r="F571" s="2" t="s">
        <v>1327</v>
      </c>
      <c r="G571" s="8">
        <v>45000</v>
      </c>
      <c r="H571">
        <v>1</v>
      </c>
      <c r="I571">
        <v>1</v>
      </c>
      <c r="J571">
        <v>2</v>
      </c>
      <c r="K571">
        <v>23</v>
      </c>
      <c r="L571">
        <v>380</v>
      </c>
      <c r="M571" t="s">
        <v>14</v>
      </c>
      <c r="N571" t="s">
        <v>29</v>
      </c>
      <c r="O571" t="s">
        <v>16</v>
      </c>
      <c r="P571" t="s">
        <v>31</v>
      </c>
      <c r="Q571" t="str">
        <f t="shared" si="65"/>
        <v>3</v>
      </c>
      <c r="R571" s="5">
        <v>46193</v>
      </c>
      <c r="S571" s="8">
        <f t="shared" si="66"/>
        <v>118.42105263157895</v>
      </c>
      <c r="T571">
        <f t="shared" si="67"/>
        <v>540000</v>
      </c>
      <c r="U571" t="str">
        <f t="shared" si="68"/>
        <v>Mid</v>
      </c>
      <c r="V571" t="str">
        <f t="shared" si="69"/>
        <v>Compact</v>
      </c>
      <c r="W571" t="str">
        <f>IF(S571 &lt; VLOOKUP(E571, Locality_Tier_Benchmarks!A:B, 2, FALSE) * 0.7, "Below Tier Range", "Normal")</f>
        <v>Normal</v>
      </c>
      <c r="X571" t="str">
        <f t="shared" si="70"/>
        <v>Normal</v>
      </c>
      <c r="Y571" t="str">
        <f t="shared" si="71"/>
        <v>Normal</v>
      </c>
      <c r="Z571" t="str">
        <f t="shared" si="64"/>
        <v>Pass</v>
      </c>
    </row>
    <row r="572" spans="1:26" x14ac:dyDescent="0.25">
      <c r="A572" s="2" t="s">
        <v>974</v>
      </c>
      <c r="B572" t="s">
        <v>17</v>
      </c>
      <c r="C572" t="s">
        <v>458</v>
      </c>
      <c r="D572" s="2" t="str">
        <f>VLOOKUP(C572,Locality_Reference!A:C,2,)</f>
        <v>Western Line</v>
      </c>
      <c r="E572" s="2" t="str">
        <f>VLOOKUP(C572,Locality_Reference!A:C,3,)</f>
        <v>Premium/South</v>
      </c>
      <c r="F572" s="2" t="s">
        <v>1328</v>
      </c>
      <c r="G572" s="8">
        <v>60000</v>
      </c>
      <c r="H572">
        <v>1</v>
      </c>
      <c r="I572">
        <v>1</v>
      </c>
      <c r="J572">
        <v>3</v>
      </c>
      <c r="K572">
        <v>7</v>
      </c>
      <c r="L572">
        <v>450</v>
      </c>
      <c r="M572" t="s">
        <v>36</v>
      </c>
      <c r="N572" t="s">
        <v>29</v>
      </c>
      <c r="O572" t="s">
        <v>16</v>
      </c>
      <c r="P572" t="s">
        <v>31</v>
      </c>
      <c r="Q572" t="str">
        <f t="shared" si="65"/>
        <v>3</v>
      </c>
      <c r="R572" s="5">
        <v>46177</v>
      </c>
      <c r="S572" s="8">
        <f t="shared" si="66"/>
        <v>133.33333333333334</v>
      </c>
      <c r="T572">
        <f t="shared" si="67"/>
        <v>720000</v>
      </c>
      <c r="U572" t="str">
        <f t="shared" si="68"/>
        <v>Mid</v>
      </c>
      <c r="V572" t="str">
        <f t="shared" si="69"/>
        <v>Compact</v>
      </c>
      <c r="W572" t="str">
        <f>IF(S572 &lt; VLOOKUP(E572, Locality_Tier_Benchmarks!A:B, 2, FALSE) * 0.7, "Below Tier Range", "Normal")</f>
        <v>Normal</v>
      </c>
      <c r="X572" t="str">
        <f t="shared" si="70"/>
        <v>Normal</v>
      </c>
      <c r="Y572" t="str">
        <f t="shared" si="71"/>
        <v>Normal</v>
      </c>
      <c r="Z572" t="str">
        <f t="shared" si="64"/>
        <v>Pass</v>
      </c>
    </row>
    <row r="573" spans="1:26" x14ac:dyDescent="0.25">
      <c r="A573" s="2" t="s">
        <v>975</v>
      </c>
      <c r="B573" t="s">
        <v>17</v>
      </c>
      <c r="C573" t="s">
        <v>458</v>
      </c>
      <c r="D573" s="2" t="str">
        <f>VLOOKUP(C573,Locality_Reference!A:C,2,)</f>
        <v>Western Line</v>
      </c>
      <c r="E573" s="2" t="str">
        <f>VLOOKUP(C573,Locality_Reference!A:C,3,)</f>
        <v>Premium/South</v>
      </c>
      <c r="F573" s="2" t="s">
        <v>1329</v>
      </c>
      <c r="G573" s="8">
        <v>50000</v>
      </c>
      <c r="H573">
        <v>1</v>
      </c>
      <c r="I573">
        <v>2</v>
      </c>
      <c r="J573">
        <v>7</v>
      </c>
      <c r="K573">
        <v>23</v>
      </c>
      <c r="L573">
        <v>400</v>
      </c>
      <c r="M573" t="s">
        <v>33</v>
      </c>
      <c r="N573" t="s">
        <v>29</v>
      </c>
      <c r="O573" t="s">
        <v>16</v>
      </c>
      <c r="P573" t="s">
        <v>31</v>
      </c>
      <c r="Q573" t="str">
        <f t="shared" si="65"/>
        <v>3</v>
      </c>
      <c r="R573" s="5">
        <v>46157</v>
      </c>
      <c r="S573" s="8">
        <f t="shared" si="66"/>
        <v>125</v>
      </c>
      <c r="T573">
        <f t="shared" si="67"/>
        <v>600000</v>
      </c>
      <c r="U573" t="str">
        <f t="shared" si="68"/>
        <v>Mid</v>
      </c>
      <c r="V573" t="str">
        <f t="shared" si="69"/>
        <v>Compact</v>
      </c>
      <c r="W573" t="str">
        <f>IF(S573 &lt; VLOOKUP(E573, Locality_Tier_Benchmarks!A:B, 2, FALSE) * 0.7, "Below Tier Range", "Normal")</f>
        <v>Normal</v>
      </c>
      <c r="X573" t="str">
        <f t="shared" si="70"/>
        <v>Normal</v>
      </c>
      <c r="Y573" t="str">
        <f t="shared" si="71"/>
        <v>Normal</v>
      </c>
      <c r="Z573" t="str">
        <f t="shared" si="64"/>
        <v>Pass</v>
      </c>
    </row>
    <row r="574" spans="1:26" x14ac:dyDescent="0.25">
      <c r="A574" s="2" t="s">
        <v>976</v>
      </c>
      <c r="B574" t="s">
        <v>17</v>
      </c>
      <c r="C574" t="s">
        <v>458</v>
      </c>
      <c r="D574" s="2" t="str">
        <f>VLOOKUP(C574,Locality_Reference!A:C,2,)</f>
        <v>Western Line</v>
      </c>
      <c r="E574" s="2" t="str">
        <f>VLOOKUP(C574,Locality_Reference!A:C,3,)</f>
        <v>Premium/South</v>
      </c>
      <c r="F574" s="2" t="s">
        <v>1330</v>
      </c>
      <c r="G574" s="8">
        <v>175000</v>
      </c>
      <c r="H574">
        <v>2</v>
      </c>
      <c r="I574">
        <v>2</v>
      </c>
      <c r="J574">
        <v>28</v>
      </c>
      <c r="K574">
        <v>45</v>
      </c>
      <c r="L574">
        <v>883</v>
      </c>
      <c r="M574" t="s">
        <v>36</v>
      </c>
      <c r="N574" t="s">
        <v>15</v>
      </c>
      <c r="O574" t="s">
        <v>16</v>
      </c>
      <c r="P574" t="s">
        <v>47</v>
      </c>
      <c r="Q574" t="str">
        <f t="shared" si="65"/>
        <v>1</v>
      </c>
      <c r="R574" s="5">
        <v>46162</v>
      </c>
      <c r="S574" s="8">
        <f t="shared" si="66"/>
        <v>198.18799546998866</v>
      </c>
      <c r="T574">
        <f t="shared" si="67"/>
        <v>2100000</v>
      </c>
      <c r="U574" t="str">
        <f t="shared" si="68"/>
        <v>Luxury</v>
      </c>
      <c r="V574" t="str">
        <f t="shared" si="69"/>
        <v>Large</v>
      </c>
      <c r="W574" t="str">
        <f>IF(S574 &lt; VLOOKUP(E574, Locality_Tier_Benchmarks!A:B, 2, FALSE) * 0.7, "Below Tier Range", "Normal")</f>
        <v>Normal</v>
      </c>
      <c r="X574" t="str">
        <f t="shared" si="70"/>
        <v>Normal</v>
      </c>
      <c r="Y574" t="str">
        <f t="shared" si="71"/>
        <v>Normal</v>
      </c>
      <c r="Z574" t="str">
        <f t="shared" si="64"/>
        <v>Pass</v>
      </c>
    </row>
    <row r="575" spans="1:26" x14ac:dyDescent="0.25">
      <c r="A575" s="2" t="s">
        <v>977</v>
      </c>
      <c r="B575" t="s">
        <v>17</v>
      </c>
      <c r="C575" t="s">
        <v>458</v>
      </c>
      <c r="D575" s="2" t="str">
        <f>VLOOKUP(C575,Locality_Reference!A:C,2,)</f>
        <v>Western Line</v>
      </c>
      <c r="E575" s="2" t="str">
        <f>VLOOKUP(C575,Locality_Reference!A:C,3,)</f>
        <v>Premium/South</v>
      </c>
      <c r="F575" s="2" t="s">
        <v>1325</v>
      </c>
      <c r="G575" s="8">
        <v>190000</v>
      </c>
      <c r="H575">
        <v>2</v>
      </c>
      <c r="I575">
        <v>2</v>
      </c>
      <c r="J575">
        <v>40</v>
      </c>
      <c r="K575">
        <v>65</v>
      </c>
      <c r="L575">
        <v>800</v>
      </c>
      <c r="M575" t="s">
        <v>36</v>
      </c>
      <c r="N575" t="s">
        <v>29</v>
      </c>
      <c r="O575" t="s">
        <v>16</v>
      </c>
      <c r="P575" t="s">
        <v>47</v>
      </c>
      <c r="Q575" t="str">
        <f t="shared" si="65"/>
        <v>1</v>
      </c>
      <c r="R575" s="5">
        <v>46197</v>
      </c>
      <c r="S575" s="8">
        <f t="shared" si="66"/>
        <v>237.5</v>
      </c>
      <c r="T575">
        <f t="shared" si="67"/>
        <v>2280000</v>
      </c>
      <c r="U575" t="str">
        <f t="shared" si="68"/>
        <v>Luxury</v>
      </c>
      <c r="V575" t="str">
        <f t="shared" si="69"/>
        <v>Medium</v>
      </c>
      <c r="W575" t="str">
        <f>IF(S575 &lt; VLOOKUP(E575, Locality_Tier_Benchmarks!A:B, 2, FALSE) * 0.7, "Below Tier Range", "Normal")</f>
        <v>Normal</v>
      </c>
      <c r="X575" t="str">
        <f t="shared" si="70"/>
        <v>Normal</v>
      </c>
      <c r="Y575" t="str">
        <f t="shared" si="71"/>
        <v>Normal</v>
      </c>
      <c r="Z575" t="str">
        <f t="shared" si="64"/>
        <v>Pass</v>
      </c>
    </row>
    <row r="576" spans="1:26" x14ac:dyDescent="0.25">
      <c r="A576" s="2" t="s">
        <v>978</v>
      </c>
      <c r="B576" t="s">
        <v>17</v>
      </c>
      <c r="C576" t="s">
        <v>458</v>
      </c>
      <c r="D576" s="2" t="str">
        <f>VLOOKUP(C576,Locality_Reference!A:C,2,)</f>
        <v>Western Line</v>
      </c>
      <c r="E576" s="2" t="str">
        <f>VLOOKUP(C576,Locality_Reference!A:C,3,)</f>
        <v>Premium/South</v>
      </c>
      <c r="F576" s="2" t="s">
        <v>1331</v>
      </c>
      <c r="G576" s="8">
        <v>170000</v>
      </c>
      <c r="H576">
        <v>2</v>
      </c>
      <c r="I576">
        <v>2</v>
      </c>
      <c r="J576">
        <v>26</v>
      </c>
      <c r="K576">
        <v>52</v>
      </c>
      <c r="L576">
        <v>900</v>
      </c>
      <c r="M576" t="s">
        <v>36</v>
      </c>
      <c r="N576" t="s">
        <v>15</v>
      </c>
      <c r="O576" t="s">
        <v>16</v>
      </c>
      <c r="P576" t="s">
        <v>31</v>
      </c>
      <c r="Q576" t="str">
        <f t="shared" si="65"/>
        <v>3</v>
      </c>
      <c r="R576" s="5">
        <v>46199</v>
      </c>
      <c r="S576" s="8">
        <f t="shared" si="66"/>
        <v>188.88888888888889</v>
      </c>
      <c r="T576">
        <f t="shared" si="67"/>
        <v>2040000</v>
      </c>
      <c r="U576" t="str">
        <f t="shared" si="68"/>
        <v>Luxury</v>
      </c>
      <c r="V576" t="str">
        <f t="shared" si="69"/>
        <v>Large</v>
      </c>
      <c r="W576" t="str">
        <f>IF(S576 &lt; VLOOKUP(E576, Locality_Tier_Benchmarks!A:B, 2, FALSE) * 0.7, "Below Tier Range", "Normal")</f>
        <v>Normal</v>
      </c>
      <c r="X576" t="str">
        <f t="shared" si="70"/>
        <v>Normal</v>
      </c>
      <c r="Y576" t="str">
        <f t="shared" si="71"/>
        <v>Normal</v>
      </c>
      <c r="Z576" t="str">
        <f t="shared" si="64"/>
        <v>Pass</v>
      </c>
    </row>
    <row r="577" spans="1:26" x14ac:dyDescent="0.25">
      <c r="A577" s="2" t="s">
        <v>979</v>
      </c>
      <c r="B577" t="s">
        <v>366</v>
      </c>
      <c r="C577" t="s">
        <v>458</v>
      </c>
      <c r="D577" s="2" t="str">
        <f>VLOOKUP(C577,Locality_Reference!A:C,2,)</f>
        <v>Western Line</v>
      </c>
      <c r="E577" s="2" t="str">
        <f>VLOOKUP(C577,Locality_Reference!A:C,3,)</f>
        <v>Premium/South</v>
      </c>
      <c r="F577" s="2" t="s">
        <v>1332</v>
      </c>
      <c r="G577" s="8">
        <v>220000</v>
      </c>
      <c r="H577">
        <v>2</v>
      </c>
      <c r="I577">
        <v>2</v>
      </c>
      <c r="J577">
        <v>15</v>
      </c>
      <c r="K577">
        <v>25</v>
      </c>
      <c r="L577">
        <v>1454</v>
      </c>
      <c r="M577" t="s">
        <v>36</v>
      </c>
      <c r="N577" t="s">
        <v>15</v>
      </c>
      <c r="O577" t="s">
        <v>16</v>
      </c>
      <c r="P577" t="s">
        <v>52</v>
      </c>
      <c r="Q577" t="str">
        <f t="shared" si="65"/>
        <v>7.5</v>
      </c>
      <c r="R577" s="5">
        <v>46203</v>
      </c>
      <c r="S577" s="8">
        <f t="shared" si="66"/>
        <v>151.30674002751033</v>
      </c>
      <c r="T577">
        <f t="shared" si="67"/>
        <v>2640000</v>
      </c>
      <c r="U577" t="str">
        <f t="shared" si="68"/>
        <v>Luxury</v>
      </c>
      <c r="V577" t="str">
        <f t="shared" si="69"/>
        <v>Spacious</v>
      </c>
      <c r="W577" t="str">
        <f>IF(S577 &lt; VLOOKUP(E577, Locality_Tier_Benchmarks!A:B, 2, FALSE) * 0.7, "Below Tier Range", "Normal")</f>
        <v>Normal</v>
      </c>
      <c r="X577" t="str">
        <f t="shared" si="70"/>
        <v>Normal</v>
      </c>
      <c r="Y577" t="str">
        <f t="shared" si="71"/>
        <v>Normal</v>
      </c>
      <c r="Z577" t="str">
        <f t="shared" si="64"/>
        <v>Pass</v>
      </c>
    </row>
    <row r="578" spans="1:26" x14ac:dyDescent="0.25">
      <c r="A578" s="2" t="s">
        <v>980</v>
      </c>
      <c r="B578" t="s">
        <v>17</v>
      </c>
      <c r="C578" t="s">
        <v>458</v>
      </c>
      <c r="D578" s="2" t="str">
        <f>VLOOKUP(C578,Locality_Reference!A:C,2,)</f>
        <v>Western Line</v>
      </c>
      <c r="E578" s="2" t="str">
        <f>VLOOKUP(C578,Locality_Reference!A:C,3,)</f>
        <v>Premium/South</v>
      </c>
      <c r="F578" s="2" t="s">
        <v>1333</v>
      </c>
      <c r="G578" s="8">
        <v>335000</v>
      </c>
      <c r="H578">
        <v>3</v>
      </c>
      <c r="I578">
        <v>3</v>
      </c>
      <c r="J578">
        <v>24</v>
      </c>
      <c r="K578">
        <v>90</v>
      </c>
      <c r="L578">
        <v>1850</v>
      </c>
      <c r="M578" t="s">
        <v>36</v>
      </c>
      <c r="N578" t="s">
        <v>29</v>
      </c>
      <c r="O578" t="s">
        <v>16</v>
      </c>
      <c r="P578" t="s">
        <v>47</v>
      </c>
      <c r="Q578" t="str">
        <f t="shared" si="65"/>
        <v>1</v>
      </c>
      <c r="R578" s="5">
        <v>46182</v>
      </c>
      <c r="S578" s="8">
        <f t="shared" si="66"/>
        <v>181.08108108108109</v>
      </c>
      <c r="T578">
        <f t="shared" si="67"/>
        <v>4020000</v>
      </c>
      <c r="U578" t="str">
        <f t="shared" si="68"/>
        <v>Luxury</v>
      </c>
      <c r="V578" t="str">
        <f t="shared" si="69"/>
        <v>Spacious</v>
      </c>
      <c r="W578" t="str">
        <f>IF(S578 &lt; VLOOKUP(E578, Locality_Tier_Benchmarks!A:B, 2, FALSE) * 0.7, "Below Tier Range", "Normal")</f>
        <v>Normal</v>
      </c>
      <c r="X578" t="str">
        <f t="shared" si="70"/>
        <v>Normal</v>
      </c>
      <c r="Y578" t="str">
        <f t="shared" si="71"/>
        <v>Normal</v>
      </c>
      <c r="Z578" t="str">
        <f t="shared" ref="Z578:Z641" si="72">IF(OR(W578&lt;&gt;"Normal",X578&lt;&gt;"Normal",Y578&lt;&gt;"Normal"),"Review","Pass")</f>
        <v>Pass</v>
      </c>
    </row>
    <row r="579" spans="1:26" x14ac:dyDescent="0.25">
      <c r="A579" s="2" t="s">
        <v>981</v>
      </c>
      <c r="B579" t="s">
        <v>17</v>
      </c>
      <c r="C579" t="s">
        <v>458</v>
      </c>
      <c r="D579" s="2" t="str">
        <f>VLOOKUP(C579,Locality_Reference!A:C,2,)</f>
        <v>Western Line</v>
      </c>
      <c r="E579" s="2" t="str">
        <f>VLOOKUP(C579,Locality_Reference!A:C,3,)</f>
        <v>Premium/South</v>
      </c>
      <c r="F579" s="2" t="s">
        <v>1325</v>
      </c>
      <c r="G579" s="8">
        <v>240000</v>
      </c>
      <c r="H579">
        <v>3</v>
      </c>
      <c r="I579">
        <v>3</v>
      </c>
      <c r="J579">
        <v>32</v>
      </c>
      <c r="K579">
        <v>66</v>
      </c>
      <c r="L579">
        <v>1060</v>
      </c>
      <c r="M579" t="s">
        <v>36</v>
      </c>
      <c r="N579" t="s">
        <v>29</v>
      </c>
      <c r="O579" t="s">
        <v>16</v>
      </c>
      <c r="P579" t="s">
        <v>31</v>
      </c>
      <c r="Q579" t="str">
        <f t="shared" ref="Q579:Q642" si="73">IF(P579="20+ Years","20",IF(P579="15-20 Years","17.5",IF(P579="10+ Years","10",IF(P579="5-10 Years","7.5",IF(P579="1-5 Years","3",IF(P579="0-1 Year","1",""))))))</f>
        <v>3</v>
      </c>
      <c r="R579" s="5">
        <v>46159</v>
      </c>
      <c r="S579" s="8">
        <f t="shared" ref="S579:S642" si="74">G579/L579</f>
        <v>226.41509433962264</v>
      </c>
      <c r="T579">
        <f t="shared" ref="T579:T642" si="75">G579*12</f>
        <v>2880000</v>
      </c>
      <c r="U579" t="str">
        <f t="shared" ref="U579:U642" si="76">IF(G579&lt;=30000,"Budget",IF(G579&lt;=60000,"Mid",IF(G579&lt;=100000,"Premium","Luxury")))</f>
        <v>Luxury</v>
      </c>
      <c r="V579" t="str">
        <f t="shared" ref="V579:V642" si="77">IF(L579&lt;=500,"Compact",IF(L579&lt;=800,"Medium",IF(L579&lt;=1200,"Large","Spacious")))</f>
        <v>Large</v>
      </c>
      <c r="W579" t="str">
        <f>IF(S579 &lt; VLOOKUP(E579, Locality_Tier_Benchmarks!A:B, 2, FALSE) * 0.7, "Below Tier Range", "Normal")</f>
        <v>Normal</v>
      </c>
      <c r="X579" t="str">
        <f t="shared" ref="X579:X642" si="78">IF(G579&lt;7000,"Below Absolute Floor","Normal")</f>
        <v>Normal</v>
      </c>
      <c r="Y579" t="str">
        <f t="shared" ref="Y579:Y642" si="79">IF(S579&gt;500,"Possible Typo - Check Zero","Normal")</f>
        <v>Normal</v>
      </c>
      <c r="Z579" t="str">
        <f t="shared" si="72"/>
        <v>Pass</v>
      </c>
    </row>
    <row r="580" spans="1:26" x14ac:dyDescent="0.25">
      <c r="A580" s="2" t="s">
        <v>982</v>
      </c>
      <c r="B580" t="s">
        <v>17</v>
      </c>
      <c r="C580" t="s">
        <v>458</v>
      </c>
      <c r="D580" s="2" t="str">
        <f>VLOOKUP(C580,Locality_Reference!A:C,2,)</f>
        <v>Western Line</v>
      </c>
      <c r="E580" s="2" t="str">
        <f>VLOOKUP(C580,Locality_Reference!A:C,3,)</f>
        <v>Premium/South</v>
      </c>
      <c r="F580" s="2" t="s">
        <v>1330</v>
      </c>
      <c r="G580" s="8">
        <v>280000</v>
      </c>
      <c r="H580">
        <v>3</v>
      </c>
      <c r="I580">
        <v>3</v>
      </c>
      <c r="J580">
        <v>28</v>
      </c>
      <c r="K580">
        <v>45</v>
      </c>
      <c r="L580">
        <v>1250</v>
      </c>
      <c r="M580" t="s">
        <v>14</v>
      </c>
      <c r="N580" t="s">
        <v>15</v>
      </c>
      <c r="O580" t="s">
        <v>16</v>
      </c>
      <c r="P580" t="s">
        <v>31</v>
      </c>
      <c r="Q580" t="str">
        <f t="shared" si="73"/>
        <v>3</v>
      </c>
      <c r="R580" s="5">
        <v>46169</v>
      </c>
      <c r="S580" s="8">
        <f t="shared" si="74"/>
        <v>224</v>
      </c>
      <c r="T580">
        <f t="shared" si="75"/>
        <v>3360000</v>
      </c>
      <c r="U580" t="str">
        <f t="shared" si="76"/>
        <v>Luxury</v>
      </c>
      <c r="V580" t="str">
        <f t="shared" si="77"/>
        <v>Spacious</v>
      </c>
      <c r="W580" t="str">
        <f>IF(S580 &lt; VLOOKUP(E580, Locality_Tier_Benchmarks!A:B, 2, FALSE) * 0.7, "Below Tier Range", "Normal")</f>
        <v>Normal</v>
      </c>
      <c r="X580" t="str">
        <f t="shared" si="78"/>
        <v>Normal</v>
      </c>
      <c r="Y580" t="str">
        <f t="shared" si="79"/>
        <v>Normal</v>
      </c>
      <c r="Z580" t="str">
        <f t="shared" si="72"/>
        <v>Pass</v>
      </c>
    </row>
    <row r="581" spans="1:26" x14ac:dyDescent="0.25">
      <c r="A581" s="2" t="s">
        <v>983</v>
      </c>
      <c r="B581" t="s">
        <v>17</v>
      </c>
      <c r="C581" t="s">
        <v>458</v>
      </c>
      <c r="D581" s="2" t="str">
        <f>VLOOKUP(C581,Locality_Reference!A:C,2,)</f>
        <v>Western Line</v>
      </c>
      <c r="E581" s="2" t="str">
        <f>VLOOKUP(C581,Locality_Reference!A:C,3,)</f>
        <v>Premium/South</v>
      </c>
      <c r="F581" s="2" t="s">
        <v>1334</v>
      </c>
      <c r="G581" s="8">
        <v>725000</v>
      </c>
      <c r="H581">
        <v>3</v>
      </c>
      <c r="I581">
        <v>4</v>
      </c>
      <c r="J581">
        <v>22</v>
      </c>
      <c r="K581">
        <v>57</v>
      </c>
      <c r="L581">
        <v>2210</v>
      </c>
      <c r="M581" t="s">
        <v>14</v>
      </c>
      <c r="N581" t="s">
        <v>15</v>
      </c>
      <c r="O581" t="s">
        <v>16</v>
      </c>
      <c r="P581" t="s">
        <v>31</v>
      </c>
      <c r="Q581" t="str">
        <f t="shared" si="73"/>
        <v>3</v>
      </c>
      <c r="R581" s="5">
        <v>46170</v>
      </c>
      <c r="S581" s="8">
        <f t="shared" si="74"/>
        <v>328.05429864253392</v>
      </c>
      <c r="T581">
        <f t="shared" si="75"/>
        <v>8700000</v>
      </c>
      <c r="U581" t="str">
        <f t="shared" si="76"/>
        <v>Luxury</v>
      </c>
      <c r="V581" t="str">
        <f t="shared" si="77"/>
        <v>Spacious</v>
      </c>
      <c r="W581" t="str">
        <f>IF(S581 &lt; VLOOKUP(E581, Locality_Tier_Benchmarks!A:B, 2, FALSE) * 0.7, "Below Tier Range", "Normal")</f>
        <v>Normal</v>
      </c>
      <c r="X581" t="str">
        <f t="shared" si="78"/>
        <v>Normal</v>
      </c>
      <c r="Y581" t="str">
        <f t="shared" si="79"/>
        <v>Normal</v>
      </c>
      <c r="Z581" t="str">
        <f t="shared" si="72"/>
        <v>Pass</v>
      </c>
    </row>
    <row r="582" spans="1:26" x14ac:dyDescent="0.25">
      <c r="A582" s="2" t="s">
        <v>984</v>
      </c>
      <c r="B582" t="s">
        <v>17</v>
      </c>
      <c r="C582" t="s">
        <v>458</v>
      </c>
      <c r="D582" s="2" t="str">
        <f>VLOOKUP(C582,Locality_Reference!A:C,2,)</f>
        <v>Western Line</v>
      </c>
      <c r="E582" s="2" t="str">
        <f>VLOOKUP(C582,Locality_Reference!A:C,3,)</f>
        <v>Premium/South</v>
      </c>
      <c r="F582" s="2" t="s">
        <v>1331</v>
      </c>
      <c r="G582" s="8">
        <v>260000</v>
      </c>
      <c r="H582">
        <v>3</v>
      </c>
      <c r="I582">
        <v>3</v>
      </c>
      <c r="J582">
        <v>34</v>
      </c>
      <c r="K582">
        <v>52</v>
      </c>
      <c r="L582">
        <v>1250</v>
      </c>
      <c r="M582" t="s">
        <v>36</v>
      </c>
      <c r="N582" t="s">
        <v>29</v>
      </c>
      <c r="O582" t="s">
        <v>16</v>
      </c>
      <c r="P582" t="s">
        <v>34</v>
      </c>
      <c r="Q582" t="str">
        <f t="shared" si="73"/>
        <v/>
      </c>
      <c r="R582" s="5">
        <v>46189</v>
      </c>
      <c r="S582" s="8">
        <f t="shared" si="74"/>
        <v>208</v>
      </c>
      <c r="T582">
        <f t="shared" si="75"/>
        <v>3120000</v>
      </c>
      <c r="U582" t="str">
        <f t="shared" si="76"/>
        <v>Luxury</v>
      </c>
      <c r="V582" t="str">
        <f t="shared" si="77"/>
        <v>Spacious</v>
      </c>
      <c r="W582" t="str">
        <f>IF(S582 &lt; VLOOKUP(E582, Locality_Tier_Benchmarks!A:B, 2, FALSE) * 0.7, "Below Tier Range", "Normal")</f>
        <v>Normal</v>
      </c>
      <c r="X582" t="str">
        <f t="shared" si="78"/>
        <v>Normal</v>
      </c>
      <c r="Y582" t="str">
        <f t="shared" si="79"/>
        <v>Normal</v>
      </c>
      <c r="Z582" t="str">
        <f t="shared" si="72"/>
        <v>Pass</v>
      </c>
    </row>
    <row r="583" spans="1:26" x14ac:dyDescent="0.25">
      <c r="A583" s="2" t="s">
        <v>985</v>
      </c>
      <c r="B583" t="s">
        <v>366</v>
      </c>
      <c r="C583" t="s">
        <v>458</v>
      </c>
      <c r="D583" s="2" t="str">
        <f>VLOOKUP(C583,Locality_Reference!A:C,2,)</f>
        <v>Western Line</v>
      </c>
      <c r="E583" s="2" t="str">
        <f>VLOOKUP(C583,Locality_Reference!A:C,3,)</f>
        <v>Premium/South</v>
      </c>
      <c r="F583" s="2" t="s">
        <v>1335</v>
      </c>
      <c r="G583" s="8">
        <v>210000</v>
      </c>
      <c r="H583">
        <v>3</v>
      </c>
      <c r="I583">
        <v>4</v>
      </c>
      <c r="J583">
        <v>16</v>
      </c>
      <c r="K583">
        <v>46</v>
      </c>
      <c r="L583">
        <v>1400</v>
      </c>
      <c r="M583" t="s">
        <v>36</v>
      </c>
      <c r="N583" t="s">
        <v>15</v>
      </c>
      <c r="O583" t="s">
        <v>16</v>
      </c>
      <c r="P583" t="s">
        <v>31</v>
      </c>
      <c r="Q583" t="str">
        <f t="shared" si="73"/>
        <v>3</v>
      </c>
      <c r="R583" s="5">
        <v>46153</v>
      </c>
      <c r="S583" s="8">
        <f t="shared" si="74"/>
        <v>150</v>
      </c>
      <c r="T583">
        <f t="shared" si="75"/>
        <v>2520000</v>
      </c>
      <c r="U583" t="str">
        <f t="shared" si="76"/>
        <v>Luxury</v>
      </c>
      <c r="V583" t="str">
        <f t="shared" si="77"/>
        <v>Spacious</v>
      </c>
      <c r="W583" t="str">
        <f>IF(S583 &lt; VLOOKUP(E583, Locality_Tier_Benchmarks!A:B, 2, FALSE) * 0.7, "Below Tier Range", "Normal")</f>
        <v>Normal</v>
      </c>
      <c r="X583" t="str">
        <f t="shared" si="78"/>
        <v>Normal</v>
      </c>
      <c r="Y583" t="str">
        <f t="shared" si="79"/>
        <v>Normal</v>
      </c>
      <c r="Z583" t="str">
        <f t="shared" si="72"/>
        <v>Pass</v>
      </c>
    </row>
    <row r="584" spans="1:26" x14ac:dyDescent="0.25">
      <c r="A584" s="2" t="s">
        <v>986</v>
      </c>
      <c r="B584" t="s">
        <v>366</v>
      </c>
      <c r="C584" t="s">
        <v>457</v>
      </c>
      <c r="D584" s="2" t="str">
        <f>VLOOKUP(C584,Locality_Reference!A:C,2,)</f>
        <v>Western Line</v>
      </c>
      <c r="E584" s="2" t="str">
        <f>VLOOKUP(C584,Locality_Reference!A:C,3,)</f>
        <v>Premium/South</v>
      </c>
      <c r="F584" s="2" t="s">
        <v>1336</v>
      </c>
      <c r="G584" s="8">
        <v>65000</v>
      </c>
      <c r="H584">
        <v>1</v>
      </c>
      <c r="I584">
        <v>1</v>
      </c>
      <c r="J584">
        <v>30</v>
      </c>
      <c r="K584">
        <v>72</v>
      </c>
      <c r="L584">
        <v>550</v>
      </c>
      <c r="M584" t="s">
        <v>14</v>
      </c>
      <c r="N584" t="s">
        <v>1289</v>
      </c>
      <c r="O584" t="s">
        <v>16</v>
      </c>
      <c r="P584" t="s">
        <v>31</v>
      </c>
      <c r="Q584" t="str">
        <f t="shared" si="73"/>
        <v>3</v>
      </c>
      <c r="R584" s="5">
        <v>46174</v>
      </c>
      <c r="S584" s="8">
        <f t="shared" si="74"/>
        <v>118.18181818181819</v>
      </c>
      <c r="T584">
        <f t="shared" si="75"/>
        <v>780000</v>
      </c>
      <c r="U584" t="str">
        <f t="shared" si="76"/>
        <v>Premium</v>
      </c>
      <c r="V584" t="str">
        <f t="shared" si="77"/>
        <v>Medium</v>
      </c>
      <c r="W584" t="str">
        <f>IF(S584 &lt; VLOOKUP(E584, Locality_Tier_Benchmarks!A:B, 2, FALSE) * 0.7, "Below Tier Range", "Normal")</f>
        <v>Normal</v>
      </c>
      <c r="X584" t="str">
        <f t="shared" si="78"/>
        <v>Normal</v>
      </c>
      <c r="Y584" t="str">
        <f t="shared" si="79"/>
        <v>Normal</v>
      </c>
      <c r="Z584" t="str">
        <f t="shared" si="72"/>
        <v>Pass</v>
      </c>
    </row>
    <row r="585" spans="1:26" x14ac:dyDescent="0.25">
      <c r="A585" s="2" t="s">
        <v>987</v>
      </c>
      <c r="B585" t="s">
        <v>366</v>
      </c>
      <c r="C585" t="s">
        <v>457</v>
      </c>
      <c r="D585" s="2" t="str">
        <f>VLOOKUP(C585,Locality_Reference!A:C,2,)</f>
        <v>Western Line</v>
      </c>
      <c r="E585" s="2" t="str">
        <f>VLOOKUP(C585,Locality_Reference!A:C,3,)</f>
        <v>Premium/South</v>
      </c>
      <c r="F585" s="2" t="s">
        <v>1337</v>
      </c>
      <c r="G585" s="8">
        <v>350000</v>
      </c>
      <c r="H585">
        <v>1</v>
      </c>
      <c r="I585">
        <v>2</v>
      </c>
      <c r="J585">
        <v>22</v>
      </c>
      <c r="K585">
        <v>22</v>
      </c>
      <c r="L585">
        <v>400</v>
      </c>
      <c r="M585" t="s">
        <v>14</v>
      </c>
      <c r="N585" t="s">
        <v>29</v>
      </c>
      <c r="O585" t="s">
        <v>16</v>
      </c>
      <c r="P585" t="s">
        <v>47</v>
      </c>
      <c r="Q585" t="str">
        <f t="shared" si="73"/>
        <v>1</v>
      </c>
      <c r="R585" s="5">
        <v>46188</v>
      </c>
      <c r="S585" s="8">
        <f t="shared" si="74"/>
        <v>875</v>
      </c>
      <c r="T585">
        <f t="shared" si="75"/>
        <v>4200000</v>
      </c>
      <c r="U585" t="str">
        <f t="shared" si="76"/>
        <v>Luxury</v>
      </c>
      <c r="V585" t="str">
        <f t="shared" si="77"/>
        <v>Compact</v>
      </c>
      <c r="W585" t="str">
        <f>IF(S585 &lt; VLOOKUP(E585, Locality_Tier_Benchmarks!A:B, 2, FALSE) * 0.7, "Below Tier Range", "Normal")</f>
        <v>Normal</v>
      </c>
      <c r="X585" t="str">
        <f t="shared" si="78"/>
        <v>Normal</v>
      </c>
      <c r="Y585" t="str">
        <f t="shared" si="79"/>
        <v>Possible Typo - Check Zero</v>
      </c>
      <c r="Z585" t="str">
        <f t="shared" si="72"/>
        <v>Review</v>
      </c>
    </row>
    <row r="586" spans="1:26" x14ac:dyDescent="0.25">
      <c r="A586" s="2" t="s">
        <v>988</v>
      </c>
      <c r="B586" t="s">
        <v>17</v>
      </c>
      <c r="C586" t="s">
        <v>457</v>
      </c>
      <c r="D586" s="2" t="str">
        <f>VLOOKUP(C586,Locality_Reference!A:C,2,)</f>
        <v>Western Line</v>
      </c>
      <c r="E586" s="2" t="str">
        <f>VLOOKUP(C586,Locality_Reference!A:C,3,)</f>
        <v>Premium/South</v>
      </c>
      <c r="F586" s="2" t="s">
        <v>1338</v>
      </c>
      <c r="G586" s="8">
        <v>72000</v>
      </c>
      <c r="H586">
        <v>2</v>
      </c>
      <c r="I586">
        <v>2</v>
      </c>
      <c r="J586">
        <v>4</v>
      </c>
      <c r="K586">
        <v>8</v>
      </c>
      <c r="L586">
        <v>600</v>
      </c>
      <c r="M586" t="s">
        <v>36</v>
      </c>
      <c r="N586" t="s">
        <v>15</v>
      </c>
      <c r="O586" t="s">
        <v>16</v>
      </c>
      <c r="P586" t="s">
        <v>34</v>
      </c>
      <c r="Q586" t="str">
        <f t="shared" si="73"/>
        <v/>
      </c>
      <c r="R586" s="5">
        <v>46201</v>
      </c>
      <c r="S586" s="8">
        <f t="shared" si="74"/>
        <v>120</v>
      </c>
      <c r="T586">
        <f t="shared" si="75"/>
        <v>864000</v>
      </c>
      <c r="U586" t="str">
        <f t="shared" si="76"/>
        <v>Premium</v>
      </c>
      <c r="V586" t="str">
        <f t="shared" si="77"/>
        <v>Medium</v>
      </c>
      <c r="W586" t="str">
        <f>IF(S586 &lt; VLOOKUP(E586, Locality_Tier_Benchmarks!A:B, 2, FALSE) * 0.7, "Below Tier Range", "Normal")</f>
        <v>Normal</v>
      </c>
      <c r="X586" t="str">
        <f t="shared" si="78"/>
        <v>Normal</v>
      </c>
      <c r="Y586" t="str">
        <f t="shared" si="79"/>
        <v>Normal</v>
      </c>
      <c r="Z586" t="str">
        <f t="shared" si="72"/>
        <v>Pass</v>
      </c>
    </row>
    <row r="587" spans="1:26" x14ac:dyDescent="0.25">
      <c r="A587" s="2" t="s">
        <v>989</v>
      </c>
      <c r="B587" t="s">
        <v>17</v>
      </c>
      <c r="C587" t="s">
        <v>457</v>
      </c>
      <c r="D587" s="2" t="str">
        <f>VLOOKUP(C587,Locality_Reference!A:C,2,)</f>
        <v>Western Line</v>
      </c>
      <c r="E587" s="2" t="str">
        <f>VLOOKUP(C587,Locality_Reference!A:C,3,)</f>
        <v>Premium/South</v>
      </c>
      <c r="F587" s="2" t="s">
        <v>1339</v>
      </c>
      <c r="G587" s="8">
        <v>100000</v>
      </c>
      <c r="H587">
        <v>2</v>
      </c>
      <c r="I587">
        <v>2</v>
      </c>
      <c r="J587">
        <v>3</v>
      </c>
      <c r="K587">
        <v>6</v>
      </c>
      <c r="L587">
        <v>900</v>
      </c>
      <c r="M587" t="s">
        <v>36</v>
      </c>
      <c r="N587" t="s">
        <v>15</v>
      </c>
      <c r="O587" t="s">
        <v>16</v>
      </c>
      <c r="P587" t="s">
        <v>23</v>
      </c>
      <c r="Q587" t="str">
        <f t="shared" si="73"/>
        <v>10</v>
      </c>
      <c r="R587" s="5">
        <v>46175</v>
      </c>
      <c r="S587" s="8">
        <f t="shared" si="74"/>
        <v>111.11111111111111</v>
      </c>
      <c r="T587">
        <f t="shared" si="75"/>
        <v>1200000</v>
      </c>
      <c r="U587" t="str">
        <f t="shared" si="76"/>
        <v>Premium</v>
      </c>
      <c r="V587" t="str">
        <f t="shared" si="77"/>
        <v>Large</v>
      </c>
      <c r="W587" t="str">
        <f>IF(S587 &lt; VLOOKUP(E587, Locality_Tier_Benchmarks!A:B, 2, FALSE) * 0.7, "Below Tier Range", "Normal")</f>
        <v>Normal</v>
      </c>
      <c r="X587" t="str">
        <f t="shared" si="78"/>
        <v>Normal</v>
      </c>
      <c r="Y587" t="str">
        <f t="shared" si="79"/>
        <v>Normal</v>
      </c>
      <c r="Z587" t="str">
        <f t="shared" si="72"/>
        <v>Pass</v>
      </c>
    </row>
    <row r="588" spans="1:26" x14ac:dyDescent="0.25">
      <c r="A588" s="2" t="s">
        <v>990</v>
      </c>
      <c r="B588" t="s">
        <v>17</v>
      </c>
      <c r="C588" t="s">
        <v>457</v>
      </c>
      <c r="D588" s="2" t="str">
        <f>VLOOKUP(C588,Locality_Reference!A:C,2,)</f>
        <v>Western Line</v>
      </c>
      <c r="E588" s="2" t="str">
        <f>VLOOKUP(C588,Locality_Reference!A:C,3,)</f>
        <v>Premium/South</v>
      </c>
      <c r="F588" s="2" t="s">
        <v>1340</v>
      </c>
      <c r="G588" s="8">
        <v>110000</v>
      </c>
      <c r="H588">
        <v>2</v>
      </c>
      <c r="I588">
        <v>2</v>
      </c>
      <c r="J588">
        <v>14</v>
      </c>
      <c r="K588">
        <v>20</v>
      </c>
      <c r="L588">
        <v>780</v>
      </c>
      <c r="M588" t="s">
        <v>36</v>
      </c>
      <c r="N588" t="s">
        <v>15</v>
      </c>
      <c r="O588" t="s">
        <v>16</v>
      </c>
      <c r="P588" t="s">
        <v>47</v>
      </c>
      <c r="Q588" t="str">
        <f t="shared" si="73"/>
        <v>1</v>
      </c>
      <c r="R588" s="5">
        <v>46177</v>
      </c>
      <c r="S588" s="8">
        <f t="shared" si="74"/>
        <v>141.02564102564102</v>
      </c>
      <c r="T588">
        <f t="shared" si="75"/>
        <v>1320000</v>
      </c>
      <c r="U588" t="str">
        <f t="shared" si="76"/>
        <v>Luxury</v>
      </c>
      <c r="V588" t="str">
        <f t="shared" si="77"/>
        <v>Medium</v>
      </c>
      <c r="W588" t="str">
        <f>IF(S588 &lt; VLOOKUP(E588, Locality_Tier_Benchmarks!A:B, 2, FALSE) * 0.7, "Below Tier Range", "Normal")</f>
        <v>Normal</v>
      </c>
      <c r="X588" t="str">
        <f t="shared" si="78"/>
        <v>Normal</v>
      </c>
      <c r="Y588" t="str">
        <f t="shared" si="79"/>
        <v>Normal</v>
      </c>
      <c r="Z588" t="str">
        <f t="shared" si="72"/>
        <v>Pass</v>
      </c>
    </row>
    <row r="589" spans="1:26" x14ac:dyDescent="0.25">
      <c r="A589" s="2" t="s">
        <v>991</v>
      </c>
      <c r="B589" t="s">
        <v>17</v>
      </c>
      <c r="C589" t="s">
        <v>457</v>
      </c>
      <c r="D589" s="2" t="str">
        <f>VLOOKUP(C589,Locality_Reference!A:C,2,)</f>
        <v>Western Line</v>
      </c>
      <c r="E589" s="2" t="str">
        <f>VLOOKUP(C589,Locality_Reference!A:C,3,)</f>
        <v>Premium/South</v>
      </c>
      <c r="F589" s="2" t="s">
        <v>1341</v>
      </c>
      <c r="G589" s="8">
        <v>90000</v>
      </c>
      <c r="H589">
        <v>2</v>
      </c>
      <c r="I589">
        <v>2</v>
      </c>
      <c r="J589">
        <v>4</v>
      </c>
      <c r="K589">
        <v>6</v>
      </c>
      <c r="L589">
        <v>750</v>
      </c>
      <c r="M589" t="s">
        <v>36</v>
      </c>
      <c r="N589" t="s">
        <v>15</v>
      </c>
      <c r="O589" t="s">
        <v>16</v>
      </c>
      <c r="P589" t="s">
        <v>23</v>
      </c>
      <c r="Q589" t="str">
        <f t="shared" si="73"/>
        <v>10</v>
      </c>
      <c r="R589" s="5">
        <v>46149</v>
      </c>
      <c r="S589" s="8">
        <f t="shared" si="74"/>
        <v>120</v>
      </c>
      <c r="T589">
        <f t="shared" si="75"/>
        <v>1080000</v>
      </c>
      <c r="U589" t="str">
        <f t="shared" si="76"/>
        <v>Premium</v>
      </c>
      <c r="V589" t="str">
        <f t="shared" si="77"/>
        <v>Medium</v>
      </c>
      <c r="W589" t="str">
        <f>IF(S589 &lt; VLOOKUP(E589, Locality_Tier_Benchmarks!A:B, 2, FALSE) * 0.7, "Below Tier Range", "Normal")</f>
        <v>Normal</v>
      </c>
      <c r="X589" t="str">
        <f t="shared" si="78"/>
        <v>Normal</v>
      </c>
      <c r="Y589" t="str">
        <f t="shared" si="79"/>
        <v>Normal</v>
      </c>
      <c r="Z589" t="str">
        <f t="shared" si="72"/>
        <v>Pass</v>
      </c>
    </row>
    <row r="590" spans="1:26" x14ac:dyDescent="0.25">
      <c r="A590" s="2" t="s">
        <v>992</v>
      </c>
      <c r="B590" t="s">
        <v>17</v>
      </c>
      <c r="C590" t="s">
        <v>457</v>
      </c>
      <c r="D590" s="2" t="str">
        <f>VLOOKUP(C590,Locality_Reference!A:C,2,)</f>
        <v>Western Line</v>
      </c>
      <c r="E590" s="2" t="str">
        <f>VLOOKUP(C590,Locality_Reference!A:C,3,)</f>
        <v>Premium/South</v>
      </c>
      <c r="F590" s="2" t="s">
        <v>1342</v>
      </c>
      <c r="G590" s="8">
        <v>130000</v>
      </c>
      <c r="H590">
        <v>2</v>
      </c>
      <c r="I590">
        <v>2</v>
      </c>
      <c r="J590">
        <v>19</v>
      </c>
      <c r="K590">
        <v>31</v>
      </c>
      <c r="L590">
        <v>810</v>
      </c>
      <c r="M590" t="s">
        <v>14</v>
      </c>
      <c r="N590" t="s">
        <v>1289</v>
      </c>
      <c r="O590" t="s">
        <v>16</v>
      </c>
      <c r="P590" t="s">
        <v>52</v>
      </c>
      <c r="Q590" t="str">
        <f t="shared" si="73"/>
        <v>7.5</v>
      </c>
      <c r="R590" s="5">
        <v>46161</v>
      </c>
      <c r="S590" s="8">
        <f t="shared" si="74"/>
        <v>160.49382716049382</v>
      </c>
      <c r="T590">
        <f t="shared" si="75"/>
        <v>1560000</v>
      </c>
      <c r="U590" t="str">
        <f t="shared" si="76"/>
        <v>Luxury</v>
      </c>
      <c r="V590" t="str">
        <f t="shared" si="77"/>
        <v>Large</v>
      </c>
      <c r="W590" t="str">
        <f>IF(S590 &lt; VLOOKUP(E590, Locality_Tier_Benchmarks!A:B, 2, FALSE) * 0.7, "Below Tier Range", "Normal")</f>
        <v>Normal</v>
      </c>
      <c r="X590" t="str">
        <f t="shared" si="78"/>
        <v>Normal</v>
      </c>
      <c r="Y590" t="str">
        <f t="shared" si="79"/>
        <v>Normal</v>
      </c>
      <c r="Z590" t="str">
        <f t="shared" si="72"/>
        <v>Pass</v>
      </c>
    </row>
    <row r="591" spans="1:26" x14ac:dyDescent="0.25">
      <c r="A591" s="2" t="s">
        <v>993</v>
      </c>
      <c r="B591" t="s">
        <v>17</v>
      </c>
      <c r="C591" t="s">
        <v>457</v>
      </c>
      <c r="D591" s="2" t="str">
        <f>VLOOKUP(C591,Locality_Reference!A:C,2,)</f>
        <v>Western Line</v>
      </c>
      <c r="E591" s="2" t="str">
        <f>VLOOKUP(C591,Locality_Reference!A:C,3,)</f>
        <v>Premium/South</v>
      </c>
      <c r="F591" s="2" t="s">
        <v>1342</v>
      </c>
      <c r="G591" s="8">
        <v>140000</v>
      </c>
      <c r="H591">
        <v>3</v>
      </c>
      <c r="I591">
        <v>2</v>
      </c>
      <c r="J591">
        <v>22</v>
      </c>
      <c r="K591">
        <v>24</v>
      </c>
      <c r="L591">
        <v>1530</v>
      </c>
      <c r="M591" t="s">
        <v>14</v>
      </c>
      <c r="N591" t="s">
        <v>29</v>
      </c>
      <c r="O591" t="s">
        <v>16</v>
      </c>
      <c r="P591" t="s">
        <v>52</v>
      </c>
      <c r="Q591" t="str">
        <f t="shared" si="73"/>
        <v>7.5</v>
      </c>
      <c r="R591" s="5">
        <v>46169</v>
      </c>
      <c r="S591" s="8">
        <f t="shared" si="74"/>
        <v>91.503267973856211</v>
      </c>
      <c r="T591">
        <f t="shared" si="75"/>
        <v>1680000</v>
      </c>
      <c r="U591" t="str">
        <f t="shared" si="76"/>
        <v>Luxury</v>
      </c>
      <c r="V591" t="str">
        <f t="shared" si="77"/>
        <v>Spacious</v>
      </c>
      <c r="W591" t="str">
        <f>IF(S591 &lt; VLOOKUP(E591, Locality_Tier_Benchmarks!A:B, 2, FALSE) * 0.7, "Below Tier Range", "Normal")</f>
        <v>Normal</v>
      </c>
      <c r="X591" t="str">
        <f t="shared" si="78"/>
        <v>Normal</v>
      </c>
      <c r="Y591" t="str">
        <f t="shared" si="79"/>
        <v>Normal</v>
      </c>
      <c r="Z591" t="str">
        <f t="shared" si="72"/>
        <v>Pass</v>
      </c>
    </row>
    <row r="592" spans="1:26" x14ac:dyDescent="0.25">
      <c r="A592" s="2" t="s">
        <v>994</v>
      </c>
      <c r="B592" t="s">
        <v>366</v>
      </c>
      <c r="C592" t="s">
        <v>457</v>
      </c>
      <c r="D592" s="2" t="str">
        <f>VLOOKUP(C592,Locality_Reference!A:C,2,)</f>
        <v>Western Line</v>
      </c>
      <c r="E592" s="2" t="str">
        <f>VLOOKUP(C592,Locality_Reference!A:C,3,)</f>
        <v>Premium/South</v>
      </c>
      <c r="F592" s="2" t="s">
        <v>1336</v>
      </c>
      <c r="G592" s="8">
        <v>380000</v>
      </c>
      <c r="H592">
        <v>4</v>
      </c>
      <c r="I592">
        <v>4</v>
      </c>
      <c r="J592">
        <v>50</v>
      </c>
      <c r="K592">
        <v>72</v>
      </c>
      <c r="L592">
        <v>2700</v>
      </c>
      <c r="M592" t="s">
        <v>36</v>
      </c>
      <c r="N592" t="s">
        <v>34</v>
      </c>
      <c r="O592" t="s">
        <v>16</v>
      </c>
      <c r="P592" t="s">
        <v>1150</v>
      </c>
      <c r="Q592" t="str">
        <f t="shared" si="73"/>
        <v>20</v>
      </c>
      <c r="R592" s="5">
        <v>46178</v>
      </c>
      <c r="S592" s="8">
        <f t="shared" si="74"/>
        <v>140.74074074074073</v>
      </c>
      <c r="T592">
        <f t="shared" si="75"/>
        <v>4560000</v>
      </c>
      <c r="U592" t="str">
        <f t="shared" si="76"/>
        <v>Luxury</v>
      </c>
      <c r="V592" t="str">
        <f t="shared" si="77"/>
        <v>Spacious</v>
      </c>
      <c r="W592" t="str">
        <f>IF(S592 &lt; VLOOKUP(E592, Locality_Tier_Benchmarks!A:B, 2, FALSE) * 0.7, "Below Tier Range", "Normal")</f>
        <v>Normal</v>
      </c>
      <c r="X592" t="str">
        <f t="shared" si="78"/>
        <v>Normal</v>
      </c>
      <c r="Y592" t="str">
        <f t="shared" si="79"/>
        <v>Normal</v>
      </c>
      <c r="Z592" t="str">
        <f t="shared" si="72"/>
        <v>Pass</v>
      </c>
    </row>
    <row r="593" spans="1:26" x14ac:dyDescent="0.25">
      <c r="A593" s="2" t="s">
        <v>995</v>
      </c>
      <c r="B593" t="s">
        <v>17</v>
      </c>
      <c r="C593" t="s">
        <v>456</v>
      </c>
      <c r="D593" s="2" t="str">
        <f>VLOOKUP(C593,Locality_Reference!A:C,2,)</f>
        <v>Western Line</v>
      </c>
      <c r="E593" s="2" t="str">
        <f>VLOOKUP(C593,Locality_Reference!A:C,3,)</f>
        <v>Premium/South</v>
      </c>
      <c r="F593" s="2" t="s">
        <v>1343</v>
      </c>
      <c r="G593" s="8">
        <v>56000</v>
      </c>
      <c r="H593">
        <v>1</v>
      </c>
      <c r="I593">
        <v>1</v>
      </c>
      <c r="J593">
        <v>3</v>
      </c>
      <c r="K593">
        <v>7</v>
      </c>
      <c r="L593">
        <v>700</v>
      </c>
      <c r="M593" t="s">
        <v>14</v>
      </c>
      <c r="N593" t="s">
        <v>29</v>
      </c>
      <c r="O593" t="s">
        <v>16</v>
      </c>
      <c r="P593" t="s">
        <v>23</v>
      </c>
      <c r="Q593" t="str">
        <f t="shared" si="73"/>
        <v>10</v>
      </c>
      <c r="R593" s="5">
        <v>46194</v>
      </c>
      <c r="S593" s="8">
        <f t="shared" si="74"/>
        <v>80</v>
      </c>
      <c r="T593">
        <f t="shared" si="75"/>
        <v>672000</v>
      </c>
      <c r="U593" t="str">
        <f t="shared" si="76"/>
        <v>Mid</v>
      </c>
      <c r="V593" t="str">
        <f t="shared" si="77"/>
        <v>Medium</v>
      </c>
      <c r="W593" t="str">
        <f>IF(S593 &lt; VLOOKUP(E593, Locality_Tier_Benchmarks!A:B, 2, FALSE) * 0.7, "Below Tier Range", "Normal")</f>
        <v>Normal</v>
      </c>
      <c r="X593" t="str">
        <f t="shared" si="78"/>
        <v>Normal</v>
      </c>
      <c r="Y593" t="str">
        <f t="shared" si="79"/>
        <v>Normal</v>
      </c>
      <c r="Z593" t="str">
        <f t="shared" si="72"/>
        <v>Pass</v>
      </c>
    </row>
    <row r="594" spans="1:26" x14ac:dyDescent="0.25">
      <c r="A594" s="2" t="s">
        <v>996</v>
      </c>
      <c r="B594" t="s">
        <v>17</v>
      </c>
      <c r="C594" t="s">
        <v>456</v>
      </c>
      <c r="D594" s="2" t="str">
        <f>VLOOKUP(C594,Locality_Reference!A:C,2,)</f>
        <v>Western Line</v>
      </c>
      <c r="E594" s="2" t="str">
        <f>VLOOKUP(C594,Locality_Reference!A:C,3,)</f>
        <v>Premium/South</v>
      </c>
      <c r="F594" s="2" t="s">
        <v>1344</v>
      </c>
      <c r="G594" s="8">
        <v>25000</v>
      </c>
      <c r="H594">
        <v>1</v>
      </c>
      <c r="I594">
        <v>1</v>
      </c>
      <c r="J594">
        <v>0</v>
      </c>
      <c r="K594">
        <v>3</v>
      </c>
      <c r="L594">
        <v>180</v>
      </c>
      <c r="M594" t="s">
        <v>33</v>
      </c>
      <c r="N594" t="s">
        <v>15</v>
      </c>
      <c r="O594" t="s">
        <v>16</v>
      </c>
      <c r="P594" t="s">
        <v>23</v>
      </c>
      <c r="Q594" t="str">
        <f t="shared" si="73"/>
        <v>10</v>
      </c>
      <c r="R594" s="5">
        <v>46202</v>
      </c>
      <c r="S594" s="8">
        <f t="shared" si="74"/>
        <v>138.88888888888889</v>
      </c>
      <c r="T594">
        <f t="shared" si="75"/>
        <v>300000</v>
      </c>
      <c r="U594" t="str">
        <f t="shared" si="76"/>
        <v>Budget</v>
      </c>
      <c r="V594" t="str">
        <f t="shared" si="77"/>
        <v>Compact</v>
      </c>
      <c r="W594" t="str">
        <f>IF(S594 &lt; VLOOKUP(E594, Locality_Tier_Benchmarks!A:B, 2, FALSE) * 0.7, "Below Tier Range", "Normal")</f>
        <v>Normal</v>
      </c>
      <c r="X594" t="str">
        <f t="shared" si="78"/>
        <v>Normal</v>
      </c>
      <c r="Y594" t="str">
        <f t="shared" si="79"/>
        <v>Normal</v>
      </c>
      <c r="Z594" t="str">
        <f t="shared" si="72"/>
        <v>Pass</v>
      </c>
    </row>
    <row r="595" spans="1:26" x14ac:dyDescent="0.25">
      <c r="A595" s="2" t="s">
        <v>997</v>
      </c>
      <c r="B595" t="s">
        <v>17</v>
      </c>
      <c r="C595" t="s">
        <v>456</v>
      </c>
      <c r="D595" s="2" t="str">
        <f>VLOOKUP(C595,Locality_Reference!A:C,2,)</f>
        <v>Western Line</v>
      </c>
      <c r="E595" s="2" t="str">
        <f>VLOOKUP(C595,Locality_Reference!A:C,3,)</f>
        <v>Premium/South</v>
      </c>
      <c r="F595" s="2" t="s">
        <v>1345</v>
      </c>
      <c r="G595" s="8">
        <v>42000</v>
      </c>
      <c r="H595">
        <v>1</v>
      </c>
      <c r="I595">
        <v>1</v>
      </c>
      <c r="J595">
        <v>5</v>
      </c>
      <c r="K595">
        <v>12</v>
      </c>
      <c r="L595">
        <v>395</v>
      </c>
      <c r="M595" t="s">
        <v>14</v>
      </c>
      <c r="N595" t="s">
        <v>29</v>
      </c>
      <c r="O595" t="s">
        <v>16</v>
      </c>
      <c r="P595" t="s">
        <v>52</v>
      </c>
      <c r="Q595" t="str">
        <f t="shared" si="73"/>
        <v>7.5</v>
      </c>
      <c r="R595" s="5">
        <v>46158</v>
      </c>
      <c r="S595" s="8">
        <f t="shared" si="74"/>
        <v>106.32911392405063</v>
      </c>
      <c r="T595">
        <f t="shared" si="75"/>
        <v>504000</v>
      </c>
      <c r="U595" t="str">
        <f t="shared" si="76"/>
        <v>Mid</v>
      </c>
      <c r="V595" t="str">
        <f t="shared" si="77"/>
        <v>Compact</v>
      </c>
      <c r="W595" t="str">
        <f>IF(S595 &lt; VLOOKUP(E595, Locality_Tier_Benchmarks!A:B, 2, FALSE) * 0.7, "Below Tier Range", "Normal")</f>
        <v>Normal</v>
      </c>
      <c r="X595" t="str">
        <f t="shared" si="78"/>
        <v>Normal</v>
      </c>
      <c r="Y595" t="str">
        <f t="shared" si="79"/>
        <v>Normal</v>
      </c>
      <c r="Z595" t="str">
        <f t="shared" si="72"/>
        <v>Pass</v>
      </c>
    </row>
    <row r="596" spans="1:26" x14ac:dyDescent="0.25">
      <c r="A596" s="2" t="s">
        <v>998</v>
      </c>
      <c r="B596" t="s">
        <v>366</v>
      </c>
      <c r="C596" t="s">
        <v>456</v>
      </c>
      <c r="D596" s="2" t="str">
        <f>VLOOKUP(C596,Locality_Reference!A:C,2,)</f>
        <v>Western Line</v>
      </c>
      <c r="E596" s="2" t="str">
        <f>VLOOKUP(C596,Locality_Reference!A:C,3,)</f>
        <v>Premium/South</v>
      </c>
      <c r="F596" s="2" t="s">
        <v>1346</v>
      </c>
      <c r="G596" s="8">
        <v>55000</v>
      </c>
      <c r="H596">
        <v>1</v>
      </c>
      <c r="I596">
        <v>1</v>
      </c>
      <c r="J596">
        <v>18</v>
      </c>
      <c r="K596">
        <v>20</v>
      </c>
      <c r="L596">
        <v>409</v>
      </c>
      <c r="M596" t="s">
        <v>33</v>
      </c>
      <c r="N596" t="s">
        <v>29</v>
      </c>
      <c r="O596" t="s">
        <v>16</v>
      </c>
      <c r="P596" t="s">
        <v>405</v>
      </c>
      <c r="Q596" t="str">
        <f t="shared" si="73"/>
        <v>17.5</v>
      </c>
      <c r="R596" s="5">
        <v>46173</v>
      </c>
      <c r="S596" s="8">
        <f t="shared" si="74"/>
        <v>134.47432762836186</v>
      </c>
      <c r="T596">
        <f t="shared" si="75"/>
        <v>660000</v>
      </c>
      <c r="U596" t="str">
        <f t="shared" si="76"/>
        <v>Mid</v>
      </c>
      <c r="V596" t="str">
        <f t="shared" si="77"/>
        <v>Compact</v>
      </c>
      <c r="W596" t="str">
        <f>IF(S596 &lt; VLOOKUP(E596, Locality_Tier_Benchmarks!A:B, 2, FALSE) * 0.7, "Below Tier Range", "Normal")</f>
        <v>Normal</v>
      </c>
      <c r="X596" t="str">
        <f t="shared" si="78"/>
        <v>Normal</v>
      </c>
      <c r="Y596" t="str">
        <f t="shared" si="79"/>
        <v>Normal</v>
      </c>
      <c r="Z596" t="str">
        <f t="shared" si="72"/>
        <v>Pass</v>
      </c>
    </row>
    <row r="597" spans="1:26" x14ac:dyDescent="0.25">
      <c r="A597" s="2" t="s">
        <v>999</v>
      </c>
      <c r="B597" t="s">
        <v>366</v>
      </c>
      <c r="C597" t="s">
        <v>456</v>
      </c>
      <c r="D597" s="2" t="str">
        <f>VLOOKUP(C597,Locality_Reference!A:C,2,)</f>
        <v>Western Line</v>
      </c>
      <c r="E597" s="2" t="str">
        <f>VLOOKUP(C597,Locality_Reference!A:C,3,)</f>
        <v>Premium/South</v>
      </c>
      <c r="F597" s="2" t="s">
        <v>1347</v>
      </c>
      <c r="G597" s="8">
        <v>80000</v>
      </c>
      <c r="H597">
        <v>1</v>
      </c>
      <c r="I597">
        <v>1</v>
      </c>
      <c r="J597">
        <v>1</v>
      </c>
      <c r="K597">
        <v>4</v>
      </c>
      <c r="L597">
        <v>500</v>
      </c>
      <c r="M597" t="s">
        <v>14</v>
      </c>
      <c r="N597" t="s">
        <v>29</v>
      </c>
      <c r="O597" t="s">
        <v>16</v>
      </c>
      <c r="P597" t="s">
        <v>405</v>
      </c>
      <c r="Q597" t="str">
        <f t="shared" si="73"/>
        <v>17.5</v>
      </c>
      <c r="R597" s="5">
        <v>46203</v>
      </c>
      <c r="S597" s="8">
        <f t="shared" si="74"/>
        <v>160</v>
      </c>
      <c r="T597">
        <f t="shared" si="75"/>
        <v>960000</v>
      </c>
      <c r="U597" t="str">
        <f t="shared" si="76"/>
        <v>Premium</v>
      </c>
      <c r="V597" t="str">
        <f t="shared" si="77"/>
        <v>Compact</v>
      </c>
      <c r="W597" t="str">
        <f>IF(S597 &lt; VLOOKUP(E597, Locality_Tier_Benchmarks!A:B, 2, FALSE) * 0.7, "Below Tier Range", "Normal")</f>
        <v>Normal</v>
      </c>
      <c r="X597" t="str">
        <f t="shared" si="78"/>
        <v>Normal</v>
      </c>
      <c r="Y597" t="str">
        <f t="shared" si="79"/>
        <v>Normal</v>
      </c>
      <c r="Z597" t="str">
        <f t="shared" si="72"/>
        <v>Pass</v>
      </c>
    </row>
    <row r="598" spans="1:26" x14ac:dyDescent="0.25">
      <c r="A598" s="2" t="s">
        <v>1000</v>
      </c>
      <c r="B598" t="s">
        <v>17</v>
      </c>
      <c r="C598" t="s">
        <v>456</v>
      </c>
      <c r="D598" s="2" t="str">
        <f>VLOOKUP(C598,Locality_Reference!A:C,2,)</f>
        <v>Western Line</v>
      </c>
      <c r="E598" s="2" t="str">
        <f>VLOOKUP(C598,Locality_Reference!A:C,3,)</f>
        <v>Premium/South</v>
      </c>
      <c r="F598" s="2" t="s">
        <v>1348</v>
      </c>
      <c r="G598" s="8">
        <v>160000</v>
      </c>
      <c r="H598">
        <v>2</v>
      </c>
      <c r="I598">
        <v>3</v>
      </c>
      <c r="J598">
        <v>17</v>
      </c>
      <c r="K598">
        <v>22</v>
      </c>
      <c r="L598">
        <v>850</v>
      </c>
      <c r="M598" t="s">
        <v>36</v>
      </c>
      <c r="N598" t="s">
        <v>29</v>
      </c>
      <c r="O598" t="s">
        <v>16</v>
      </c>
      <c r="P598" t="s">
        <v>23</v>
      </c>
      <c r="Q598" t="str">
        <f t="shared" si="73"/>
        <v>10</v>
      </c>
      <c r="R598" s="5">
        <v>46181</v>
      </c>
      <c r="S598" s="8">
        <f t="shared" si="74"/>
        <v>188.23529411764707</v>
      </c>
      <c r="T598">
        <f t="shared" si="75"/>
        <v>1920000</v>
      </c>
      <c r="U598" t="str">
        <f t="shared" si="76"/>
        <v>Luxury</v>
      </c>
      <c r="V598" t="str">
        <f t="shared" si="77"/>
        <v>Large</v>
      </c>
      <c r="W598" t="str">
        <f>IF(S598 &lt; VLOOKUP(E598, Locality_Tier_Benchmarks!A:B, 2, FALSE) * 0.7, "Below Tier Range", "Normal")</f>
        <v>Normal</v>
      </c>
      <c r="X598" t="str">
        <f t="shared" si="78"/>
        <v>Normal</v>
      </c>
      <c r="Y598" t="str">
        <f t="shared" si="79"/>
        <v>Normal</v>
      </c>
      <c r="Z598" t="str">
        <f t="shared" si="72"/>
        <v>Pass</v>
      </c>
    </row>
    <row r="599" spans="1:26" x14ac:dyDescent="0.25">
      <c r="A599" s="2" t="s">
        <v>1001</v>
      </c>
      <c r="B599" t="s">
        <v>366</v>
      </c>
      <c r="C599" t="s">
        <v>456</v>
      </c>
      <c r="D599" s="2" t="str">
        <f>VLOOKUP(C599,Locality_Reference!A:C,2,)</f>
        <v>Western Line</v>
      </c>
      <c r="E599" s="2" t="str">
        <f>VLOOKUP(C599,Locality_Reference!A:C,3,)</f>
        <v>Premium/South</v>
      </c>
      <c r="F599" s="2" t="s">
        <v>1349</v>
      </c>
      <c r="G599" s="8">
        <v>80000</v>
      </c>
      <c r="H599">
        <v>2</v>
      </c>
      <c r="I599">
        <v>2</v>
      </c>
      <c r="J599">
        <v>0</v>
      </c>
      <c r="K599">
        <v>7</v>
      </c>
      <c r="L599">
        <v>800</v>
      </c>
      <c r="M599" t="s">
        <v>14</v>
      </c>
      <c r="N599" t="s">
        <v>29</v>
      </c>
      <c r="O599" t="s">
        <v>16</v>
      </c>
      <c r="P599" t="s">
        <v>23</v>
      </c>
      <c r="Q599" t="str">
        <f t="shared" si="73"/>
        <v>10</v>
      </c>
      <c r="R599" s="5">
        <v>46144</v>
      </c>
      <c r="S599" s="8">
        <f t="shared" si="74"/>
        <v>100</v>
      </c>
      <c r="T599">
        <f t="shared" si="75"/>
        <v>960000</v>
      </c>
      <c r="U599" t="str">
        <f t="shared" si="76"/>
        <v>Premium</v>
      </c>
      <c r="V599" t="str">
        <f t="shared" si="77"/>
        <v>Medium</v>
      </c>
      <c r="W599" t="str">
        <f>IF(S599 &lt; VLOOKUP(E599, Locality_Tier_Benchmarks!A:B, 2, FALSE) * 0.7, "Below Tier Range", "Normal")</f>
        <v>Normal</v>
      </c>
      <c r="X599" t="str">
        <f t="shared" si="78"/>
        <v>Normal</v>
      </c>
      <c r="Y599" t="str">
        <f t="shared" si="79"/>
        <v>Normal</v>
      </c>
      <c r="Z599" t="str">
        <f t="shared" si="72"/>
        <v>Pass</v>
      </c>
    </row>
    <row r="600" spans="1:26" x14ac:dyDescent="0.25">
      <c r="A600" s="2" t="s">
        <v>1002</v>
      </c>
      <c r="B600" t="s">
        <v>366</v>
      </c>
      <c r="C600" t="s">
        <v>456</v>
      </c>
      <c r="D600" s="2" t="str">
        <f>VLOOKUP(C600,Locality_Reference!A:C,2,)</f>
        <v>Western Line</v>
      </c>
      <c r="E600" s="2" t="str">
        <f>VLOOKUP(C600,Locality_Reference!A:C,3,)</f>
        <v>Premium/South</v>
      </c>
      <c r="F600" s="2" t="s">
        <v>1350</v>
      </c>
      <c r="G600" s="8">
        <v>150000</v>
      </c>
      <c r="H600">
        <v>2</v>
      </c>
      <c r="I600">
        <v>2</v>
      </c>
      <c r="J600">
        <v>7</v>
      </c>
      <c r="K600">
        <v>9</v>
      </c>
      <c r="L600">
        <v>825</v>
      </c>
      <c r="M600" t="s">
        <v>14</v>
      </c>
      <c r="N600" t="s">
        <v>29</v>
      </c>
      <c r="O600" t="s">
        <v>16</v>
      </c>
      <c r="P600" t="s">
        <v>31</v>
      </c>
      <c r="Q600" t="str">
        <f t="shared" si="73"/>
        <v>3</v>
      </c>
      <c r="R600" s="5">
        <v>46202</v>
      </c>
      <c r="S600" s="8">
        <f t="shared" si="74"/>
        <v>181.81818181818181</v>
      </c>
      <c r="T600">
        <f t="shared" si="75"/>
        <v>1800000</v>
      </c>
      <c r="U600" t="str">
        <f t="shared" si="76"/>
        <v>Luxury</v>
      </c>
      <c r="V600" t="str">
        <f t="shared" si="77"/>
        <v>Large</v>
      </c>
      <c r="W600" t="str">
        <f>IF(S600 &lt; VLOOKUP(E600, Locality_Tier_Benchmarks!A:B, 2, FALSE) * 0.7, "Below Tier Range", "Normal")</f>
        <v>Normal</v>
      </c>
      <c r="X600" t="str">
        <f t="shared" si="78"/>
        <v>Normal</v>
      </c>
      <c r="Y600" t="str">
        <f t="shared" si="79"/>
        <v>Normal</v>
      </c>
      <c r="Z600" t="str">
        <f t="shared" si="72"/>
        <v>Pass</v>
      </c>
    </row>
    <row r="601" spans="1:26" x14ac:dyDescent="0.25">
      <c r="A601" s="2" t="s">
        <v>1003</v>
      </c>
      <c r="B601" t="s">
        <v>366</v>
      </c>
      <c r="C601" t="s">
        <v>456</v>
      </c>
      <c r="D601" s="2" t="str">
        <f>VLOOKUP(C601,Locality_Reference!A:C,2,)</f>
        <v>Western Line</v>
      </c>
      <c r="E601" s="2" t="str">
        <f>VLOOKUP(C601,Locality_Reference!A:C,3,)</f>
        <v>Premium/South</v>
      </c>
      <c r="F601" s="2" t="s">
        <v>1347</v>
      </c>
      <c r="G601" s="8">
        <v>130000</v>
      </c>
      <c r="H601">
        <v>2</v>
      </c>
      <c r="I601">
        <v>2</v>
      </c>
      <c r="J601">
        <v>18</v>
      </c>
      <c r="K601">
        <v>20</v>
      </c>
      <c r="L601">
        <v>1250</v>
      </c>
      <c r="M601" t="s">
        <v>14</v>
      </c>
      <c r="N601" t="s">
        <v>1289</v>
      </c>
      <c r="O601" t="s">
        <v>16</v>
      </c>
      <c r="P601" t="s">
        <v>31</v>
      </c>
      <c r="Q601" t="str">
        <f t="shared" si="73"/>
        <v>3</v>
      </c>
      <c r="R601" s="5">
        <v>46153</v>
      </c>
      <c r="S601" s="8">
        <f t="shared" si="74"/>
        <v>104</v>
      </c>
      <c r="T601">
        <f t="shared" si="75"/>
        <v>1560000</v>
      </c>
      <c r="U601" t="str">
        <f t="shared" si="76"/>
        <v>Luxury</v>
      </c>
      <c r="V601" t="str">
        <f t="shared" si="77"/>
        <v>Spacious</v>
      </c>
      <c r="W601" t="str">
        <f>IF(S601 &lt; VLOOKUP(E601, Locality_Tier_Benchmarks!A:B, 2, FALSE) * 0.7, "Below Tier Range", "Normal")</f>
        <v>Normal</v>
      </c>
      <c r="X601" t="str">
        <f t="shared" si="78"/>
        <v>Normal</v>
      </c>
      <c r="Y601" t="str">
        <f t="shared" si="79"/>
        <v>Normal</v>
      </c>
      <c r="Z601" t="str">
        <f t="shared" si="72"/>
        <v>Pass</v>
      </c>
    </row>
    <row r="602" spans="1:26" x14ac:dyDescent="0.25">
      <c r="A602" s="2" t="s">
        <v>1004</v>
      </c>
      <c r="B602" t="s">
        <v>17</v>
      </c>
      <c r="C602" t="s">
        <v>456</v>
      </c>
      <c r="D602" s="2" t="str">
        <f>VLOOKUP(C602,Locality_Reference!A:C,2,)</f>
        <v>Western Line</v>
      </c>
      <c r="E602" s="2" t="str">
        <f>VLOOKUP(C602,Locality_Reference!A:C,3,)</f>
        <v>Premium/South</v>
      </c>
      <c r="F602" s="2" t="s">
        <v>1351</v>
      </c>
      <c r="G602" s="8">
        <v>50000</v>
      </c>
      <c r="H602">
        <v>3</v>
      </c>
      <c r="I602">
        <v>2</v>
      </c>
      <c r="J602">
        <v>5</v>
      </c>
      <c r="K602">
        <v>7</v>
      </c>
      <c r="L602">
        <v>900</v>
      </c>
      <c r="M602" t="s">
        <v>33</v>
      </c>
      <c r="N602" t="s">
        <v>29</v>
      </c>
      <c r="O602" t="s">
        <v>16</v>
      </c>
      <c r="P602" t="s">
        <v>23</v>
      </c>
      <c r="Q602" t="str">
        <f t="shared" si="73"/>
        <v>10</v>
      </c>
      <c r="R602" s="5">
        <v>46154</v>
      </c>
      <c r="S602" s="8">
        <f t="shared" si="74"/>
        <v>55.555555555555557</v>
      </c>
      <c r="T602">
        <f t="shared" si="75"/>
        <v>600000</v>
      </c>
      <c r="U602" t="str">
        <f t="shared" si="76"/>
        <v>Mid</v>
      </c>
      <c r="V602" t="str">
        <f t="shared" si="77"/>
        <v>Large</v>
      </c>
      <c r="W602" t="str">
        <f>IF(S602 &lt; VLOOKUP(E602, Locality_Tier_Benchmarks!A:B, 2, FALSE) * 0.7, "Below Tier Range", "Normal")</f>
        <v>Below Tier Range</v>
      </c>
      <c r="X602" t="str">
        <f t="shared" si="78"/>
        <v>Normal</v>
      </c>
      <c r="Y602" t="str">
        <f t="shared" si="79"/>
        <v>Normal</v>
      </c>
      <c r="Z602" t="str">
        <f t="shared" si="72"/>
        <v>Review</v>
      </c>
    </row>
    <row r="603" spans="1:26" x14ac:dyDescent="0.25">
      <c r="A603" s="2" t="s">
        <v>1005</v>
      </c>
      <c r="B603" t="s">
        <v>17</v>
      </c>
      <c r="C603" t="s">
        <v>455</v>
      </c>
      <c r="D603" s="2" t="str">
        <f>VLOOKUP(C603,Locality_Reference!A:C,2,)</f>
        <v>Western Line</v>
      </c>
      <c r="E603" s="2" t="str">
        <f>VLOOKUP(C603,Locality_Reference!A:C,3,)</f>
        <v>Premium/South</v>
      </c>
      <c r="F603" s="2" t="s">
        <v>1352</v>
      </c>
      <c r="G603" s="8">
        <v>36000</v>
      </c>
      <c r="H603">
        <v>1</v>
      </c>
      <c r="I603">
        <v>1</v>
      </c>
      <c r="J603">
        <v>4</v>
      </c>
      <c r="K603">
        <v>10</v>
      </c>
      <c r="L603">
        <v>315</v>
      </c>
      <c r="M603" t="s">
        <v>14</v>
      </c>
      <c r="N603" t="s">
        <v>29</v>
      </c>
      <c r="O603" t="s">
        <v>16</v>
      </c>
      <c r="P603" t="s">
        <v>52</v>
      </c>
      <c r="Q603" t="str">
        <f t="shared" si="73"/>
        <v>7.5</v>
      </c>
      <c r="R603" s="5">
        <v>46193</v>
      </c>
      <c r="S603" s="8">
        <f t="shared" si="74"/>
        <v>114.28571428571429</v>
      </c>
      <c r="T603">
        <f t="shared" si="75"/>
        <v>432000</v>
      </c>
      <c r="U603" t="str">
        <f t="shared" si="76"/>
        <v>Mid</v>
      </c>
      <c r="V603" t="str">
        <f t="shared" si="77"/>
        <v>Compact</v>
      </c>
      <c r="W603" t="str">
        <f>IF(S603 &lt; VLOOKUP(E603, Locality_Tier_Benchmarks!A:B, 2, FALSE) * 0.7, "Below Tier Range", "Normal")</f>
        <v>Normal</v>
      </c>
      <c r="X603" t="str">
        <f t="shared" si="78"/>
        <v>Normal</v>
      </c>
      <c r="Y603" t="str">
        <f t="shared" si="79"/>
        <v>Normal</v>
      </c>
      <c r="Z603" t="str">
        <f t="shared" si="72"/>
        <v>Pass</v>
      </c>
    </row>
    <row r="604" spans="1:26" x14ac:dyDescent="0.25">
      <c r="A604" s="2" t="s">
        <v>1006</v>
      </c>
      <c r="B604" t="s">
        <v>17</v>
      </c>
      <c r="C604" t="s">
        <v>455</v>
      </c>
      <c r="D604" s="2" t="str">
        <f>VLOOKUP(C604,Locality_Reference!A:C,2,)</f>
        <v>Western Line</v>
      </c>
      <c r="E604" s="2" t="str">
        <f>VLOOKUP(C604,Locality_Reference!A:C,3,)</f>
        <v>Premium/South</v>
      </c>
      <c r="F604" s="2" t="s">
        <v>1353</v>
      </c>
      <c r="G604" s="8">
        <v>43200</v>
      </c>
      <c r="H604">
        <v>1</v>
      </c>
      <c r="I604">
        <v>1</v>
      </c>
      <c r="J604">
        <v>6</v>
      </c>
      <c r="K604">
        <v>14</v>
      </c>
      <c r="L604">
        <v>484</v>
      </c>
      <c r="M604" t="s">
        <v>36</v>
      </c>
      <c r="N604" t="s">
        <v>29</v>
      </c>
      <c r="O604" t="s">
        <v>16</v>
      </c>
      <c r="P604" t="s">
        <v>47</v>
      </c>
      <c r="Q604" t="str">
        <f t="shared" si="73"/>
        <v>1</v>
      </c>
      <c r="R604" s="5">
        <v>46193</v>
      </c>
      <c r="S604" s="8">
        <f t="shared" si="74"/>
        <v>89.256198347107443</v>
      </c>
      <c r="T604">
        <f t="shared" si="75"/>
        <v>518400</v>
      </c>
      <c r="U604" t="str">
        <f t="shared" si="76"/>
        <v>Mid</v>
      </c>
      <c r="V604" t="str">
        <f t="shared" si="77"/>
        <v>Compact</v>
      </c>
      <c r="W604" t="str">
        <f>IF(S604 &lt; VLOOKUP(E604, Locality_Tier_Benchmarks!A:B, 2, FALSE) * 0.7, "Below Tier Range", "Normal")</f>
        <v>Normal</v>
      </c>
      <c r="X604" t="str">
        <f t="shared" si="78"/>
        <v>Normal</v>
      </c>
      <c r="Y604" t="str">
        <f t="shared" si="79"/>
        <v>Normal</v>
      </c>
      <c r="Z604" t="str">
        <f t="shared" si="72"/>
        <v>Pass</v>
      </c>
    </row>
    <row r="605" spans="1:26" x14ac:dyDescent="0.25">
      <c r="A605" s="2" t="s">
        <v>1007</v>
      </c>
      <c r="B605" t="s">
        <v>17</v>
      </c>
      <c r="C605" t="s">
        <v>455</v>
      </c>
      <c r="D605" s="2" t="str">
        <f>VLOOKUP(C605,Locality_Reference!A:C,2,)</f>
        <v>Western Line</v>
      </c>
      <c r="E605" s="2" t="str">
        <f>VLOOKUP(C605,Locality_Reference!A:C,3,)</f>
        <v>Premium/South</v>
      </c>
      <c r="F605" s="2" t="s">
        <v>1354</v>
      </c>
      <c r="G605" s="8">
        <v>56000</v>
      </c>
      <c r="H605">
        <v>1</v>
      </c>
      <c r="I605">
        <v>2</v>
      </c>
      <c r="J605">
        <v>3</v>
      </c>
      <c r="K605">
        <v>9</v>
      </c>
      <c r="L605">
        <v>436</v>
      </c>
      <c r="M605" t="s">
        <v>14</v>
      </c>
      <c r="N605" t="s">
        <v>29</v>
      </c>
      <c r="O605" t="s">
        <v>16</v>
      </c>
      <c r="P605" t="s">
        <v>23</v>
      </c>
      <c r="Q605" t="str">
        <f t="shared" si="73"/>
        <v>10</v>
      </c>
      <c r="R605" s="5">
        <v>46158</v>
      </c>
      <c r="S605" s="8">
        <f t="shared" si="74"/>
        <v>128.44036697247705</v>
      </c>
      <c r="T605">
        <f t="shared" si="75"/>
        <v>672000</v>
      </c>
      <c r="U605" t="str">
        <f t="shared" si="76"/>
        <v>Mid</v>
      </c>
      <c r="V605" t="str">
        <f t="shared" si="77"/>
        <v>Compact</v>
      </c>
      <c r="W605" t="str">
        <f>IF(S605 &lt; VLOOKUP(E605, Locality_Tier_Benchmarks!A:B, 2, FALSE) * 0.7, "Below Tier Range", "Normal")</f>
        <v>Normal</v>
      </c>
      <c r="X605" t="str">
        <f t="shared" si="78"/>
        <v>Normal</v>
      </c>
      <c r="Y605" t="str">
        <f t="shared" si="79"/>
        <v>Normal</v>
      </c>
      <c r="Z605" t="str">
        <f t="shared" si="72"/>
        <v>Pass</v>
      </c>
    </row>
    <row r="606" spans="1:26" x14ac:dyDescent="0.25">
      <c r="A606" s="2" t="s">
        <v>1008</v>
      </c>
      <c r="B606" t="s">
        <v>366</v>
      </c>
      <c r="C606" t="s">
        <v>455</v>
      </c>
      <c r="D606" s="2" t="str">
        <f>VLOOKUP(C606,Locality_Reference!A:C,2,)</f>
        <v>Western Line</v>
      </c>
      <c r="E606" s="2" t="str">
        <f>VLOOKUP(C606,Locality_Reference!A:C,3,)</f>
        <v>Premium/South</v>
      </c>
      <c r="F606" s="2" t="s">
        <v>1355</v>
      </c>
      <c r="G606" s="8">
        <v>50000</v>
      </c>
      <c r="H606">
        <v>1</v>
      </c>
      <c r="I606">
        <v>2</v>
      </c>
      <c r="J606">
        <v>11</v>
      </c>
      <c r="K606">
        <v>23</v>
      </c>
      <c r="L606">
        <v>450</v>
      </c>
      <c r="M606" t="s">
        <v>36</v>
      </c>
      <c r="N606" t="s">
        <v>1289</v>
      </c>
      <c r="O606" t="s">
        <v>16</v>
      </c>
      <c r="P606" t="s">
        <v>31</v>
      </c>
      <c r="Q606" t="str">
        <f t="shared" si="73"/>
        <v>3</v>
      </c>
      <c r="R606" s="5">
        <v>46153</v>
      </c>
      <c r="S606" s="8">
        <f t="shared" si="74"/>
        <v>111.11111111111111</v>
      </c>
      <c r="T606">
        <f t="shared" si="75"/>
        <v>600000</v>
      </c>
      <c r="U606" t="str">
        <f t="shared" si="76"/>
        <v>Mid</v>
      </c>
      <c r="V606" t="str">
        <f t="shared" si="77"/>
        <v>Compact</v>
      </c>
      <c r="W606" t="str">
        <f>IF(S606 &lt; VLOOKUP(E606, Locality_Tier_Benchmarks!A:B, 2, FALSE) * 0.7, "Below Tier Range", "Normal")</f>
        <v>Normal</v>
      </c>
      <c r="X606" t="str">
        <f t="shared" si="78"/>
        <v>Normal</v>
      </c>
      <c r="Y606" t="str">
        <f t="shared" si="79"/>
        <v>Normal</v>
      </c>
      <c r="Z606" t="str">
        <f t="shared" si="72"/>
        <v>Pass</v>
      </c>
    </row>
    <row r="607" spans="1:26" x14ac:dyDescent="0.25">
      <c r="A607" s="2" t="s">
        <v>1009</v>
      </c>
      <c r="B607" t="s">
        <v>17</v>
      </c>
      <c r="C607" t="s">
        <v>455</v>
      </c>
      <c r="D607" s="2" t="str">
        <f>VLOOKUP(C607,Locality_Reference!A:C,2,)</f>
        <v>Western Line</v>
      </c>
      <c r="E607" s="2" t="str">
        <f>VLOOKUP(C607,Locality_Reference!A:C,3,)</f>
        <v>Premium/South</v>
      </c>
      <c r="F607" s="2" t="s">
        <v>1356</v>
      </c>
      <c r="G607" s="8">
        <v>65000</v>
      </c>
      <c r="H607">
        <v>2</v>
      </c>
      <c r="I607">
        <v>2</v>
      </c>
      <c r="J607">
        <v>3</v>
      </c>
      <c r="K607">
        <v>4</v>
      </c>
      <c r="L607">
        <v>900</v>
      </c>
      <c r="M607" t="s">
        <v>14</v>
      </c>
      <c r="N607" t="s">
        <v>15</v>
      </c>
      <c r="O607" t="s">
        <v>16</v>
      </c>
      <c r="P607" t="s">
        <v>23</v>
      </c>
      <c r="Q607" t="str">
        <f t="shared" si="73"/>
        <v>10</v>
      </c>
      <c r="R607" s="5">
        <v>46162</v>
      </c>
      <c r="S607" s="8">
        <f t="shared" si="74"/>
        <v>72.222222222222229</v>
      </c>
      <c r="T607">
        <f t="shared" si="75"/>
        <v>780000</v>
      </c>
      <c r="U607" t="str">
        <f t="shared" si="76"/>
        <v>Premium</v>
      </c>
      <c r="V607" t="str">
        <f t="shared" si="77"/>
        <v>Large</v>
      </c>
      <c r="W607" t="str">
        <f>IF(S607 &lt; VLOOKUP(E607, Locality_Tier_Benchmarks!A:B, 2, FALSE) * 0.7, "Below Tier Range", "Normal")</f>
        <v>Normal</v>
      </c>
      <c r="X607" t="str">
        <f t="shared" si="78"/>
        <v>Normal</v>
      </c>
      <c r="Y607" t="str">
        <f t="shared" si="79"/>
        <v>Normal</v>
      </c>
      <c r="Z607" t="str">
        <f t="shared" si="72"/>
        <v>Pass</v>
      </c>
    </row>
    <row r="608" spans="1:26" x14ac:dyDescent="0.25">
      <c r="A608" s="2" t="s">
        <v>1010</v>
      </c>
      <c r="B608" t="s">
        <v>17</v>
      </c>
      <c r="C608" t="s">
        <v>455</v>
      </c>
      <c r="D608" s="2" t="str">
        <f>VLOOKUP(C608,Locality_Reference!A:C,2,)</f>
        <v>Western Line</v>
      </c>
      <c r="E608" s="2" t="str">
        <f>VLOOKUP(C608,Locality_Reference!A:C,3,)</f>
        <v>Premium/South</v>
      </c>
      <c r="F608" s="2" t="s">
        <v>1357</v>
      </c>
      <c r="G608" s="8">
        <v>70000</v>
      </c>
      <c r="H608">
        <v>2</v>
      </c>
      <c r="I608">
        <v>2</v>
      </c>
      <c r="J608">
        <v>5</v>
      </c>
      <c r="K608">
        <v>10</v>
      </c>
      <c r="L608">
        <v>792</v>
      </c>
      <c r="M608" t="s">
        <v>14</v>
      </c>
      <c r="N608" t="s">
        <v>29</v>
      </c>
      <c r="O608" t="s">
        <v>16</v>
      </c>
      <c r="P608" t="s">
        <v>23</v>
      </c>
      <c r="Q608" t="str">
        <f t="shared" si="73"/>
        <v>10</v>
      </c>
      <c r="R608" s="5">
        <v>46145</v>
      </c>
      <c r="S608" s="8">
        <f t="shared" si="74"/>
        <v>88.383838383838381</v>
      </c>
      <c r="T608">
        <f t="shared" si="75"/>
        <v>840000</v>
      </c>
      <c r="U608" t="str">
        <f t="shared" si="76"/>
        <v>Premium</v>
      </c>
      <c r="V608" t="str">
        <f t="shared" si="77"/>
        <v>Medium</v>
      </c>
      <c r="W608" t="str">
        <f>IF(S608 &lt; VLOOKUP(E608, Locality_Tier_Benchmarks!A:B, 2, FALSE) * 0.7, "Below Tier Range", "Normal")</f>
        <v>Normal</v>
      </c>
      <c r="X608" t="str">
        <f t="shared" si="78"/>
        <v>Normal</v>
      </c>
      <c r="Y608" t="str">
        <f t="shared" si="79"/>
        <v>Normal</v>
      </c>
      <c r="Z608" t="str">
        <f t="shared" si="72"/>
        <v>Pass</v>
      </c>
    </row>
    <row r="609" spans="1:26" x14ac:dyDescent="0.25">
      <c r="A609" s="2" t="s">
        <v>1011</v>
      </c>
      <c r="B609" t="s">
        <v>366</v>
      </c>
      <c r="C609" t="s">
        <v>455</v>
      </c>
      <c r="D609" s="2" t="str">
        <f>VLOOKUP(C609,Locality_Reference!A:C,2,)</f>
        <v>Western Line</v>
      </c>
      <c r="E609" s="2" t="str">
        <f>VLOOKUP(C609,Locality_Reference!A:C,3,)</f>
        <v>Premium/South</v>
      </c>
      <c r="F609" s="2" t="s">
        <v>1358</v>
      </c>
      <c r="G609" s="8">
        <v>120000</v>
      </c>
      <c r="H609">
        <v>2</v>
      </c>
      <c r="I609">
        <v>2</v>
      </c>
      <c r="J609">
        <v>3</v>
      </c>
      <c r="K609">
        <v>18</v>
      </c>
      <c r="L609">
        <v>600</v>
      </c>
      <c r="M609" t="s">
        <v>14</v>
      </c>
      <c r="N609" t="s">
        <v>1289</v>
      </c>
      <c r="O609" t="s">
        <v>16</v>
      </c>
      <c r="P609" t="s">
        <v>47</v>
      </c>
      <c r="Q609" t="str">
        <f t="shared" si="73"/>
        <v>1</v>
      </c>
      <c r="R609" s="5">
        <v>46147</v>
      </c>
      <c r="S609" s="8">
        <f t="shared" si="74"/>
        <v>200</v>
      </c>
      <c r="T609">
        <f t="shared" si="75"/>
        <v>1440000</v>
      </c>
      <c r="U609" t="str">
        <f t="shared" si="76"/>
        <v>Luxury</v>
      </c>
      <c r="V609" t="str">
        <f t="shared" si="77"/>
        <v>Medium</v>
      </c>
      <c r="W609" t="str">
        <f>IF(S609 &lt; VLOOKUP(E609, Locality_Tier_Benchmarks!A:B, 2, FALSE) * 0.7, "Below Tier Range", "Normal")</f>
        <v>Normal</v>
      </c>
      <c r="X609" t="str">
        <f t="shared" si="78"/>
        <v>Normal</v>
      </c>
      <c r="Y609" t="str">
        <f t="shared" si="79"/>
        <v>Normal</v>
      </c>
      <c r="Z609" t="str">
        <f t="shared" si="72"/>
        <v>Pass</v>
      </c>
    </row>
    <row r="610" spans="1:26" x14ac:dyDescent="0.25">
      <c r="A610" s="2" t="s">
        <v>1012</v>
      </c>
      <c r="B610" t="s">
        <v>17</v>
      </c>
      <c r="C610" t="s">
        <v>454</v>
      </c>
      <c r="D610" s="2" t="str">
        <f>VLOOKUP(C610,Locality_Reference!A:C,2,)</f>
        <v>Western Line</v>
      </c>
      <c r="E610" s="2" t="str">
        <f>VLOOKUP(C610,Locality_Reference!A:C,3,)</f>
        <v>Premium/South</v>
      </c>
      <c r="F610" s="2" t="s">
        <v>1359</v>
      </c>
      <c r="G610" s="8">
        <v>40000</v>
      </c>
      <c r="H610">
        <v>1</v>
      </c>
      <c r="I610">
        <v>1</v>
      </c>
      <c r="J610">
        <v>4</v>
      </c>
      <c r="K610">
        <v>8</v>
      </c>
      <c r="L610">
        <v>480</v>
      </c>
      <c r="M610" t="s">
        <v>14</v>
      </c>
      <c r="N610" t="s">
        <v>29</v>
      </c>
      <c r="O610" t="s">
        <v>16</v>
      </c>
      <c r="P610" t="s">
        <v>52</v>
      </c>
      <c r="Q610" t="str">
        <f t="shared" si="73"/>
        <v>7.5</v>
      </c>
      <c r="R610" s="5">
        <v>46199</v>
      </c>
      <c r="S610" s="8">
        <f t="shared" si="74"/>
        <v>83.333333333333329</v>
      </c>
      <c r="T610">
        <f t="shared" si="75"/>
        <v>480000</v>
      </c>
      <c r="U610" t="str">
        <f t="shared" si="76"/>
        <v>Mid</v>
      </c>
      <c r="V610" t="str">
        <f t="shared" si="77"/>
        <v>Compact</v>
      </c>
      <c r="W610" t="str">
        <f>IF(S610 &lt; VLOOKUP(E610, Locality_Tier_Benchmarks!A:B, 2, FALSE) * 0.7, "Below Tier Range", "Normal")</f>
        <v>Normal</v>
      </c>
      <c r="X610" t="str">
        <f t="shared" si="78"/>
        <v>Normal</v>
      </c>
      <c r="Y610" t="str">
        <f t="shared" si="79"/>
        <v>Normal</v>
      </c>
      <c r="Z610" t="str">
        <f t="shared" si="72"/>
        <v>Pass</v>
      </c>
    </row>
    <row r="611" spans="1:26" x14ac:dyDescent="0.25">
      <c r="A611" s="2" t="s">
        <v>1013</v>
      </c>
      <c r="B611" t="s">
        <v>17</v>
      </c>
      <c r="C611" t="s">
        <v>454</v>
      </c>
      <c r="D611" s="2" t="str">
        <f>VLOOKUP(C611,Locality_Reference!A:C,2,)</f>
        <v>Western Line</v>
      </c>
      <c r="E611" s="2" t="str">
        <f>VLOOKUP(C611,Locality_Reference!A:C,3,)</f>
        <v>Premium/South</v>
      </c>
      <c r="F611" s="2" t="s">
        <v>1360</v>
      </c>
      <c r="G611" s="8">
        <v>69000</v>
      </c>
      <c r="H611">
        <v>1</v>
      </c>
      <c r="I611">
        <v>1</v>
      </c>
      <c r="J611">
        <v>2</v>
      </c>
      <c r="K611">
        <v>8</v>
      </c>
      <c r="L611">
        <v>490</v>
      </c>
      <c r="M611" t="s">
        <v>14</v>
      </c>
      <c r="N611" t="s">
        <v>29</v>
      </c>
      <c r="O611" t="s">
        <v>16</v>
      </c>
      <c r="P611" t="s">
        <v>52</v>
      </c>
      <c r="Q611" t="str">
        <f t="shared" si="73"/>
        <v>7.5</v>
      </c>
      <c r="R611" s="5">
        <v>46193</v>
      </c>
      <c r="S611" s="8">
        <f t="shared" si="74"/>
        <v>140.81632653061226</v>
      </c>
      <c r="T611">
        <f t="shared" si="75"/>
        <v>828000</v>
      </c>
      <c r="U611" t="str">
        <f t="shared" si="76"/>
        <v>Premium</v>
      </c>
      <c r="V611" t="str">
        <f t="shared" si="77"/>
        <v>Compact</v>
      </c>
      <c r="W611" t="str">
        <f>IF(S611 &lt; VLOOKUP(E611, Locality_Tier_Benchmarks!A:B, 2, FALSE) * 0.7, "Below Tier Range", "Normal")</f>
        <v>Normal</v>
      </c>
      <c r="X611" t="str">
        <f t="shared" si="78"/>
        <v>Normal</v>
      </c>
      <c r="Y611" t="str">
        <f t="shared" si="79"/>
        <v>Normal</v>
      </c>
      <c r="Z611" t="str">
        <f t="shared" si="72"/>
        <v>Pass</v>
      </c>
    </row>
    <row r="612" spans="1:26" x14ac:dyDescent="0.25">
      <c r="A612" s="2" t="s">
        <v>1014</v>
      </c>
      <c r="B612" t="s">
        <v>17</v>
      </c>
      <c r="C612" t="s">
        <v>454</v>
      </c>
      <c r="D612" s="2" t="str">
        <f>VLOOKUP(C612,Locality_Reference!A:C,2,)</f>
        <v>Western Line</v>
      </c>
      <c r="E612" s="2" t="str">
        <f>VLOOKUP(C612,Locality_Reference!A:C,3,)</f>
        <v>Premium/South</v>
      </c>
      <c r="F612" s="2" t="s">
        <v>1361</v>
      </c>
      <c r="G612" s="8">
        <v>45000</v>
      </c>
      <c r="H612">
        <v>1</v>
      </c>
      <c r="I612">
        <v>1</v>
      </c>
      <c r="J612">
        <v>4</v>
      </c>
      <c r="K612">
        <v>7</v>
      </c>
      <c r="L612">
        <v>510</v>
      </c>
      <c r="M612" t="s">
        <v>14</v>
      </c>
      <c r="N612" t="s">
        <v>29</v>
      </c>
      <c r="O612" t="s">
        <v>16</v>
      </c>
      <c r="P612" t="s">
        <v>52</v>
      </c>
      <c r="Q612" t="str">
        <f t="shared" si="73"/>
        <v>7.5</v>
      </c>
      <c r="R612" s="5">
        <v>46199</v>
      </c>
      <c r="S612" s="8">
        <f t="shared" si="74"/>
        <v>88.235294117647058</v>
      </c>
      <c r="T612">
        <f t="shared" si="75"/>
        <v>540000</v>
      </c>
      <c r="U612" t="str">
        <f t="shared" si="76"/>
        <v>Mid</v>
      </c>
      <c r="V612" t="str">
        <f t="shared" si="77"/>
        <v>Medium</v>
      </c>
      <c r="W612" t="str">
        <f>IF(S612 &lt; VLOOKUP(E612, Locality_Tier_Benchmarks!A:B, 2, FALSE) * 0.7, "Below Tier Range", "Normal")</f>
        <v>Normal</v>
      </c>
      <c r="X612" t="str">
        <f t="shared" si="78"/>
        <v>Normal</v>
      </c>
      <c r="Y612" t="str">
        <f t="shared" si="79"/>
        <v>Normal</v>
      </c>
      <c r="Z612" t="str">
        <f t="shared" si="72"/>
        <v>Pass</v>
      </c>
    </row>
    <row r="613" spans="1:26" x14ac:dyDescent="0.25">
      <c r="A613" s="2" t="s">
        <v>1015</v>
      </c>
      <c r="B613" t="s">
        <v>17</v>
      </c>
      <c r="C613" t="s">
        <v>454</v>
      </c>
      <c r="D613" s="2" t="str">
        <f>VLOOKUP(C613,Locality_Reference!A:C,2,)</f>
        <v>Western Line</v>
      </c>
      <c r="E613" s="2" t="str">
        <f>VLOOKUP(C613,Locality_Reference!A:C,3,)</f>
        <v>Premium/South</v>
      </c>
      <c r="F613" s="2" t="s">
        <v>1362</v>
      </c>
      <c r="G613" s="8">
        <v>36500</v>
      </c>
      <c r="H613">
        <v>1</v>
      </c>
      <c r="I613">
        <v>1</v>
      </c>
      <c r="J613">
        <v>5</v>
      </c>
      <c r="K613">
        <v>20</v>
      </c>
      <c r="L613">
        <v>416</v>
      </c>
      <c r="M613" t="s">
        <v>36</v>
      </c>
      <c r="N613" t="s">
        <v>29</v>
      </c>
      <c r="O613" t="s">
        <v>16</v>
      </c>
      <c r="P613" t="s">
        <v>23</v>
      </c>
      <c r="Q613" t="str">
        <f t="shared" si="73"/>
        <v>10</v>
      </c>
      <c r="R613" s="5">
        <v>46193</v>
      </c>
      <c r="S613" s="8">
        <f t="shared" si="74"/>
        <v>87.740384615384613</v>
      </c>
      <c r="T613">
        <f t="shared" si="75"/>
        <v>438000</v>
      </c>
      <c r="U613" t="str">
        <f t="shared" si="76"/>
        <v>Mid</v>
      </c>
      <c r="V613" t="str">
        <f t="shared" si="77"/>
        <v>Compact</v>
      </c>
      <c r="W613" t="str">
        <f>IF(S613 &lt; VLOOKUP(E613, Locality_Tier_Benchmarks!A:B, 2, FALSE) * 0.7, "Below Tier Range", "Normal")</f>
        <v>Normal</v>
      </c>
      <c r="X613" t="str">
        <f t="shared" si="78"/>
        <v>Normal</v>
      </c>
      <c r="Y613" t="str">
        <f t="shared" si="79"/>
        <v>Normal</v>
      </c>
      <c r="Z613" t="str">
        <f t="shared" si="72"/>
        <v>Pass</v>
      </c>
    </row>
    <row r="614" spans="1:26" x14ac:dyDescent="0.25">
      <c r="A614" s="2" t="s">
        <v>1016</v>
      </c>
      <c r="B614" t="s">
        <v>17</v>
      </c>
      <c r="C614" t="s">
        <v>454</v>
      </c>
      <c r="D614" s="2" t="str">
        <f>VLOOKUP(C614,Locality_Reference!A:C,2,)</f>
        <v>Western Line</v>
      </c>
      <c r="E614" s="2" t="str">
        <f>VLOOKUP(C614,Locality_Reference!A:C,3,)</f>
        <v>Premium/South</v>
      </c>
      <c r="F614" s="2" t="s">
        <v>1363</v>
      </c>
      <c r="G614" s="8">
        <v>80000</v>
      </c>
      <c r="H614">
        <v>1</v>
      </c>
      <c r="I614">
        <v>1</v>
      </c>
      <c r="J614">
        <v>12</v>
      </c>
      <c r="K614">
        <v>22</v>
      </c>
      <c r="L614">
        <v>430</v>
      </c>
      <c r="M614" t="s">
        <v>36</v>
      </c>
      <c r="N614" t="s">
        <v>29</v>
      </c>
      <c r="O614" t="s">
        <v>16</v>
      </c>
      <c r="P614" t="s">
        <v>34</v>
      </c>
      <c r="Q614" t="str">
        <f t="shared" si="73"/>
        <v/>
      </c>
      <c r="R614" s="5">
        <v>46161</v>
      </c>
      <c r="S614" s="8">
        <f t="shared" si="74"/>
        <v>186.04651162790697</v>
      </c>
      <c r="T614">
        <f t="shared" si="75"/>
        <v>960000</v>
      </c>
      <c r="U614" t="str">
        <f t="shared" si="76"/>
        <v>Premium</v>
      </c>
      <c r="V614" t="str">
        <f t="shared" si="77"/>
        <v>Compact</v>
      </c>
      <c r="W614" t="str">
        <f>IF(S614 &lt; VLOOKUP(E614, Locality_Tier_Benchmarks!A:B, 2, FALSE) * 0.7, "Below Tier Range", "Normal")</f>
        <v>Normal</v>
      </c>
      <c r="X614" t="str">
        <f t="shared" si="78"/>
        <v>Normal</v>
      </c>
      <c r="Y614" t="str">
        <f t="shared" si="79"/>
        <v>Normal</v>
      </c>
      <c r="Z614" t="str">
        <f t="shared" si="72"/>
        <v>Pass</v>
      </c>
    </row>
    <row r="615" spans="1:26" x14ac:dyDescent="0.25">
      <c r="A615" s="2" t="s">
        <v>1017</v>
      </c>
      <c r="B615" t="s">
        <v>17</v>
      </c>
      <c r="C615" t="s">
        <v>454</v>
      </c>
      <c r="D615" s="2" t="str">
        <f>VLOOKUP(C615,Locality_Reference!A:C,2,)</f>
        <v>Western Line</v>
      </c>
      <c r="E615" s="2" t="str">
        <f>VLOOKUP(C615,Locality_Reference!A:C,3,)</f>
        <v>Premium/South</v>
      </c>
      <c r="F615" s="2" t="s">
        <v>1364</v>
      </c>
      <c r="G615" s="8">
        <v>63500</v>
      </c>
      <c r="H615">
        <v>2</v>
      </c>
      <c r="I615">
        <v>2</v>
      </c>
      <c r="J615">
        <v>3</v>
      </c>
      <c r="K615">
        <v>9</v>
      </c>
      <c r="L615">
        <v>764</v>
      </c>
      <c r="M615" t="s">
        <v>36</v>
      </c>
      <c r="N615" t="s">
        <v>29</v>
      </c>
      <c r="O615" t="s">
        <v>16</v>
      </c>
      <c r="P615" t="s">
        <v>23</v>
      </c>
      <c r="Q615" t="str">
        <f t="shared" si="73"/>
        <v>10</v>
      </c>
      <c r="R615" s="5">
        <v>46193</v>
      </c>
      <c r="S615" s="8">
        <f t="shared" si="74"/>
        <v>83.1151832460733</v>
      </c>
      <c r="T615">
        <f t="shared" si="75"/>
        <v>762000</v>
      </c>
      <c r="U615" t="str">
        <f t="shared" si="76"/>
        <v>Premium</v>
      </c>
      <c r="V615" t="str">
        <f t="shared" si="77"/>
        <v>Medium</v>
      </c>
      <c r="W615" t="str">
        <f>IF(S615 &lt; VLOOKUP(E615, Locality_Tier_Benchmarks!A:B, 2, FALSE) * 0.7, "Below Tier Range", "Normal")</f>
        <v>Normal</v>
      </c>
      <c r="X615" t="str">
        <f t="shared" si="78"/>
        <v>Normal</v>
      </c>
      <c r="Y615" t="str">
        <f t="shared" si="79"/>
        <v>Normal</v>
      </c>
      <c r="Z615" t="str">
        <f t="shared" si="72"/>
        <v>Pass</v>
      </c>
    </row>
    <row r="616" spans="1:26" x14ac:dyDescent="0.25">
      <c r="A616" s="2" t="s">
        <v>1018</v>
      </c>
      <c r="B616" t="s">
        <v>17</v>
      </c>
      <c r="C616" t="s">
        <v>454</v>
      </c>
      <c r="D616" s="2" t="str">
        <f>VLOOKUP(C616,Locality_Reference!A:C,2,)</f>
        <v>Western Line</v>
      </c>
      <c r="E616" s="2" t="str">
        <f>VLOOKUP(C616,Locality_Reference!A:C,3,)</f>
        <v>Premium/South</v>
      </c>
      <c r="F616" s="2" t="s">
        <v>1365</v>
      </c>
      <c r="G616" s="8">
        <v>50000</v>
      </c>
      <c r="H616">
        <v>1</v>
      </c>
      <c r="I616">
        <v>1</v>
      </c>
      <c r="J616">
        <v>5</v>
      </c>
      <c r="K616">
        <v>8</v>
      </c>
      <c r="L616">
        <v>520</v>
      </c>
      <c r="M616" t="s">
        <v>14</v>
      </c>
      <c r="N616" t="s">
        <v>29</v>
      </c>
      <c r="O616" t="s">
        <v>16</v>
      </c>
      <c r="P616" t="s">
        <v>52</v>
      </c>
      <c r="Q616" t="str">
        <f t="shared" si="73"/>
        <v>7.5</v>
      </c>
      <c r="R616" s="5">
        <v>46158</v>
      </c>
      <c r="S616" s="8">
        <f t="shared" si="74"/>
        <v>96.15384615384616</v>
      </c>
      <c r="T616">
        <f t="shared" si="75"/>
        <v>600000</v>
      </c>
      <c r="U616" t="str">
        <f t="shared" si="76"/>
        <v>Mid</v>
      </c>
      <c r="V616" t="str">
        <f t="shared" si="77"/>
        <v>Medium</v>
      </c>
      <c r="W616" t="str">
        <f>IF(S616 &lt; VLOOKUP(E616, Locality_Tier_Benchmarks!A:B, 2, FALSE) * 0.7, "Below Tier Range", "Normal")</f>
        <v>Normal</v>
      </c>
      <c r="X616" t="str">
        <f t="shared" si="78"/>
        <v>Normal</v>
      </c>
      <c r="Y616" t="str">
        <f t="shared" si="79"/>
        <v>Normal</v>
      </c>
      <c r="Z616" t="str">
        <f t="shared" si="72"/>
        <v>Pass</v>
      </c>
    </row>
    <row r="617" spans="1:26" x14ac:dyDescent="0.25">
      <c r="A617" s="2" t="s">
        <v>1019</v>
      </c>
      <c r="B617" t="s">
        <v>17</v>
      </c>
      <c r="C617" t="s">
        <v>452</v>
      </c>
      <c r="D617" s="2" t="str">
        <f>VLOOKUP(C617,Locality_Reference!A:C,2,)</f>
        <v>Western Line</v>
      </c>
      <c r="E617" s="2" t="str">
        <f>VLOOKUP(C617,Locality_Reference!A:C,3,)</f>
        <v>Premium/South</v>
      </c>
      <c r="F617" s="2" t="s">
        <v>1366</v>
      </c>
      <c r="G617" s="8">
        <v>38500</v>
      </c>
      <c r="H617">
        <v>1</v>
      </c>
      <c r="I617">
        <v>1</v>
      </c>
      <c r="J617">
        <v>1</v>
      </c>
      <c r="K617">
        <v>9</v>
      </c>
      <c r="L617">
        <v>413</v>
      </c>
      <c r="M617" t="s">
        <v>36</v>
      </c>
      <c r="N617" t="s">
        <v>29</v>
      </c>
      <c r="O617" t="s">
        <v>16</v>
      </c>
      <c r="P617" t="s">
        <v>23</v>
      </c>
      <c r="Q617" t="str">
        <f t="shared" si="73"/>
        <v>10</v>
      </c>
      <c r="R617" s="5">
        <v>46193</v>
      </c>
      <c r="S617" s="8">
        <f t="shared" si="74"/>
        <v>93.220338983050851</v>
      </c>
      <c r="T617">
        <f t="shared" si="75"/>
        <v>462000</v>
      </c>
      <c r="U617" t="str">
        <f t="shared" si="76"/>
        <v>Mid</v>
      </c>
      <c r="V617" t="str">
        <f t="shared" si="77"/>
        <v>Compact</v>
      </c>
      <c r="W617" t="str">
        <f>IF(S617 &lt; VLOOKUP(E617, Locality_Tier_Benchmarks!A:B, 2, FALSE) * 0.7, "Below Tier Range", "Normal")</f>
        <v>Normal</v>
      </c>
      <c r="X617" t="str">
        <f t="shared" si="78"/>
        <v>Normal</v>
      </c>
      <c r="Y617" t="str">
        <f t="shared" si="79"/>
        <v>Normal</v>
      </c>
      <c r="Z617" t="str">
        <f t="shared" si="72"/>
        <v>Pass</v>
      </c>
    </row>
    <row r="618" spans="1:26" x14ac:dyDescent="0.25">
      <c r="A618" s="2" t="s">
        <v>1020</v>
      </c>
      <c r="B618" t="s">
        <v>17</v>
      </c>
      <c r="C618" t="s">
        <v>452</v>
      </c>
      <c r="D618" s="2" t="str">
        <f>VLOOKUP(C618,Locality_Reference!A:C,2,)</f>
        <v>Western Line</v>
      </c>
      <c r="E618" s="2" t="str">
        <f>VLOOKUP(C618,Locality_Reference!A:C,3,)</f>
        <v>Premium/South</v>
      </c>
      <c r="F618" s="2" t="s">
        <v>1367</v>
      </c>
      <c r="G618" s="8">
        <v>40000</v>
      </c>
      <c r="H618">
        <v>1</v>
      </c>
      <c r="I618">
        <v>1</v>
      </c>
      <c r="J618">
        <v>4</v>
      </c>
      <c r="K618">
        <v>8</v>
      </c>
      <c r="L618">
        <v>365</v>
      </c>
      <c r="M618" t="s">
        <v>14</v>
      </c>
      <c r="N618" t="s">
        <v>29</v>
      </c>
      <c r="O618" t="s">
        <v>16</v>
      </c>
      <c r="P618" t="s">
        <v>52</v>
      </c>
      <c r="Q618" t="str">
        <f t="shared" si="73"/>
        <v>7.5</v>
      </c>
      <c r="R618" s="5">
        <v>46199</v>
      </c>
      <c r="S618" s="8">
        <f t="shared" si="74"/>
        <v>109.58904109589041</v>
      </c>
      <c r="T618">
        <f t="shared" si="75"/>
        <v>480000</v>
      </c>
      <c r="U618" t="str">
        <f t="shared" si="76"/>
        <v>Mid</v>
      </c>
      <c r="V618" t="str">
        <f t="shared" si="77"/>
        <v>Compact</v>
      </c>
      <c r="W618" t="str">
        <f>IF(S618 &lt; VLOOKUP(E618, Locality_Tier_Benchmarks!A:B, 2, FALSE) * 0.7, "Below Tier Range", "Normal")</f>
        <v>Normal</v>
      </c>
      <c r="X618" t="str">
        <f t="shared" si="78"/>
        <v>Normal</v>
      </c>
      <c r="Y618" t="str">
        <f t="shared" si="79"/>
        <v>Normal</v>
      </c>
      <c r="Z618" t="str">
        <f t="shared" si="72"/>
        <v>Pass</v>
      </c>
    </row>
    <row r="619" spans="1:26" x14ac:dyDescent="0.25">
      <c r="A619" s="2" t="s">
        <v>1021</v>
      </c>
      <c r="B619" t="s">
        <v>17</v>
      </c>
      <c r="C619" t="s">
        <v>452</v>
      </c>
      <c r="D619" s="2" t="str">
        <f>VLOOKUP(C619,Locality_Reference!A:C,2,)</f>
        <v>Western Line</v>
      </c>
      <c r="E619" s="2" t="str">
        <f>VLOOKUP(C619,Locality_Reference!A:C,3,)</f>
        <v>Premium/South</v>
      </c>
      <c r="F619" s="2" t="s">
        <v>1368</v>
      </c>
      <c r="G619" s="8">
        <v>60000</v>
      </c>
      <c r="H619">
        <v>1</v>
      </c>
      <c r="I619">
        <v>1</v>
      </c>
      <c r="J619">
        <v>5</v>
      </c>
      <c r="K619">
        <v>8</v>
      </c>
      <c r="L619">
        <v>580</v>
      </c>
      <c r="M619" t="s">
        <v>14</v>
      </c>
      <c r="N619" t="s">
        <v>29</v>
      </c>
      <c r="O619" t="s">
        <v>16</v>
      </c>
      <c r="P619" t="s">
        <v>23</v>
      </c>
      <c r="Q619" t="str">
        <f t="shared" si="73"/>
        <v>10</v>
      </c>
      <c r="R619" s="5">
        <v>46186</v>
      </c>
      <c r="S619" s="8">
        <f t="shared" si="74"/>
        <v>103.44827586206897</v>
      </c>
      <c r="T619">
        <f t="shared" si="75"/>
        <v>720000</v>
      </c>
      <c r="U619" t="str">
        <f t="shared" si="76"/>
        <v>Mid</v>
      </c>
      <c r="V619" t="str">
        <f t="shared" si="77"/>
        <v>Medium</v>
      </c>
      <c r="W619" t="str">
        <f>IF(S619 &lt; VLOOKUP(E619, Locality_Tier_Benchmarks!A:B, 2, FALSE) * 0.7, "Below Tier Range", "Normal")</f>
        <v>Normal</v>
      </c>
      <c r="X619" t="str">
        <f t="shared" si="78"/>
        <v>Normal</v>
      </c>
      <c r="Y619" t="str">
        <f t="shared" si="79"/>
        <v>Normal</v>
      </c>
      <c r="Z619" t="str">
        <f t="shared" si="72"/>
        <v>Pass</v>
      </c>
    </row>
    <row r="620" spans="1:26" x14ac:dyDescent="0.25">
      <c r="A620" s="2" t="s">
        <v>1022</v>
      </c>
      <c r="B620" t="s">
        <v>17</v>
      </c>
      <c r="C620" t="s">
        <v>452</v>
      </c>
      <c r="D620" s="2" t="str">
        <f>VLOOKUP(C620,Locality_Reference!A:C,2,)</f>
        <v>Western Line</v>
      </c>
      <c r="E620" s="2" t="str">
        <f>VLOOKUP(C620,Locality_Reference!A:C,3,)</f>
        <v>Premium/South</v>
      </c>
      <c r="F620" s="2" t="s">
        <v>1369</v>
      </c>
      <c r="G620" s="8">
        <v>37000</v>
      </c>
      <c r="H620">
        <v>1</v>
      </c>
      <c r="I620">
        <v>1</v>
      </c>
      <c r="J620">
        <v>4</v>
      </c>
      <c r="K620">
        <v>9</v>
      </c>
      <c r="L620">
        <v>432</v>
      </c>
      <c r="M620" t="s">
        <v>14</v>
      </c>
      <c r="N620" t="s">
        <v>29</v>
      </c>
      <c r="O620" t="s">
        <v>16</v>
      </c>
      <c r="P620" t="s">
        <v>52</v>
      </c>
      <c r="Q620" t="str">
        <f t="shared" si="73"/>
        <v>7.5</v>
      </c>
      <c r="R620" s="5">
        <v>46172</v>
      </c>
      <c r="S620" s="8">
        <f t="shared" si="74"/>
        <v>85.648148148148152</v>
      </c>
      <c r="T620">
        <f t="shared" si="75"/>
        <v>444000</v>
      </c>
      <c r="U620" t="str">
        <f t="shared" si="76"/>
        <v>Mid</v>
      </c>
      <c r="V620" t="str">
        <f t="shared" si="77"/>
        <v>Compact</v>
      </c>
      <c r="W620" t="str">
        <f>IF(S620 &lt; VLOOKUP(E620, Locality_Tier_Benchmarks!A:B, 2, FALSE) * 0.7, "Below Tier Range", "Normal")</f>
        <v>Normal</v>
      </c>
      <c r="X620" t="str">
        <f t="shared" si="78"/>
        <v>Normal</v>
      </c>
      <c r="Y620" t="str">
        <f t="shared" si="79"/>
        <v>Normal</v>
      </c>
      <c r="Z620" t="str">
        <f t="shared" si="72"/>
        <v>Pass</v>
      </c>
    </row>
    <row r="621" spans="1:26" x14ac:dyDescent="0.25">
      <c r="A621" s="2" t="s">
        <v>1023</v>
      </c>
      <c r="B621" t="s">
        <v>17</v>
      </c>
      <c r="C621" t="s">
        <v>452</v>
      </c>
      <c r="D621" s="2" t="str">
        <f>VLOOKUP(C621,Locality_Reference!A:C,2,)</f>
        <v>Western Line</v>
      </c>
      <c r="E621" s="2" t="str">
        <f>VLOOKUP(C621,Locality_Reference!A:C,3,)</f>
        <v>Premium/South</v>
      </c>
      <c r="F621" s="2" t="s">
        <v>1370</v>
      </c>
      <c r="G621" s="8">
        <v>35000</v>
      </c>
      <c r="H621">
        <v>1</v>
      </c>
      <c r="I621">
        <v>1</v>
      </c>
      <c r="J621">
        <v>2</v>
      </c>
      <c r="K621">
        <v>7</v>
      </c>
      <c r="L621">
        <v>475</v>
      </c>
      <c r="M621" t="s">
        <v>14</v>
      </c>
      <c r="N621" t="s">
        <v>29</v>
      </c>
      <c r="O621" t="s">
        <v>16</v>
      </c>
      <c r="P621" t="s">
        <v>23</v>
      </c>
      <c r="Q621" t="str">
        <f t="shared" si="73"/>
        <v>10</v>
      </c>
      <c r="R621" s="5">
        <v>46172</v>
      </c>
      <c r="S621" s="8">
        <f t="shared" si="74"/>
        <v>73.684210526315795</v>
      </c>
      <c r="T621">
        <f t="shared" si="75"/>
        <v>420000</v>
      </c>
      <c r="U621" t="str">
        <f t="shared" si="76"/>
        <v>Mid</v>
      </c>
      <c r="V621" t="str">
        <f t="shared" si="77"/>
        <v>Compact</v>
      </c>
      <c r="W621" t="str">
        <f>IF(S621 &lt; VLOOKUP(E621, Locality_Tier_Benchmarks!A:B, 2, FALSE) * 0.7, "Below Tier Range", "Normal")</f>
        <v>Normal</v>
      </c>
      <c r="X621" t="str">
        <f t="shared" si="78"/>
        <v>Normal</v>
      </c>
      <c r="Y621" t="str">
        <f t="shared" si="79"/>
        <v>Normal</v>
      </c>
      <c r="Z621" t="str">
        <f t="shared" si="72"/>
        <v>Pass</v>
      </c>
    </row>
    <row r="622" spans="1:26" x14ac:dyDescent="0.25">
      <c r="A622" s="2" t="s">
        <v>1024</v>
      </c>
      <c r="B622" t="s">
        <v>17</v>
      </c>
      <c r="C622" t="s">
        <v>452</v>
      </c>
      <c r="D622" s="2" t="str">
        <f>VLOOKUP(C622,Locality_Reference!A:C,2,)</f>
        <v>Western Line</v>
      </c>
      <c r="E622" s="2" t="str">
        <f>VLOOKUP(C622,Locality_Reference!A:C,3,)</f>
        <v>Premium/South</v>
      </c>
      <c r="F622" s="2" t="s">
        <v>1371</v>
      </c>
      <c r="G622" s="8">
        <v>62000</v>
      </c>
      <c r="H622">
        <v>2</v>
      </c>
      <c r="I622">
        <v>2</v>
      </c>
      <c r="J622">
        <v>4</v>
      </c>
      <c r="K622">
        <v>10</v>
      </c>
      <c r="L622">
        <v>740</v>
      </c>
      <c r="M622" t="s">
        <v>14</v>
      </c>
      <c r="N622" t="s">
        <v>29</v>
      </c>
      <c r="O622" t="s">
        <v>16</v>
      </c>
      <c r="P622" t="s">
        <v>52</v>
      </c>
      <c r="Q622" t="str">
        <f t="shared" si="73"/>
        <v>7.5</v>
      </c>
      <c r="R622" s="5">
        <v>46193</v>
      </c>
      <c r="S622" s="8">
        <f t="shared" si="74"/>
        <v>83.78378378378379</v>
      </c>
      <c r="T622">
        <f t="shared" si="75"/>
        <v>744000</v>
      </c>
      <c r="U622" t="str">
        <f t="shared" si="76"/>
        <v>Premium</v>
      </c>
      <c r="V622" t="str">
        <f t="shared" si="77"/>
        <v>Medium</v>
      </c>
      <c r="W622" t="str">
        <f>IF(S622 &lt; VLOOKUP(E622, Locality_Tier_Benchmarks!A:B, 2, FALSE) * 0.7, "Below Tier Range", "Normal")</f>
        <v>Normal</v>
      </c>
      <c r="X622" t="str">
        <f t="shared" si="78"/>
        <v>Normal</v>
      </c>
      <c r="Y622" t="str">
        <f t="shared" si="79"/>
        <v>Normal</v>
      </c>
      <c r="Z622" t="str">
        <f t="shared" si="72"/>
        <v>Pass</v>
      </c>
    </row>
    <row r="623" spans="1:26" x14ac:dyDescent="0.25">
      <c r="A623" s="2" t="s">
        <v>1025</v>
      </c>
      <c r="B623" t="s">
        <v>17</v>
      </c>
      <c r="C623" t="s">
        <v>452</v>
      </c>
      <c r="D623" s="2" t="str">
        <f>VLOOKUP(C623,Locality_Reference!A:C,2,)</f>
        <v>Western Line</v>
      </c>
      <c r="E623" s="2" t="str">
        <f>VLOOKUP(C623,Locality_Reference!A:C,3,)</f>
        <v>Premium/South</v>
      </c>
      <c r="F623" s="2" t="s">
        <v>1372</v>
      </c>
      <c r="G623" s="8">
        <v>66500</v>
      </c>
      <c r="H623">
        <v>2</v>
      </c>
      <c r="I623">
        <v>2</v>
      </c>
      <c r="J623">
        <v>2</v>
      </c>
      <c r="K623">
        <v>7</v>
      </c>
      <c r="L623">
        <v>782</v>
      </c>
      <c r="M623" t="s">
        <v>14</v>
      </c>
      <c r="N623" t="s">
        <v>29</v>
      </c>
      <c r="O623" t="s">
        <v>16</v>
      </c>
      <c r="P623" t="s">
        <v>23</v>
      </c>
      <c r="Q623" t="str">
        <f t="shared" si="73"/>
        <v>10</v>
      </c>
      <c r="R623" s="5">
        <v>46193</v>
      </c>
      <c r="S623" s="8">
        <f t="shared" si="74"/>
        <v>85.038363171355499</v>
      </c>
      <c r="T623">
        <f t="shared" si="75"/>
        <v>798000</v>
      </c>
      <c r="U623" t="str">
        <f t="shared" si="76"/>
        <v>Premium</v>
      </c>
      <c r="V623" t="str">
        <f t="shared" si="77"/>
        <v>Medium</v>
      </c>
      <c r="W623" t="str">
        <f>IF(S623 &lt; VLOOKUP(E623, Locality_Tier_Benchmarks!A:B, 2, FALSE) * 0.7, "Below Tier Range", "Normal")</f>
        <v>Normal</v>
      </c>
      <c r="X623" t="str">
        <f t="shared" si="78"/>
        <v>Normal</v>
      </c>
      <c r="Y623" t="str">
        <f t="shared" si="79"/>
        <v>Normal</v>
      </c>
      <c r="Z623" t="str">
        <f t="shared" si="72"/>
        <v>Pass</v>
      </c>
    </row>
    <row r="624" spans="1:26" x14ac:dyDescent="0.25">
      <c r="A624" s="2" t="s">
        <v>1026</v>
      </c>
      <c r="B624" t="s">
        <v>17</v>
      </c>
      <c r="C624" t="s">
        <v>452</v>
      </c>
      <c r="D624" s="2" t="str">
        <f>VLOOKUP(C624,Locality_Reference!A:C,2,)</f>
        <v>Western Line</v>
      </c>
      <c r="E624" s="2" t="str">
        <f>VLOOKUP(C624,Locality_Reference!A:C,3,)</f>
        <v>Premium/South</v>
      </c>
      <c r="F624" s="2" t="s">
        <v>1373</v>
      </c>
      <c r="G624" s="8">
        <v>190000</v>
      </c>
      <c r="H624">
        <v>2</v>
      </c>
      <c r="I624">
        <v>3</v>
      </c>
      <c r="J624">
        <v>3</v>
      </c>
      <c r="K624">
        <v>6</v>
      </c>
      <c r="L624">
        <v>1500</v>
      </c>
      <c r="M624" t="s">
        <v>36</v>
      </c>
      <c r="N624" t="s">
        <v>29</v>
      </c>
      <c r="O624" t="s">
        <v>16</v>
      </c>
      <c r="P624" t="s">
        <v>23</v>
      </c>
      <c r="Q624" t="str">
        <f t="shared" si="73"/>
        <v>10</v>
      </c>
      <c r="R624" s="5">
        <v>46181</v>
      </c>
      <c r="S624" s="8">
        <f t="shared" si="74"/>
        <v>126.66666666666667</v>
      </c>
      <c r="T624">
        <f t="shared" si="75"/>
        <v>2280000</v>
      </c>
      <c r="U624" t="str">
        <f t="shared" si="76"/>
        <v>Luxury</v>
      </c>
      <c r="V624" t="str">
        <f t="shared" si="77"/>
        <v>Spacious</v>
      </c>
      <c r="W624" t="str">
        <f>IF(S624 &lt; VLOOKUP(E624, Locality_Tier_Benchmarks!A:B, 2, FALSE) * 0.7, "Below Tier Range", "Normal")</f>
        <v>Normal</v>
      </c>
      <c r="X624" t="str">
        <f t="shared" si="78"/>
        <v>Normal</v>
      </c>
      <c r="Y624" t="str">
        <f t="shared" si="79"/>
        <v>Normal</v>
      </c>
      <c r="Z624" t="str">
        <f t="shared" si="72"/>
        <v>Pass</v>
      </c>
    </row>
    <row r="625" spans="1:26" x14ac:dyDescent="0.25">
      <c r="A625" s="2" t="s">
        <v>1027</v>
      </c>
      <c r="B625" t="s">
        <v>17</v>
      </c>
      <c r="C625" t="s">
        <v>452</v>
      </c>
      <c r="D625" s="2" t="str">
        <f>VLOOKUP(C625,Locality_Reference!A:C,2,)</f>
        <v>Western Line</v>
      </c>
      <c r="E625" s="2" t="str">
        <f>VLOOKUP(C625,Locality_Reference!A:C,3,)</f>
        <v>Premium/South</v>
      </c>
      <c r="F625" s="2" t="s">
        <v>1374</v>
      </c>
      <c r="G625" s="8">
        <v>88000</v>
      </c>
      <c r="H625">
        <v>2</v>
      </c>
      <c r="I625">
        <v>2</v>
      </c>
      <c r="J625">
        <v>4</v>
      </c>
      <c r="K625">
        <v>12</v>
      </c>
      <c r="L625">
        <v>837</v>
      </c>
      <c r="M625" t="s">
        <v>14</v>
      </c>
      <c r="N625" t="s">
        <v>29</v>
      </c>
      <c r="O625" t="s">
        <v>16</v>
      </c>
      <c r="P625" t="s">
        <v>23</v>
      </c>
      <c r="Q625" t="str">
        <f t="shared" si="73"/>
        <v>10</v>
      </c>
      <c r="R625" s="5">
        <v>46158</v>
      </c>
      <c r="S625" s="8">
        <f t="shared" si="74"/>
        <v>105.1373954599761</v>
      </c>
      <c r="T625">
        <f t="shared" si="75"/>
        <v>1056000</v>
      </c>
      <c r="U625" t="str">
        <f t="shared" si="76"/>
        <v>Premium</v>
      </c>
      <c r="V625" t="str">
        <f t="shared" si="77"/>
        <v>Large</v>
      </c>
      <c r="W625" t="str">
        <f>IF(S625 &lt; VLOOKUP(E625, Locality_Tier_Benchmarks!A:B, 2, FALSE) * 0.7, "Below Tier Range", "Normal")</f>
        <v>Normal</v>
      </c>
      <c r="X625" t="str">
        <f t="shared" si="78"/>
        <v>Normal</v>
      </c>
      <c r="Y625" t="str">
        <f t="shared" si="79"/>
        <v>Normal</v>
      </c>
      <c r="Z625" t="str">
        <f t="shared" si="72"/>
        <v>Pass</v>
      </c>
    </row>
    <row r="626" spans="1:26" x14ac:dyDescent="0.25">
      <c r="A626" s="2" t="s">
        <v>1028</v>
      </c>
      <c r="B626" t="s">
        <v>17</v>
      </c>
      <c r="C626" t="s">
        <v>452</v>
      </c>
      <c r="D626" s="2" t="str">
        <f>VLOOKUP(C626,Locality_Reference!A:C,2,)</f>
        <v>Western Line</v>
      </c>
      <c r="E626" s="2" t="str">
        <f>VLOOKUP(C626,Locality_Reference!A:C,3,)</f>
        <v>Premium/South</v>
      </c>
      <c r="F626" s="2" t="s">
        <v>1375</v>
      </c>
      <c r="G626" s="8">
        <v>120000</v>
      </c>
      <c r="H626">
        <v>2</v>
      </c>
      <c r="I626">
        <v>2</v>
      </c>
      <c r="J626">
        <v>5</v>
      </c>
      <c r="K626">
        <v>6</v>
      </c>
      <c r="L626">
        <v>750</v>
      </c>
      <c r="M626" t="s">
        <v>14</v>
      </c>
      <c r="N626" t="s">
        <v>29</v>
      </c>
      <c r="O626" t="s">
        <v>16</v>
      </c>
      <c r="P626" t="s">
        <v>23</v>
      </c>
      <c r="Q626" t="str">
        <f t="shared" si="73"/>
        <v>10</v>
      </c>
      <c r="R626" s="5">
        <v>46144</v>
      </c>
      <c r="S626" s="8">
        <f t="shared" si="74"/>
        <v>160</v>
      </c>
      <c r="T626">
        <f t="shared" si="75"/>
        <v>1440000</v>
      </c>
      <c r="U626" t="str">
        <f t="shared" si="76"/>
        <v>Luxury</v>
      </c>
      <c r="V626" t="str">
        <f t="shared" si="77"/>
        <v>Medium</v>
      </c>
      <c r="W626" t="str">
        <f>IF(S626 &lt; VLOOKUP(E626, Locality_Tier_Benchmarks!A:B, 2, FALSE) * 0.7, "Below Tier Range", "Normal")</f>
        <v>Normal</v>
      </c>
      <c r="X626" t="str">
        <f t="shared" si="78"/>
        <v>Normal</v>
      </c>
      <c r="Y626" t="str">
        <f t="shared" si="79"/>
        <v>Normal</v>
      </c>
      <c r="Z626" t="str">
        <f t="shared" si="72"/>
        <v>Pass</v>
      </c>
    </row>
    <row r="627" spans="1:26" x14ac:dyDescent="0.25">
      <c r="A627" s="2" t="s">
        <v>1029</v>
      </c>
      <c r="B627" t="s">
        <v>17</v>
      </c>
      <c r="C627" t="s">
        <v>452</v>
      </c>
      <c r="D627" s="2" t="str">
        <f>VLOOKUP(C627,Locality_Reference!A:C,2,)</f>
        <v>Western Line</v>
      </c>
      <c r="E627" s="2" t="str">
        <f>VLOOKUP(C627,Locality_Reference!A:C,3,)</f>
        <v>Premium/South</v>
      </c>
      <c r="F627" s="2" t="s">
        <v>1376</v>
      </c>
      <c r="G627" s="8">
        <v>320000</v>
      </c>
      <c r="H627">
        <v>3</v>
      </c>
      <c r="I627">
        <v>5</v>
      </c>
      <c r="J627">
        <v>2</v>
      </c>
      <c r="K627">
        <v>7</v>
      </c>
      <c r="L627">
        <v>1600</v>
      </c>
      <c r="M627" t="s">
        <v>14</v>
      </c>
      <c r="N627" t="s">
        <v>29</v>
      </c>
      <c r="O627" t="s">
        <v>16</v>
      </c>
      <c r="P627" t="s">
        <v>23</v>
      </c>
      <c r="Q627" t="str">
        <f t="shared" si="73"/>
        <v>10</v>
      </c>
      <c r="R627" s="5">
        <v>46188</v>
      </c>
      <c r="S627" s="8">
        <f t="shared" si="74"/>
        <v>200</v>
      </c>
      <c r="T627">
        <f t="shared" si="75"/>
        <v>3840000</v>
      </c>
      <c r="U627" t="str">
        <f t="shared" si="76"/>
        <v>Luxury</v>
      </c>
      <c r="V627" t="str">
        <f t="shared" si="77"/>
        <v>Spacious</v>
      </c>
      <c r="W627" t="str">
        <f>IF(S627 &lt; VLOOKUP(E627, Locality_Tier_Benchmarks!A:B, 2, FALSE) * 0.7, "Below Tier Range", "Normal")</f>
        <v>Normal</v>
      </c>
      <c r="X627" t="str">
        <f t="shared" si="78"/>
        <v>Normal</v>
      </c>
      <c r="Y627" t="str">
        <f t="shared" si="79"/>
        <v>Normal</v>
      </c>
      <c r="Z627" t="str">
        <f t="shared" si="72"/>
        <v>Pass</v>
      </c>
    </row>
    <row r="628" spans="1:26" x14ac:dyDescent="0.25">
      <c r="A628" s="2" t="s">
        <v>1030</v>
      </c>
      <c r="B628" t="s">
        <v>17</v>
      </c>
      <c r="C628" t="s">
        <v>452</v>
      </c>
      <c r="D628" s="2" t="str">
        <f>VLOOKUP(C628,Locality_Reference!A:C,2,)</f>
        <v>Western Line</v>
      </c>
      <c r="E628" s="2" t="str">
        <f>VLOOKUP(C628,Locality_Reference!A:C,3,)</f>
        <v>Premium/South</v>
      </c>
      <c r="F628" s="2" t="s">
        <v>1377</v>
      </c>
      <c r="G628" s="8">
        <v>83500</v>
      </c>
      <c r="H628">
        <v>3</v>
      </c>
      <c r="I628">
        <v>2</v>
      </c>
      <c r="J628">
        <v>3</v>
      </c>
      <c r="K628">
        <v>7</v>
      </c>
      <c r="L628">
        <v>910</v>
      </c>
      <c r="M628" t="s">
        <v>36</v>
      </c>
      <c r="N628" t="s">
        <v>29</v>
      </c>
      <c r="O628" t="s">
        <v>16</v>
      </c>
      <c r="P628" t="s">
        <v>23</v>
      </c>
      <c r="Q628" t="str">
        <f t="shared" si="73"/>
        <v>10</v>
      </c>
      <c r="R628" s="5">
        <v>46158</v>
      </c>
      <c r="S628" s="8">
        <f t="shared" si="74"/>
        <v>91.758241758241752</v>
      </c>
      <c r="T628">
        <f t="shared" si="75"/>
        <v>1002000</v>
      </c>
      <c r="U628" t="str">
        <f t="shared" si="76"/>
        <v>Premium</v>
      </c>
      <c r="V628" t="str">
        <f t="shared" si="77"/>
        <v>Large</v>
      </c>
      <c r="W628" t="str">
        <f>IF(S628 &lt; VLOOKUP(E628, Locality_Tier_Benchmarks!A:B, 2, FALSE) * 0.7, "Below Tier Range", "Normal")</f>
        <v>Normal</v>
      </c>
      <c r="X628" t="str">
        <f t="shared" si="78"/>
        <v>Normal</v>
      </c>
      <c r="Y628" t="str">
        <f t="shared" si="79"/>
        <v>Normal</v>
      </c>
      <c r="Z628" t="str">
        <f t="shared" si="72"/>
        <v>Pass</v>
      </c>
    </row>
    <row r="629" spans="1:26" x14ac:dyDescent="0.25">
      <c r="A629" s="2" t="s">
        <v>1031</v>
      </c>
      <c r="B629" t="s">
        <v>366</v>
      </c>
      <c r="C629" t="s">
        <v>452</v>
      </c>
      <c r="D629" s="2" t="str">
        <f>VLOOKUP(C629,Locality_Reference!A:C,2,)</f>
        <v>Western Line</v>
      </c>
      <c r="E629" s="2" t="str">
        <f>VLOOKUP(C629,Locality_Reference!A:C,3,)</f>
        <v>Premium/South</v>
      </c>
      <c r="F629" s="2" t="s">
        <v>1378</v>
      </c>
      <c r="G629" s="8">
        <v>400000</v>
      </c>
      <c r="H629">
        <v>3</v>
      </c>
      <c r="I629">
        <v>3</v>
      </c>
      <c r="J629">
        <v>12</v>
      </c>
      <c r="K629">
        <v>12</v>
      </c>
      <c r="L629">
        <v>2000</v>
      </c>
      <c r="M629" t="s">
        <v>36</v>
      </c>
      <c r="N629" t="s">
        <v>29</v>
      </c>
      <c r="O629" t="s">
        <v>16</v>
      </c>
      <c r="P629" t="s">
        <v>1379</v>
      </c>
      <c r="Q629" t="str">
        <f t="shared" si="73"/>
        <v/>
      </c>
      <c r="R629" s="5">
        <v>46201</v>
      </c>
      <c r="S629" s="8">
        <f t="shared" si="74"/>
        <v>200</v>
      </c>
      <c r="T629">
        <f t="shared" si="75"/>
        <v>4800000</v>
      </c>
      <c r="U629" t="str">
        <f t="shared" si="76"/>
        <v>Luxury</v>
      </c>
      <c r="V629" t="str">
        <f t="shared" si="77"/>
        <v>Spacious</v>
      </c>
      <c r="W629" t="str">
        <f>IF(S629 &lt; VLOOKUP(E629, Locality_Tier_Benchmarks!A:B, 2, FALSE) * 0.7, "Below Tier Range", "Normal")</f>
        <v>Normal</v>
      </c>
      <c r="X629" t="str">
        <f t="shared" si="78"/>
        <v>Normal</v>
      </c>
      <c r="Y629" t="str">
        <f t="shared" si="79"/>
        <v>Normal</v>
      </c>
      <c r="Z629" t="str">
        <f t="shared" si="72"/>
        <v>Pass</v>
      </c>
    </row>
    <row r="630" spans="1:26" x14ac:dyDescent="0.25">
      <c r="A630" s="2" t="s">
        <v>1032</v>
      </c>
      <c r="B630" t="s">
        <v>17</v>
      </c>
      <c r="C630" t="s">
        <v>484</v>
      </c>
      <c r="D630" s="2" t="str">
        <f>VLOOKUP(C630,Locality_Reference!A:C,2,)</f>
        <v>Western Line</v>
      </c>
      <c r="E630" s="2" t="str">
        <f>VLOOKUP(C630,Locality_Reference!A:C,3,)</f>
        <v>Outer Periphery</v>
      </c>
      <c r="F630" s="2" t="s">
        <v>1380</v>
      </c>
      <c r="G630" s="8">
        <v>10000</v>
      </c>
      <c r="H630">
        <v>1</v>
      </c>
      <c r="I630">
        <v>1</v>
      </c>
      <c r="J630">
        <v>0</v>
      </c>
      <c r="K630">
        <v>3</v>
      </c>
      <c r="L630">
        <v>550</v>
      </c>
      <c r="M630" t="s">
        <v>14</v>
      </c>
      <c r="N630" t="s">
        <v>15</v>
      </c>
      <c r="O630" t="s">
        <v>16</v>
      </c>
      <c r="P630" t="s">
        <v>23</v>
      </c>
      <c r="Q630" t="str">
        <f t="shared" si="73"/>
        <v>10</v>
      </c>
      <c r="R630" s="5">
        <v>46128</v>
      </c>
      <c r="S630" s="8">
        <f t="shared" si="74"/>
        <v>18.181818181818183</v>
      </c>
      <c r="T630">
        <f t="shared" si="75"/>
        <v>120000</v>
      </c>
      <c r="U630" t="str">
        <f t="shared" si="76"/>
        <v>Budget</v>
      </c>
      <c r="V630" t="str">
        <f t="shared" si="77"/>
        <v>Medium</v>
      </c>
      <c r="W630" t="str">
        <f>IF(S630 &lt; VLOOKUP(E630, Locality_Tier_Benchmarks!A:B, 2, FALSE) * 0.7, "Below Tier Range", "Normal")</f>
        <v>Normal</v>
      </c>
      <c r="X630" t="str">
        <f t="shared" si="78"/>
        <v>Normal</v>
      </c>
      <c r="Y630" t="str">
        <f t="shared" si="79"/>
        <v>Normal</v>
      </c>
      <c r="Z630" t="str">
        <f t="shared" si="72"/>
        <v>Pass</v>
      </c>
    </row>
    <row r="631" spans="1:26" x14ac:dyDescent="0.25">
      <c r="A631" s="2" t="s">
        <v>1033</v>
      </c>
      <c r="B631" t="s">
        <v>366</v>
      </c>
      <c r="C631" t="s">
        <v>484</v>
      </c>
      <c r="D631" s="2" t="str">
        <f>VLOOKUP(C631,Locality_Reference!A:C,2,)</f>
        <v>Western Line</v>
      </c>
      <c r="E631" s="2" t="str">
        <f>VLOOKUP(C631,Locality_Reference!A:C,3,)</f>
        <v>Outer Periphery</v>
      </c>
      <c r="F631" s="2" t="s">
        <v>1381</v>
      </c>
      <c r="G631" s="8">
        <v>5000</v>
      </c>
      <c r="H631">
        <v>1</v>
      </c>
      <c r="I631">
        <v>2</v>
      </c>
      <c r="J631">
        <v>3</v>
      </c>
      <c r="K631">
        <v>4</v>
      </c>
      <c r="L631">
        <v>425</v>
      </c>
      <c r="M631" t="s">
        <v>36</v>
      </c>
      <c r="N631" t="s">
        <v>29</v>
      </c>
      <c r="O631" t="s">
        <v>16</v>
      </c>
      <c r="P631" t="s">
        <v>34</v>
      </c>
      <c r="Q631" t="str">
        <f t="shared" si="73"/>
        <v/>
      </c>
      <c r="R631" s="5">
        <v>46199</v>
      </c>
      <c r="S631" s="8">
        <f t="shared" si="74"/>
        <v>11.764705882352942</v>
      </c>
      <c r="T631">
        <f t="shared" si="75"/>
        <v>60000</v>
      </c>
      <c r="U631" t="str">
        <f t="shared" si="76"/>
        <v>Budget</v>
      </c>
      <c r="V631" t="str">
        <f t="shared" si="77"/>
        <v>Compact</v>
      </c>
      <c r="W631" t="str">
        <f>IF(S631 &lt; VLOOKUP(E631, Locality_Tier_Benchmarks!A:B, 2, FALSE) * 0.7, "Below Tier Range", "Normal")</f>
        <v>Normal</v>
      </c>
      <c r="X631" t="str">
        <f t="shared" si="78"/>
        <v>Below Absolute Floor</v>
      </c>
      <c r="Y631" t="str">
        <f t="shared" si="79"/>
        <v>Normal</v>
      </c>
      <c r="Z631" t="str">
        <f t="shared" si="72"/>
        <v>Review</v>
      </c>
    </row>
    <row r="632" spans="1:26" x14ac:dyDescent="0.25">
      <c r="A632" s="2" t="s">
        <v>1034</v>
      </c>
      <c r="B632" t="s">
        <v>366</v>
      </c>
      <c r="C632" t="s">
        <v>484</v>
      </c>
      <c r="D632" s="2" t="str">
        <f>VLOOKUP(C632,Locality_Reference!A:C,2,)</f>
        <v>Western Line</v>
      </c>
      <c r="E632" s="2" t="str">
        <f>VLOOKUP(C632,Locality_Reference!A:C,3,)</f>
        <v>Outer Periphery</v>
      </c>
      <c r="F632" s="2" t="s">
        <v>1382</v>
      </c>
      <c r="G632" s="8">
        <v>7000</v>
      </c>
      <c r="H632">
        <v>1</v>
      </c>
      <c r="I632">
        <v>2</v>
      </c>
      <c r="J632">
        <v>3</v>
      </c>
      <c r="K632">
        <v>9</v>
      </c>
      <c r="L632">
        <v>387</v>
      </c>
      <c r="M632" t="s">
        <v>33</v>
      </c>
      <c r="N632" t="s">
        <v>29</v>
      </c>
      <c r="O632" t="s">
        <v>16</v>
      </c>
      <c r="P632" t="s">
        <v>47</v>
      </c>
      <c r="Q632" t="str">
        <f t="shared" si="73"/>
        <v>1</v>
      </c>
      <c r="R632" s="5">
        <v>46199</v>
      </c>
      <c r="S632" s="8">
        <f t="shared" si="74"/>
        <v>18.087855297157624</v>
      </c>
      <c r="T632">
        <f t="shared" si="75"/>
        <v>84000</v>
      </c>
      <c r="U632" t="str">
        <f t="shared" si="76"/>
        <v>Budget</v>
      </c>
      <c r="V632" t="str">
        <f t="shared" si="77"/>
        <v>Compact</v>
      </c>
      <c r="W632" t="str">
        <f>IF(S632 &lt; VLOOKUP(E632, Locality_Tier_Benchmarks!A:B, 2, FALSE) * 0.7, "Below Tier Range", "Normal")</f>
        <v>Normal</v>
      </c>
      <c r="X632" t="str">
        <f t="shared" si="78"/>
        <v>Normal</v>
      </c>
      <c r="Y632" t="str">
        <f t="shared" si="79"/>
        <v>Normal</v>
      </c>
      <c r="Z632" t="str">
        <f t="shared" si="72"/>
        <v>Pass</v>
      </c>
    </row>
    <row r="633" spans="1:26" x14ac:dyDescent="0.25">
      <c r="A633" s="2" t="s">
        <v>1035</v>
      </c>
      <c r="B633" t="s">
        <v>366</v>
      </c>
      <c r="C633" t="s">
        <v>484</v>
      </c>
      <c r="D633" s="2" t="str">
        <f>VLOOKUP(C633,Locality_Reference!A:C,2,)</f>
        <v>Western Line</v>
      </c>
      <c r="E633" s="2" t="str">
        <f>VLOOKUP(C633,Locality_Reference!A:C,3,)</f>
        <v>Outer Periphery</v>
      </c>
      <c r="F633" s="2" t="s">
        <v>1383</v>
      </c>
      <c r="G633" s="8">
        <v>7000</v>
      </c>
      <c r="H633">
        <v>1</v>
      </c>
      <c r="I633">
        <v>1</v>
      </c>
      <c r="J633">
        <v>1</v>
      </c>
      <c r="K633">
        <v>4</v>
      </c>
      <c r="L633">
        <v>440</v>
      </c>
      <c r="M633" t="s">
        <v>33</v>
      </c>
      <c r="N633" t="s">
        <v>15</v>
      </c>
      <c r="O633" t="s">
        <v>16</v>
      </c>
      <c r="P633" t="s">
        <v>47</v>
      </c>
      <c r="Q633" t="str">
        <f t="shared" si="73"/>
        <v>1</v>
      </c>
      <c r="R633" s="5">
        <v>46191</v>
      </c>
      <c r="S633" s="8">
        <f t="shared" si="74"/>
        <v>15.909090909090908</v>
      </c>
      <c r="T633">
        <f t="shared" si="75"/>
        <v>84000</v>
      </c>
      <c r="U633" t="str">
        <f t="shared" si="76"/>
        <v>Budget</v>
      </c>
      <c r="V633" t="str">
        <f t="shared" si="77"/>
        <v>Compact</v>
      </c>
      <c r="W633" t="str">
        <f>IF(S633 &lt; VLOOKUP(E633, Locality_Tier_Benchmarks!A:B, 2, FALSE) * 0.7, "Below Tier Range", "Normal")</f>
        <v>Normal</v>
      </c>
      <c r="X633" t="str">
        <f t="shared" si="78"/>
        <v>Normal</v>
      </c>
      <c r="Y633" t="str">
        <f t="shared" si="79"/>
        <v>Normal</v>
      </c>
      <c r="Z633" t="str">
        <f t="shared" si="72"/>
        <v>Pass</v>
      </c>
    </row>
    <row r="634" spans="1:26" x14ac:dyDescent="0.25">
      <c r="A634" s="2" t="s">
        <v>1036</v>
      </c>
      <c r="B634" t="s">
        <v>366</v>
      </c>
      <c r="C634" t="s">
        <v>484</v>
      </c>
      <c r="D634" s="2" t="str">
        <f>VLOOKUP(C634,Locality_Reference!A:C,2,)</f>
        <v>Western Line</v>
      </c>
      <c r="E634" s="2" t="str">
        <f>VLOOKUP(C634,Locality_Reference!A:C,3,)</f>
        <v>Outer Periphery</v>
      </c>
      <c r="F634" s="2" t="s">
        <v>1384</v>
      </c>
      <c r="G634" s="8">
        <v>8000</v>
      </c>
      <c r="H634">
        <v>1</v>
      </c>
      <c r="I634">
        <v>2</v>
      </c>
      <c r="J634">
        <v>1</v>
      </c>
      <c r="K634">
        <v>4</v>
      </c>
      <c r="L634">
        <v>496</v>
      </c>
      <c r="M634" t="s">
        <v>36</v>
      </c>
      <c r="N634" t="s">
        <v>29</v>
      </c>
      <c r="O634" t="s">
        <v>16</v>
      </c>
      <c r="P634" t="s">
        <v>31</v>
      </c>
      <c r="Q634" t="str">
        <f t="shared" si="73"/>
        <v>3</v>
      </c>
      <c r="R634" s="5">
        <v>46187</v>
      </c>
      <c r="S634" s="8">
        <f t="shared" si="74"/>
        <v>16.129032258064516</v>
      </c>
      <c r="T634">
        <f t="shared" si="75"/>
        <v>96000</v>
      </c>
      <c r="U634" t="str">
        <f t="shared" si="76"/>
        <v>Budget</v>
      </c>
      <c r="V634" t="str">
        <f t="shared" si="77"/>
        <v>Compact</v>
      </c>
      <c r="W634" t="str">
        <f>IF(S634 &lt; VLOOKUP(E634, Locality_Tier_Benchmarks!A:B, 2, FALSE) * 0.7, "Below Tier Range", "Normal")</f>
        <v>Normal</v>
      </c>
      <c r="X634" t="str">
        <f t="shared" si="78"/>
        <v>Normal</v>
      </c>
      <c r="Y634" t="str">
        <f t="shared" si="79"/>
        <v>Normal</v>
      </c>
      <c r="Z634" t="str">
        <f t="shared" si="72"/>
        <v>Pass</v>
      </c>
    </row>
    <row r="635" spans="1:26" x14ac:dyDescent="0.25">
      <c r="A635" s="2" t="s">
        <v>1037</v>
      </c>
      <c r="B635" t="s">
        <v>366</v>
      </c>
      <c r="C635" t="s">
        <v>484</v>
      </c>
      <c r="D635" s="2" t="str">
        <f>VLOOKUP(C635,Locality_Reference!A:C,2,)</f>
        <v>Western Line</v>
      </c>
      <c r="E635" s="2" t="str">
        <f>VLOOKUP(C635,Locality_Reference!A:C,3,)</f>
        <v>Outer Periphery</v>
      </c>
      <c r="F635" s="2" t="s">
        <v>1385</v>
      </c>
      <c r="G635" s="8">
        <v>6500</v>
      </c>
      <c r="H635">
        <v>2</v>
      </c>
      <c r="I635">
        <v>2</v>
      </c>
      <c r="J635">
        <v>2</v>
      </c>
      <c r="K635">
        <v>4</v>
      </c>
      <c r="L635">
        <v>767</v>
      </c>
      <c r="M635" t="s">
        <v>33</v>
      </c>
      <c r="N635" t="s">
        <v>1289</v>
      </c>
      <c r="O635" t="s">
        <v>16</v>
      </c>
      <c r="P635" t="s">
        <v>52</v>
      </c>
      <c r="Q635" t="str">
        <f t="shared" si="73"/>
        <v>7.5</v>
      </c>
      <c r="R635" s="5">
        <v>46191</v>
      </c>
      <c r="S635" s="8">
        <f t="shared" si="74"/>
        <v>8.4745762711864412</v>
      </c>
      <c r="T635">
        <f t="shared" si="75"/>
        <v>78000</v>
      </c>
      <c r="U635" t="str">
        <f t="shared" si="76"/>
        <v>Budget</v>
      </c>
      <c r="V635" t="str">
        <f t="shared" si="77"/>
        <v>Medium</v>
      </c>
      <c r="W635" t="str">
        <f>IF(S635 &lt; VLOOKUP(E635, Locality_Tier_Benchmarks!A:B, 2, FALSE) * 0.7, "Below Tier Range", "Normal")</f>
        <v>Normal</v>
      </c>
      <c r="X635" t="str">
        <f t="shared" si="78"/>
        <v>Below Absolute Floor</v>
      </c>
      <c r="Y635" t="str">
        <f t="shared" si="79"/>
        <v>Normal</v>
      </c>
      <c r="Z635" t="str">
        <f t="shared" si="72"/>
        <v>Review</v>
      </c>
    </row>
    <row r="636" spans="1:26" x14ac:dyDescent="0.25">
      <c r="A636" s="2" t="s">
        <v>1038</v>
      </c>
      <c r="B636" t="s">
        <v>366</v>
      </c>
      <c r="C636" t="s">
        <v>484</v>
      </c>
      <c r="D636" s="2" t="str">
        <f>VLOOKUP(C636,Locality_Reference!A:C,2,)</f>
        <v>Western Line</v>
      </c>
      <c r="E636" s="2" t="str">
        <f>VLOOKUP(C636,Locality_Reference!A:C,3,)</f>
        <v>Outer Periphery</v>
      </c>
      <c r="F636" s="2" t="s">
        <v>1386</v>
      </c>
      <c r="G636" s="8">
        <v>15000</v>
      </c>
      <c r="H636">
        <v>2</v>
      </c>
      <c r="I636">
        <v>2</v>
      </c>
      <c r="J636">
        <v>2</v>
      </c>
      <c r="K636">
        <v>3</v>
      </c>
      <c r="L636">
        <v>632</v>
      </c>
      <c r="M636" t="s">
        <v>33</v>
      </c>
      <c r="N636" t="s">
        <v>1289</v>
      </c>
      <c r="O636" t="s">
        <v>16</v>
      </c>
      <c r="P636" t="s">
        <v>52</v>
      </c>
      <c r="Q636" t="str">
        <f t="shared" si="73"/>
        <v>7.5</v>
      </c>
      <c r="R636" s="5">
        <v>46164</v>
      </c>
      <c r="S636" s="8">
        <f t="shared" si="74"/>
        <v>23.734177215189874</v>
      </c>
      <c r="T636">
        <f t="shared" si="75"/>
        <v>180000</v>
      </c>
      <c r="U636" t="str">
        <f t="shared" si="76"/>
        <v>Budget</v>
      </c>
      <c r="V636" t="str">
        <f t="shared" si="77"/>
        <v>Medium</v>
      </c>
      <c r="W636" t="str">
        <f>IF(S636 &lt; VLOOKUP(E636, Locality_Tier_Benchmarks!A:B, 2, FALSE) * 0.7, "Below Tier Range", "Normal")</f>
        <v>Normal</v>
      </c>
      <c r="X636" t="str">
        <f t="shared" si="78"/>
        <v>Normal</v>
      </c>
      <c r="Y636" t="str">
        <f t="shared" si="79"/>
        <v>Normal</v>
      </c>
      <c r="Z636" t="str">
        <f t="shared" si="72"/>
        <v>Pass</v>
      </c>
    </row>
    <row r="637" spans="1:26" x14ac:dyDescent="0.25">
      <c r="A637" s="2" t="s">
        <v>1039</v>
      </c>
      <c r="B637" t="s">
        <v>366</v>
      </c>
      <c r="C637" t="s">
        <v>484</v>
      </c>
      <c r="D637" s="2" t="str">
        <f>VLOOKUP(C637,Locality_Reference!A:C,2,)</f>
        <v>Western Line</v>
      </c>
      <c r="E637" s="2" t="str">
        <f>VLOOKUP(C637,Locality_Reference!A:C,3,)</f>
        <v>Outer Periphery</v>
      </c>
      <c r="F637" s="2" t="s">
        <v>1383</v>
      </c>
      <c r="G637" s="8">
        <v>7000</v>
      </c>
      <c r="H637">
        <v>2</v>
      </c>
      <c r="I637">
        <v>2</v>
      </c>
      <c r="J637">
        <v>4</v>
      </c>
      <c r="K637">
        <v>4</v>
      </c>
      <c r="L637">
        <v>593</v>
      </c>
      <c r="M637" t="s">
        <v>33</v>
      </c>
      <c r="N637" t="s">
        <v>29</v>
      </c>
      <c r="O637" t="s">
        <v>16</v>
      </c>
      <c r="P637" t="s">
        <v>47</v>
      </c>
      <c r="Q637" t="str">
        <f t="shared" si="73"/>
        <v>1</v>
      </c>
      <c r="R637" s="5">
        <v>46155</v>
      </c>
      <c r="S637" s="8">
        <f t="shared" si="74"/>
        <v>11.804384485666105</v>
      </c>
      <c r="T637">
        <f t="shared" si="75"/>
        <v>84000</v>
      </c>
      <c r="U637" t="str">
        <f t="shared" si="76"/>
        <v>Budget</v>
      </c>
      <c r="V637" t="str">
        <f t="shared" si="77"/>
        <v>Medium</v>
      </c>
      <c r="W637" t="str">
        <f>IF(S637 &lt; VLOOKUP(E637, Locality_Tier_Benchmarks!A:B, 2, FALSE) * 0.7, "Below Tier Range", "Normal")</f>
        <v>Normal</v>
      </c>
      <c r="X637" t="str">
        <f t="shared" si="78"/>
        <v>Normal</v>
      </c>
      <c r="Y637" t="str">
        <f t="shared" si="79"/>
        <v>Normal</v>
      </c>
      <c r="Z637" t="str">
        <f t="shared" si="72"/>
        <v>Pass</v>
      </c>
    </row>
    <row r="638" spans="1:26" x14ac:dyDescent="0.25">
      <c r="A638" s="2" t="s">
        <v>1040</v>
      </c>
      <c r="B638" t="s">
        <v>366</v>
      </c>
      <c r="C638" t="s">
        <v>484</v>
      </c>
      <c r="D638" s="2" t="str">
        <f>VLOOKUP(C638,Locality_Reference!A:C,2,)</f>
        <v>Western Line</v>
      </c>
      <c r="E638" s="2" t="str">
        <f>VLOOKUP(C638,Locality_Reference!A:C,3,)</f>
        <v>Outer Periphery</v>
      </c>
      <c r="F638" s="2" t="s">
        <v>1387</v>
      </c>
      <c r="G638" s="8">
        <v>12000</v>
      </c>
      <c r="H638">
        <v>2</v>
      </c>
      <c r="I638">
        <v>2</v>
      </c>
      <c r="J638">
        <v>2</v>
      </c>
      <c r="K638">
        <v>4</v>
      </c>
      <c r="L638">
        <v>775</v>
      </c>
      <c r="M638" t="s">
        <v>14</v>
      </c>
      <c r="N638" t="s">
        <v>1289</v>
      </c>
      <c r="O638" t="s">
        <v>16</v>
      </c>
      <c r="P638" t="s">
        <v>47</v>
      </c>
      <c r="Q638" t="str">
        <f t="shared" si="73"/>
        <v>1</v>
      </c>
      <c r="R638" s="5">
        <v>46167</v>
      </c>
      <c r="S638" s="8">
        <f t="shared" si="74"/>
        <v>15.483870967741936</v>
      </c>
      <c r="T638">
        <f t="shared" si="75"/>
        <v>144000</v>
      </c>
      <c r="U638" t="str">
        <f t="shared" si="76"/>
        <v>Budget</v>
      </c>
      <c r="V638" t="str">
        <f t="shared" si="77"/>
        <v>Medium</v>
      </c>
      <c r="W638" t="str">
        <f>IF(S638 &lt; VLOOKUP(E638, Locality_Tier_Benchmarks!A:B, 2, FALSE) * 0.7, "Below Tier Range", "Normal")</f>
        <v>Normal</v>
      </c>
      <c r="X638" t="str">
        <f t="shared" si="78"/>
        <v>Normal</v>
      </c>
      <c r="Y638" t="str">
        <f t="shared" si="79"/>
        <v>Normal</v>
      </c>
      <c r="Z638" t="str">
        <f t="shared" si="72"/>
        <v>Pass</v>
      </c>
    </row>
    <row r="639" spans="1:26" x14ac:dyDescent="0.25">
      <c r="A639" s="2" t="s">
        <v>1041</v>
      </c>
      <c r="B639" t="s">
        <v>366</v>
      </c>
      <c r="C639" t="s">
        <v>484</v>
      </c>
      <c r="D639" s="2" t="str">
        <f>VLOOKUP(C639,Locality_Reference!A:C,2,)</f>
        <v>Western Line</v>
      </c>
      <c r="E639" s="2" t="str">
        <f>VLOOKUP(C639,Locality_Reference!A:C,3,)</f>
        <v>Outer Periphery</v>
      </c>
      <c r="F639" s="2" t="s">
        <v>1388</v>
      </c>
      <c r="G639" s="8">
        <v>10000</v>
      </c>
      <c r="H639">
        <v>2</v>
      </c>
      <c r="I639">
        <v>2</v>
      </c>
      <c r="J639">
        <v>3</v>
      </c>
      <c r="K639">
        <v>4</v>
      </c>
      <c r="L639">
        <v>621</v>
      </c>
      <c r="M639" t="s">
        <v>14</v>
      </c>
      <c r="N639" t="s">
        <v>29</v>
      </c>
      <c r="O639" t="s">
        <v>16</v>
      </c>
      <c r="P639" t="s">
        <v>31</v>
      </c>
      <c r="Q639" t="str">
        <f t="shared" si="73"/>
        <v>3</v>
      </c>
      <c r="R639" s="5">
        <v>46153</v>
      </c>
      <c r="S639" s="8">
        <f t="shared" si="74"/>
        <v>16.103059581320451</v>
      </c>
      <c r="T639">
        <f t="shared" si="75"/>
        <v>120000</v>
      </c>
      <c r="U639" t="str">
        <f t="shared" si="76"/>
        <v>Budget</v>
      </c>
      <c r="V639" t="str">
        <f t="shared" si="77"/>
        <v>Medium</v>
      </c>
      <c r="W639" t="str">
        <f>IF(S639 &lt; VLOOKUP(E639, Locality_Tier_Benchmarks!A:B, 2, FALSE) * 0.7, "Below Tier Range", "Normal")</f>
        <v>Normal</v>
      </c>
      <c r="X639" t="str">
        <f t="shared" si="78"/>
        <v>Normal</v>
      </c>
      <c r="Y639" t="str">
        <f t="shared" si="79"/>
        <v>Normal</v>
      </c>
      <c r="Z639" t="str">
        <f t="shared" si="72"/>
        <v>Pass</v>
      </c>
    </row>
    <row r="640" spans="1:26" x14ac:dyDescent="0.25">
      <c r="A640" s="2" t="s">
        <v>1042</v>
      </c>
      <c r="B640" t="s">
        <v>17</v>
      </c>
      <c r="C640" t="s">
        <v>485</v>
      </c>
      <c r="D640" s="2" t="str">
        <f>VLOOKUP(C640,Locality_Reference!A:C,2,)</f>
        <v>Central Line</v>
      </c>
      <c r="E640" s="2" t="str">
        <f>VLOOKUP(C640,Locality_Reference!A:C,3,)</f>
        <v>Premium/South</v>
      </c>
      <c r="F640" s="2" t="s">
        <v>1361</v>
      </c>
      <c r="G640" s="8">
        <v>37000</v>
      </c>
      <c r="H640">
        <v>1</v>
      </c>
      <c r="I640">
        <v>1</v>
      </c>
      <c r="J640">
        <v>3</v>
      </c>
      <c r="K640">
        <v>8</v>
      </c>
      <c r="L640">
        <v>452</v>
      </c>
      <c r="M640" t="s">
        <v>14</v>
      </c>
      <c r="N640" t="s">
        <v>29</v>
      </c>
      <c r="O640" t="s">
        <v>16</v>
      </c>
      <c r="P640" t="s">
        <v>23</v>
      </c>
      <c r="Q640" t="str">
        <f t="shared" si="73"/>
        <v>10</v>
      </c>
      <c r="R640" s="5">
        <v>46166</v>
      </c>
      <c r="S640" s="8">
        <f t="shared" si="74"/>
        <v>81.858407079646014</v>
      </c>
      <c r="T640">
        <f t="shared" si="75"/>
        <v>444000</v>
      </c>
      <c r="U640" t="str">
        <f t="shared" si="76"/>
        <v>Mid</v>
      </c>
      <c r="V640" t="str">
        <f t="shared" si="77"/>
        <v>Compact</v>
      </c>
      <c r="W640" t="str">
        <f>IF(S640 &lt; VLOOKUP(E640, Locality_Tier_Benchmarks!A:B, 2, FALSE) * 0.7, "Below Tier Range", "Normal")</f>
        <v>Normal</v>
      </c>
      <c r="X640" t="str">
        <f t="shared" si="78"/>
        <v>Normal</v>
      </c>
      <c r="Y640" t="str">
        <f t="shared" si="79"/>
        <v>Normal</v>
      </c>
      <c r="Z640" t="str">
        <f t="shared" si="72"/>
        <v>Pass</v>
      </c>
    </row>
    <row r="641" spans="1:26" x14ac:dyDescent="0.25">
      <c r="A641" s="2" t="s">
        <v>1043</v>
      </c>
      <c r="B641" t="s">
        <v>17</v>
      </c>
      <c r="C641" t="s">
        <v>485</v>
      </c>
      <c r="D641" s="2" t="str">
        <f>VLOOKUP(C641,Locality_Reference!A:C,2,)</f>
        <v>Central Line</v>
      </c>
      <c r="E641" s="2" t="str">
        <f>VLOOKUP(C641,Locality_Reference!A:C,3,)</f>
        <v>Premium/South</v>
      </c>
      <c r="F641" s="2" t="s">
        <v>1389</v>
      </c>
      <c r="G641" s="8">
        <v>36000</v>
      </c>
      <c r="H641">
        <v>1</v>
      </c>
      <c r="I641">
        <v>1</v>
      </c>
      <c r="J641">
        <v>4</v>
      </c>
      <c r="K641">
        <v>8</v>
      </c>
      <c r="L641">
        <v>310</v>
      </c>
      <c r="M641" t="s">
        <v>14</v>
      </c>
      <c r="N641" t="s">
        <v>29</v>
      </c>
      <c r="O641" t="s">
        <v>16</v>
      </c>
      <c r="P641" t="s">
        <v>52</v>
      </c>
      <c r="Q641" t="str">
        <f t="shared" si="73"/>
        <v>7.5</v>
      </c>
      <c r="R641" s="5">
        <v>46166</v>
      </c>
      <c r="S641" s="8">
        <f t="shared" si="74"/>
        <v>116.12903225806451</v>
      </c>
      <c r="T641">
        <f t="shared" si="75"/>
        <v>432000</v>
      </c>
      <c r="U641" t="str">
        <f t="shared" si="76"/>
        <v>Mid</v>
      </c>
      <c r="V641" t="str">
        <f t="shared" si="77"/>
        <v>Compact</v>
      </c>
      <c r="W641" t="str">
        <f>IF(S641 &lt; VLOOKUP(E641, Locality_Tier_Benchmarks!A:B, 2, FALSE) * 0.7, "Below Tier Range", "Normal")</f>
        <v>Normal</v>
      </c>
      <c r="X641" t="str">
        <f t="shared" si="78"/>
        <v>Normal</v>
      </c>
      <c r="Y641" t="str">
        <f t="shared" si="79"/>
        <v>Normal</v>
      </c>
      <c r="Z641" t="str">
        <f t="shared" si="72"/>
        <v>Pass</v>
      </c>
    </row>
    <row r="642" spans="1:26" x14ac:dyDescent="0.25">
      <c r="A642" s="2" t="s">
        <v>1044</v>
      </c>
      <c r="B642" t="s">
        <v>17</v>
      </c>
      <c r="C642" t="s">
        <v>485</v>
      </c>
      <c r="D642" s="2" t="str">
        <f>VLOOKUP(C642,Locality_Reference!A:C,2,)</f>
        <v>Central Line</v>
      </c>
      <c r="E642" s="2" t="str">
        <f>VLOOKUP(C642,Locality_Reference!A:C,3,)</f>
        <v>Premium/South</v>
      </c>
      <c r="F642" s="2" t="s">
        <v>1390</v>
      </c>
      <c r="G642" s="8">
        <v>80000</v>
      </c>
      <c r="H642">
        <v>1</v>
      </c>
      <c r="I642">
        <v>2</v>
      </c>
      <c r="J642">
        <v>2</v>
      </c>
      <c r="K642">
        <v>4</v>
      </c>
      <c r="L642">
        <v>850</v>
      </c>
      <c r="M642" t="s">
        <v>14</v>
      </c>
      <c r="N642" t="s">
        <v>29</v>
      </c>
      <c r="O642" t="s">
        <v>16</v>
      </c>
      <c r="P642" t="s">
        <v>34</v>
      </c>
      <c r="Q642" t="str">
        <f t="shared" si="73"/>
        <v/>
      </c>
      <c r="R642" s="5">
        <v>46150</v>
      </c>
      <c r="S642" s="8">
        <f t="shared" si="74"/>
        <v>94.117647058823536</v>
      </c>
      <c r="T642">
        <f t="shared" si="75"/>
        <v>960000</v>
      </c>
      <c r="U642" t="str">
        <f t="shared" si="76"/>
        <v>Premium</v>
      </c>
      <c r="V642" t="str">
        <f t="shared" si="77"/>
        <v>Large</v>
      </c>
      <c r="W642" t="str">
        <f>IF(S642 &lt; VLOOKUP(E642, Locality_Tier_Benchmarks!A:B, 2, FALSE) * 0.7, "Below Tier Range", "Normal")</f>
        <v>Normal</v>
      </c>
      <c r="X642" t="str">
        <f t="shared" si="78"/>
        <v>Normal</v>
      </c>
      <c r="Y642" t="str">
        <f t="shared" si="79"/>
        <v>Normal</v>
      </c>
      <c r="Z642" t="str">
        <f t="shared" ref="Z642:Z705" si="80">IF(OR(W642&lt;&gt;"Normal",X642&lt;&gt;"Normal",Y642&lt;&gt;"Normal"),"Review","Pass")</f>
        <v>Pass</v>
      </c>
    </row>
    <row r="643" spans="1:26" x14ac:dyDescent="0.25">
      <c r="A643" s="2" t="s">
        <v>1045</v>
      </c>
      <c r="B643" t="s">
        <v>17</v>
      </c>
      <c r="C643" t="s">
        <v>485</v>
      </c>
      <c r="D643" s="2" t="str">
        <f>VLOOKUP(C643,Locality_Reference!A:C,2,)</f>
        <v>Central Line</v>
      </c>
      <c r="E643" s="2" t="str">
        <f>VLOOKUP(C643,Locality_Reference!A:C,3,)</f>
        <v>Premium/South</v>
      </c>
      <c r="F643" s="2" t="s">
        <v>1391</v>
      </c>
      <c r="G643" s="8">
        <v>40000</v>
      </c>
      <c r="H643">
        <v>1</v>
      </c>
      <c r="I643">
        <v>1</v>
      </c>
      <c r="J643">
        <v>2</v>
      </c>
      <c r="K643">
        <v>4</v>
      </c>
      <c r="L643">
        <v>400</v>
      </c>
      <c r="M643" t="s">
        <v>36</v>
      </c>
      <c r="N643" t="s">
        <v>29</v>
      </c>
      <c r="O643" t="s">
        <v>16</v>
      </c>
      <c r="P643" t="s">
        <v>23</v>
      </c>
      <c r="Q643" t="str">
        <f t="shared" ref="Q643:Q706" si="81">IF(P643="20+ Years","20",IF(P643="15-20 Years","17.5",IF(P643="10+ Years","10",IF(P643="5-10 Years","7.5",IF(P643="1-5 Years","3",IF(P643="0-1 Year","1",""))))))</f>
        <v>10</v>
      </c>
      <c r="R643" s="5">
        <v>46144</v>
      </c>
      <c r="S643" s="8">
        <f t="shared" ref="S643:S706" si="82">G643/L643</f>
        <v>100</v>
      </c>
      <c r="T643">
        <f t="shared" ref="T643:T706" si="83">G643*12</f>
        <v>480000</v>
      </c>
      <c r="U643" t="str">
        <f t="shared" ref="U643:U706" si="84">IF(G643&lt;=30000,"Budget",IF(G643&lt;=60000,"Mid",IF(G643&lt;=100000,"Premium","Luxury")))</f>
        <v>Mid</v>
      </c>
      <c r="V643" t="str">
        <f t="shared" ref="V643:V706" si="85">IF(L643&lt;=500,"Compact",IF(L643&lt;=800,"Medium",IF(L643&lt;=1200,"Large","Spacious")))</f>
        <v>Compact</v>
      </c>
      <c r="W643" t="str">
        <f>IF(S643 &lt; VLOOKUP(E643, Locality_Tier_Benchmarks!A:B, 2, FALSE) * 0.7, "Below Tier Range", "Normal")</f>
        <v>Normal</v>
      </c>
      <c r="X643" t="str">
        <f t="shared" ref="X643:X706" si="86">IF(G643&lt;7000,"Below Absolute Floor","Normal")</f>
        <v>Normal</v>
      </c>
      <c r="Y643" t="str">
        <f t="shared" ref="Y643:Y706" si="87">IF(S643&gt;500,"Possible Typo - Check Zero","Normal")</f>
        <v>Normal</v>
      </c>
      <c r="Z643" t="str">
        <f t="shared" si="80"/>
        <v>Pass</v>
      </c>
    </row>
    <row r="644" spans="1:26" x14ac:dyDescent="0.25">
      <c r="A644" s="2" t="s">
        <v>1046</v>
      </c>
      <c r="B644" t="s">
        <v>17</v>
      </c>
      <c r="C644" t="s">
        <v>485</v>
      </c>
      <c r="D644" s="2" t="str">
        <f>VLOOKUP(C644,Locality_Reference!A:C,2,)</f>
        <v>Central Line</v>
      </c>
      <c r="E644" s="2" t="str">
        <f>VLOOKUP(C644,Locality_Reference!A:C,3,)</f>
        <v>Premium/South</v>
      </c>
      <c r="F644" s="2" t="s">
        <v>1392</v>
      </c>
      <c r="G644" s="8">
        <v>40000</v>
      </c>
      <c r="H644">
        <v>1</v>
      </c>
      <c r="I644">
        <v>2</v>
      </c>
      <c r="J644">
        <v>2</v>
      </c>
      <c r="K644">
        <v>5</v>
      </c>
      <c r="L644">
        <v>400</v>
      </c>
      <c r="M644" t="s">
        <v>36</v>
      </c>
      <c r="N644" t="s">
        <v>29</v>
      </c>
      <c r="O644" t="s">
        <v>16</v>
      </c>
      <c r="P644" t="s">
        <v>23</v>
      </c>
      <c r="Q644" t="str">
        <f t="shared" si="81"/>
        <v>10</v>
      </c>
      <c r="R644" s="5">
        <v>46144</v>
      </c>
      <c r="S644" s="8">
        <f t="shared" si="82"/>
        <v>100</v>
      </c>
      <c r="T644">
        <f t="shared" si="83"/>
        <v>480000</v>
      </c>
      <c r="U644" t="str">
        <f t="shared" si="84"/>
        <v>Mid</v>
      </c>
      <c r="V644" t="str">
        <f t="shared" si="85"/>
        <v>Compact</v>
      </c>
      <c r="W644" t="str">
        <f>IF(S644 &lt; VLOOKUP(E644, Locality_Tier_Benchmarks!A:B, 2, FALSE) * 0.7, "Below Tier Range", "Normal")</f>
        <v>Normal</v>
      </c>
      <c r="X644" t="str">
        <f t="shared" si="86"/>
        <v>Normal</v>
      </c>
      <c r="Y644" t="str">
        <f t="shared" si="87"/>
        <v>Normal</v>
      </c>
      <c r="Z644" t="str">
        <f t="shared" si="80"/>
        <v>Pass</v>
      </c>
    </row>
    <row r="645" spans="1:26" x14ac:dyDescent="0.25">
      <c r="A645" s="2" t="s">
        <v>1047</v>
      </c>
      <c r="B645" t="s">
        <v>17</v>
      </c>
      <c r="C645" t="s">
        <v>485</v>
      </c>
      <c r="D645" s="2" t="str">
        <f>VLOOKUP(C645,Locality_Reference!A:C,2,)</f>
        <v>Central Line</v>
      </c>
      <c r="E645" s="2" t="str">
        <f>VLOOKUP(C645,Locality_Reference!A:C,3,)</f>
        <v>Premium/South</v>
      </c>
      <c r="F645" s="2" t="s">
        <v>1393</v>
      </c>
      <c r="G645" s="8">
        <v>95000</v>
      </c>
      <c r="H645">
        <v>2</v>
      </c>
      <c r="I645">
        <v>3</v>
      </c>
      <c r="J645">
        <v>8</v>
      </c>
      <c r="K645">
        <v>21</v>
      </c>
      <c r="L645">
        <v>739</v>
      </c>
      <c r="M645" t="s">
        <v>36</v>
      </c>
      <c r="N645" t="s">
        <v>15</v>
      </c>
      <c r="O645" t="s">
        <v>16</v>
      </c>
      <c r="P645" t="s">
        <v>31</v>
      </c>
      <c r="Q645" t="str">
        <f t="shared" si="81"/>
        <v>3</v>
      </c>
      <c r="R645" s="5">
        <v>46188</v>
      </c>
      <c r="S645" s="8">
        <f t="shared" si="82"/>
        <v>128.55209742895806</v>
      </c>
      <c r="T645">
        <f t="shared" si="83"/>
        <v>1140000</v>
      </c>
      <c r="U645" t="str">
        <f t="shared" si="84"/>
        <v>Premium</v>
      </c>
      <c r="V645" t="str">
        <f t="shared" si="85"/>
        <v>Medium</v>
      </c>
      <c r="W645" t="str">
        <f>IF(S645 &lt; VLOOKUP(E645, Locality_Tier_Benchmarks!A:B, 2, FALSE) * 0.7, "Below Tier Range", "Normal")</f>
        <v>Normal</v>
      </c>
      <c r="X645" t="str">
        <f t="shared" si="86"/>
        <v>Normal</v>
      </c>
      <c r="Y645" t="str">
        <f t="shared" si="87"/>
        <v>Normal</v>
      </c>
      <c r="Z645" t="str">
        <f t="shared" si="80"/>
        <v>Pass</v>
      </c>
    </row>
    <row r="646" spans="1:26" x14ac:dyDescent="0.25">
      <c r="A646" s="2" t="s">
        <v>1048</v>
      </c>
      <c r="B646" t="s">
        <v>17</v>
      </c>
      <c r="C646" t="s">
        <v>487</v>
      </c>
      <c r="D646" s="2" t="str">
        <f>VLOOKUP(C646,Locality_Reference!A:C,2,)</f>
        <v>Central Line</v>
      </c>
      <c r="E646" s="2" t="str">
        <f>VLOOKUP(C646,Locality_Reference!A:C,3,)</f>
        <v>Premium/South</v>
      </c>
      <c r="F646" s="2" t="s">
        <v>1394</v>
      </c>
      <c r="G646" s="8">
        <v>69000</v>
      </c>
      <c r="H646">
        <v>1</v>
      </c>
      <c r="I646">
        <v>1</v>
      </c>
      <c r="J646">
        <v>9</v>
      </c>
      <c r="K646">
        <v>12</v>
      </c>
      <c r="L646">
        <v>550</v>
      </c>
      <c r="M646" t="s">
        <v>36</v>
      </c>
      <c r="N646" t="s">
        <v>29</v>
      </c>
      <c r="O646" t="s">
        <v>16</v>
      </c>
      <c r="P646" t="s">
        <v>23</v>
      </c>
      <c r="Q646" t="str">
        <f t="shared" si="81"/>
        <v>10</v>
      </c>
      <c r="R646" s="5">
        <v>46167</v>
      </c>
      <c r="S646" s="8">
        <f t="shared" si="82"/>
        <v>125.45454545454545</v>
      </c>
      <c r="T646">
        <f t="shared" si="83"/>
        <v>828000</v>
      </c>
      <c r="U646" t="str">
        <f t="shared" si="84"/>
        <v>Premium</v>
      </c>
      <c r="V646" t="str">
        <f t="shared" si="85"/>
        <v>Medium</v>
      </c>
      <c r="W646" t="str">
        <f>IF(S646 &lt; VLOOKUP(E646, Locality_Tier_Benchmarks!A:B, 2, FALSE) * 0.7, "Below Tier Range", "Normal")</f>
        <v>Normal</v>
      </c>
      <c r="X646" t="str">
        <f t="shared" si="86"/>
        <v>Normal</v>
      </c>
      <c r="Y646" t="str">
        <f t="shared" si="87"/>
        <v>Normal</v>
      </c>
      <c r="Z646" t="str">
        <f t="shared" si="80"/>
        <v>Pass</v>
      </c>
    </row>
    <row r="647" spans="1:26" x14ac:dyDescent="0.25">
      <c r="A647" s="2" t="s">
        <v>1049</v>
      </c>
      <c r="B647" t="s">
        <v>17</v>
      </c>
      <c r="C647" t="s">
        <v>487</v>
      </c>
      <c r="D647" s="2" t="str">
        <f>VLOOKUP(C647,Locality_Reference!A:C,2,)</f>
        <v>Central Line</v>
      </c>
      <c r="E647" s="2" t="str">
        <f>VLOOKUP(C647,Locality_Reference!A:C,3,)</f>
        <v>Premium/South</v>
      </c>
      <c r="F647" s="2" t="s">
        <v>1395</v>
      </c>
      <c r="G647" s="8">
        <v>55000</v>
      </c>
      <c r="H647">
        <v>1</v>
      </c>
      <c r="I647">
        <v>1</v>
      </c>
      <c r="J647">
        <v>8</v>
      </c>
      <c r="K647">
        <v>23</v>
      </c>
      <c r="L647">
        <v>300</v>
      </c>
      <c r="M647" t="s">
        <v>14</v>
      </c>
      <c r="N647" t="s">
        <v>29</v>
      </c>
      <c r="O647" t="s">
        <v>16</v>
      </c>
      <c r="P647" t="s">
        <v>52</v>
      </c>
      <c r="Q647" t="str">
        <f t="shared" si="81"/>
        <v>7.5</v>
      </c>
      <c r="R647" s="5">
        <v>46150</v>
      </c>
      <c r="S647" s="8">
        <f t="shared" si="82"/>
        <v>183.33333333333334</v>
      </c>
      <c r="T647">
        <f t="shared" si="83"/>
        <v>660000</v>
      </c>
      <c r="U647" t="str">
        <f t="shared" si="84"/>
        <v>Mid</v>
      </c>
      <c r="V647" t="str">
        <f t="shared" si="85"/>
        <v>Compact</v>
      </c>
      <c r="W647" t="str">
        <f>IF(S647 &lt; VLOOKUP(E647, Locality_Tier_Benchmarks!A:B, 2, FALSE) * 0.7, "Below Tier Range", "Normal")</f>
        <v>Normal</v>
      </c>
      <c r="X647" t="str">
        <f t="shared" si="86"/>
        <v>Normal</v>
      </c>
      <c r="Y647" t="str">
        <f t="shared" si="87"/>
        <v>Normal</v>
      </c>
      <c r="Z647" t="str">
        <f t="shared" si="80"/>
        <v>Pass</v>
      </c>
    </row>
    <row r="648" spans="1:26" x14ac:dyDescent="0.25">
      <c r="A648" s="2" t="s">
        <v>1050</v>
      </c>
      <c r="B648" t="s">
        <v>17</v>
      </c>
      <c r="C648" t="s">
        <v>487</v>
      </c>
      <c r="D648" s="2" t="str">
        <f>VLOOKUP(C648,Locality_Reference!A:C,2,)</f>
        <v>Central Line</v>
      </c>
      <c r="E648" s="2" t="str">
        <f>VLOOKUP(C648,Locality_Reference!A:C,3,)</f>
        <v>Premium/South</v>
      </c>
      <c r="F648" s="2" t="s">
        <v>1397</v>
      </c>
      <c r="G648" s="8">
        <v>35000</v>
      </c>
      <c r="H648">
        <v>1</v>
      </c>
      <c r="I648">
        <v>1</v>
      </c>
      <c r="J648">
        <v>3</v>
      </c>
      <c r="K648">
        <v>3</v>
      </c>
      <c r="L648">
        <v>300</v>
      </c>
      <c r="M648" t="s">
        <v>33</v>
      </c>
      <c r="N648" t="s">
        <v>29</v>
      </c>
      <c r="O648" t="s">
        <v>16</v>
      </c>
      <c r="P648" t="s">
        <v>23</v>
      </c>
      <c r="Q648" t="str">
        <f t="shared" si="81"/>
        <v>10</v>
      </c>
      <c r="R648" s="5">
        <v>46195</v>
      </c>
      <c r="S648" s="8">
        <f t="shared" si="82"/>
        <v>116.66666666666667</v>
      </c>
      <c r="T648">
        <f t="shared" si="83"/>
        <v>420000</v>
      </c>
      <c r="U648" t="str">
        <f t="shared" si="84"/>
        <v>Mid</v>
      </c>
      <c r="V648" t="str">
        <f t="shared" si="85"/>
        <v>Compact</v>
      </c>
      <c r="W648" t="str">
        <f>IF(S648 &lt; VLOOKUP(E648, Locality_Tier_Benchmarks!A:B, 2, FALSE) * 0.7, "Below Tier Range", "Normal")</f>
        <v>Normal</v>
      </c>
      <c r="X648" t="str">
        <f t="shared" si="86"/>
        <v>Normal</v>
      </c>
      <c r="Y648" t="str">
        <f t="shared" si="87"/>
        <v>Normal</v>
      </c>
      <c r="Z648" t="str">
        <f t="shared" si="80"/>
        <v>Pass</v>
      </c>
    </row>
    <row r="649" spans="1:26" x14ac:dyDescent="0.25">
      <c r="A649" s="2" t="s">
        <v>1051</v>
      </c>
      <c r="B649" t="s">
        <v>17</v>
      </c>
      <c r="C649" t="s">
        <v>487</v>
      </c>
      <c r="D649" s="2" t="str">
        <f>VLOOKUP(C649,Locality_Reference!A:C,2,)</f>
        <v>Central Line</v>
      </c>
      <c r="E649" s="2" t="str">
        <f>VLOOKUP(C649,Locality_Reference!A:C,3,)</f>
        <v>Premium/South</v>
      </c>
      <c r="F649" s="2" t="s">
        <v>1398</v>
      </c>
      <c r="G649" s="8">
        <v>50000</v>
      </c>
      <c r="H649">
        <v>1</v>
      </c>
      <c r="I649">
        <v>1</v>
      </c>
      <c r="J649">
        <v>11</v>
      </c>
      <c r="K649">
        <v>21</v>
      </c>
      <c r="L649">
        <v>455</v>
      </c>
      <c r="M649" t="s">
        <v>33</v>
      </c>
      <c r="N649" t="s">
        <v>29</v>
      </c>
      <c r="O649" t="s">
        <v>16</v>
      </c>
      <c r="P649" t="s">
        <v>47</v>
      </c>
      <c r="Q649" t="str">
        <f t="shared" si="81"/>
        <v>1</v>
      </c>
      <c r="R649" s="5">
        <v>46163</v>
      </c>
      <c r="S649" s="8">
        <f t="shared" si="82"/>
        <v>109.89010989010988</v>
      </c>
      <c r="T649">
        <f t="shared" si="83"/>
        <v>600000</v>
      </c>
      <c r="U649" t="str">
        <f t="shared" si="84"/>
        <v>Mid</v>
      </c>
      <c r="V649" t="str">
        <f t="shared" si="85"/>
        <v>Compact</v>
      </c>
      <c r="W649" t="str">
        <f>IF(S649 &lt; VLOOKUP(E649, Locality_Tier_Benchmarks!A:B, 2, FALSE) * 0.7, "Below Tier Range", "Normal")</f>
        <v>Normal</v>
      </c>
      <c r="X649" t="str">
        <f t="shared" si="86"/>
        <v>Normal</v>
      </c>
      <c r="Y649" t="str">
        <f t="shared" si="87"/>
        <v>Normal</v>
      </c>
      <c r="Z649" t="str">
        <f t="shared" si="80"/>
        <v>Pass</v>
      </c>
    </row>
    <row r="650" spans="1:26" x14ac:dyDescent="0.25">
      <c r="A650" s="2" t="s">
        <v>1052</v>
      </c>
      <c r="B650" t="s">
        <v>17</v>
      </c>
      <c r="C650" t="s">
        <v>487</v>
      </c>
      <c r="D650" s="2" t="str">
        <f>VLOOKUP(C650,Locality_Reference!A:C,2,)</f>
        <v>Central Line</v>
      </c>
      <c r="E650" s="2" t="str">
        <f>VLOOKUP(C650,Locality_Reference!A:C,3,)</f>
        <v>Premium/South</v>
      </c>
      <c r="F650" s="2" t="s">
        <v>1396</v>
      </c>
      <c r="G650" s="8">
        <v>121000</v>
      </c>
      <c r="H650">
        <v>2</v>
      </c>
      <c r="I650">
        <v>2</v>
      </c>
      <c r="J650">
        <v>22</v>
      </c>
      <c r="K650">
        <v>72</v>
      </c>
      <c r="L650">
        <v>784</v>
      </c>
      <c r="M650" t="s">
        <v>33</v>
      </c>
      <c r="N650" t="s">
        <v>29</v>
      </c>
      <c r="O650" t="s">
        <v>16</v>
      </c>
      <c r="P650" t="s">
        <v>31</v>
      </c>
      <c r="Q650" t="str">
        <f t="shared" si="81"/>
        <v>3</v>
      </c>
      <c r="R650" s="5">
        <v>46199</v>
      </c>
      <c r="S650" s="8">
        <f t="shared" si="82"/>
        <v>154.33673469387756</v>
      </c>
      <c r="T650">
        <f t="shared" si="83"/>
        <v>1452000</v>
      </c>
      <c r="U650" t="str">
        <f t="shared" si="84"/>
        <v>Luxury</v>
      </c>
      <c r="V650" t="str">
        <f t="shared" si="85"/>
        <v>Medium</v>
      </c>
      <c r="W650" t="str">
        <f>IF(S650 &lt; VLOOKUP(E650, Locality_Tier_Benchmarks!A:B, 2, FALSE) * 0.7, "Below Tier Range", "Normal")</f>
        <v>Normal</v>
      </c>
      <c r="X650" t="str">
        <f t="shared" si="86"/>
        <v>Normal</v>
      </c>
      <c r="Y650" t="str">
        <f t="shared" si="87"/>
        <v>Normal</v>
      </c>
      <c r="Z650" t="str">
        <f t="shared" si="80"/>
        <v>Pass</v>
      </c>
    </row>
    <row r="651" spans="1:26" x14ac:dyDescent="0.25">
      <c r="A651" s="2" t="s">
        <v>1053</v>
      </c>
      <c r="B651" t="s">
        <v>17</v>
      </c>
      <c r="C651" t="s">
        <v>487</v>
      </c>
      <c r="D651" s="2" t="str">
        <f>VLOOKUP(C651,Locality_Reference!A:C,2,)</f>
        <v>Central Line</v>
      </c>
      <c r="E651" s="2" t="str">
        <f>VLOOKUP(C651,Locality_Reference!A:C,3,)</f>
        <v>Premium/South</v>
      </c>
      <c r="F651" s="2" t="s">
        <v>1399</v>
      </c>
      <c r="G651" s="8">
        <v>130000</v>
      </c>
      <c r="H651">
        <v>2</v>
      </c>
      <c r="I651">
        <v>2</v>
      </c>
      <c r="J651">
        <v>29</v>
      </c>
      <c r="K651">
        <v>64</v>
      </c>
      <c r="L651">
        <v>900</v>
      </c>
      <c r="M651" t="s">
        <v>36</v>
      </c>
      <c r="N651" t="s">
        <v>15</v>
      </c>
      <c r="O651" t="s">
        <v>16</v>
      </c>
      <c r="P651" t="s">
        <v>34</v>
      </c>
      <c r="Q651" t="str">
        <f t="shared" si="81"/>
        <v/>
      </c>
      <c r="R651" s="5">
        <v>46182</v>
      </c>
      <c r="S651" s="8">
        <f t="shared" si="82"/>
        <v>144.44444444444446</v>
      </c>
      <c r="T651">
        <f t="shared" si="83"/>
        <v>1560000</v>
      </c>
      <c r="U651" t="str">
        <f t="shared" si="84"/>
        <v>Luxury</v>
      </c>
      <c r="V651" t="str">
        <f t="shared" si="85"/>
        <v>Large</v>
      </c>
      <c r="W651" t="str">
        <f>IF(S651 &lt; VLOOKUP(E651, Locality_Tier_Benchmarks!A:B, 2, FALSE) * 0.7, "Below Tier Range", "Normal")</f>
        <v>Normal</v>
      </c>
      <c r="X651" t="str">
        <f t="shared" si="86"/>
        <v>Normal</v>
      </c>
      <c r="Y651" t="str">
        <f t="shared" si="87"/>
        <v>Normal</v>
      </c>
      <c r="Z651" t="str">
        <f t="shared" si="80"/>
        <v>Pass</v>
      </c>
    </row>
    <row r="652" spans="1:26" x14ac:dyDescent="0.25">
      <c r="A652" s="2" t="s">
        <v>1054</v>
      </c>
      <c r="B652" t="s">
        <v>17</v>
      </c>
      <c r="C652" t="s">
        <v>487</v>
      </c>
      <c r="D652" s="2" t="str">
        <f>VLOOKUP(C652,Locality_Reference!A:C,2,)</f>
        <v>Central Line</v>
      </c>
      <c r="E652" s="2" t="str">
        <f>VLOOKUP(C652,Locality_Reference!A:C,3,)</f>
        <v>Premium/South</v>
      </c>
      <c r="F652" s="2" t="s">
        <v>1398</v>
      </c>
      <c r="G652" s="8">
        <v>115000</v>
      </c>
      <c r="H652">
        <v>2</v>
      </c>
      <c r="I652">
        <v>2</v>
      </c>
      <c r="J652">
        <v>17</v>
      </c>
      <c r="K652">
        <v>23</v>
      </c>
      <c r="L652">
        <v>630</v>
      </c>
      <c r="M652" t="s">
        <v>14</v>
      </c>
      <c r="N652" t="s">
        <v>29</v>
      </c>
      <c r="O652" t="s">
        <v>16</v>
      </c>
      <c r="P652" t="s">
        <v>34</v>
      </c>
      <c r="Q652" t="str">
        <f t="shared" si="81"/>
        <v/>
      </c>
      <c r="R652" s="5">
        <v>46189</v>
      </c>
      <c r="S652" s="8">
        <f t="shared" si="82"/>
        <v>182.53968253968253</v>
      </c>
      <c r="T652">
        <f t="shared" si="83"/>
        <v>1380000</v>
      </c>
      <c r="U652" t="str">
        <f t="shared" si="84"/>
        <v>Luxury</v>
      </c>
      <c r="V652" t="str">
        <f t="shared" si="85"/>
        <v>Medium</v>
      </c>
      <c r="W652" t="str">
        <f>IF(S652 &lt; VLOOKUP(E652, Locality_Tier_Benchmarks!A:B, 2, FALSE) * 0.7, "Below Tier Range", "Normal")</f>
        <v>Normal</v>
      </c>
      <c r="X652" t="str">
        <f t="shared" si="86"/>
        <v>Normal</v>
      </c>
      <c r="Y652" t="str">
        <f t="shared" si="87"/>
        <v>Normal</v>
      </c>
      <c r="Z652" t="str">
        <f t="shared" si="80"/>
        <v>Pass</v>
      </c>
    </row>
    <row r="653" spans="1:26" x14ac:dyDescent="0.25">
      <c r="A653" s="2" t="s">
        <v>1055</v>
      </c>
      <c r="B653" t="s">
        <v>17</v>
      </c>
      <c r="C653" t="s">
        <v>487</v>
      </c>
      <c r="D653" s="2" t="str">
        <f>VLOOKUP(C653,Locality_Reference!A:C,2,)</f>
        <v>Central Line</v>
      </c>
      <c r="E653" s="2" t="str">
        <f>VLOOKUP(C653,Locality_Reference!A:C,3,)</f>
        <v>Premium/South</v>
      </c>
      <c r="F653" s="2" t="s">
        <v>1395</v>
      </c>
      <c r="G653" s="8">
        <v>80000</v>
      </c>
      <c r="H653">
        <v>2</v>
      </c>
      <c r="I653">
        <v>2</v>
      </c>
      <c r="J653">
        <v>6</v>
      </c>
      <c r="K653">
        <v>23</v>
      </c>
      <c r="L653">
        <v>700</v>
      </c>
      <c r="M653" t="s">
        <v>14</v>
      </c>
      <c r="N653" t="s">
        <v>29</v>
      </c>
      <c r="O653" t="s">
        <v>16</v>
      </c>
      <c r="P653" t="s">
        <v>34</v>
      </c>
      <c r="Q653" t="str">
        <f t="shared" si="81"/>
        <v/>
      </c>
      <c r="R653" s="5">
        <v>46153</v>
      </c>
      <c r="S653" s="8">
        <f t="shared" si="82"/>
        <v>114.28571428571429</v>
      </c>
      <c r="T653">
        <f t="shared" si="83"/>
        <v>960000</v>
      </c>
      <c r="U653" t="str">
        <f t="shared" si="84"/>
        <v>Premium</v>
      </c>
      <c r="V653" t="str">
        <f t="shared" si="85"/>
        <v>Medium</v>
      </c>
      <c r="W653" t="str">
        <f>IF(S653 &lt; VLOOKUP(E653, Locality_Tier_Benchmarks!A:B, 2, FALSE) * 0.7, "Below Tier Range", "Normal")</f>
        <v>Normal</v>
      </c>
      <c r="X653" t="str">
        <f t="shared" si="86"/>
        <v>Normal</v>
      </c>
      <c r="Y653" t="str">
        <f t="shared" si="87"/>
        <v>Normal</v>
      </c>
      <c r="Z653" t="str">
        <f t="shared" si="80"/>
        <v>Pass</v>
      </c>
    </row>
    <row r="654" spans="1:26" x14ac:dyDescent="0.25">
      <c r="A654" s="2" t="s">
        <v>1056</v>
      </c>
      <c r="B654" t="s">
        <v>17</v>
      </c>
      <c r="C654" t="s">
        <v>487</v>
      </c>
      <c r="D654" s="2" t="str">
        <f>VLOOKUP(C654,Locality_Reference!A:C,2,)</f>
        <v>Central Line</v>
      </c>
      <c r="E654" s="2" t="str">
        <f>VLOOKUP(C654,Locality_Reference!A:C,3,)</f>
        <v>Premium/South</v>
      </c>
      <c r="F654" s="2" t="s">
        <v>1400</v>
      </c>
      <c r="G654" s="8">
        <v>90000</v>
      </c>
      <c r="H654">
        <v>2</v>
      </c>
      <c r="I654">
        <v>2</v>
      </c>
      <c r="J654">
        <v>16</v>
      </c>
      <c r="K654">
        <v>21</v>
      </c>
      <c r="L654">
        <v>650</v>
      </c>
      <c r="M654" t="s">
        <v>33</v>
      </c>
      <c r="N654" t="s">
        <v>15</v>
      </c>
      <c r="O654" t="s">
        <v>16</v>
      </c>
      <c r="P654" t="s">
        <v>34</v>
      </c>
      <c r="Q654" t="str">
        <f t="shared" si="81"/>
        <v/>
      </c>
      <c r="R654" s="5">
        <v>46193</v>
      </c>
      <c r="S654" s="8">
        <f t="shared" si="82"/>
        <v>138.46153846153845</v>
      </c>
      <c r="T654">
        <f t="shared" si="83"/>
        <v>1080000</v>
      </c>
      <c r="U654" t="str">
        <f t="shared" si="84"/>
        <v>Premium</v>
      </c>
      <c r="V654" t="str">
        <f t="shared" si="85"/>
        <v>Medium</v>
      </c>
      <c r="W654" t="str">
        <f>IF(S654 &lt; VLOOKUP(E654, Locality_Tier_Benchmarks!A:B, 2, FALSE) * 0.7, "Below Tier Range", "Normal")</f>
        <v>Normal</v>
      </c>
      <c r="X654" t="str">
        <f t="shared" si="86"/>
        <v>Normal</v>
      </c>
      <c r="Y654" t="str">
        <f t="shared" si="87"/>
        <v>Normal</v>
      </c>
      <c r="Z654" t="str">
        <f t="shared" si="80"/>
        <v>Pass</v>
      </c>
    </row>
    <row r="655" spans="1:26" x14ac:dyDescent="0.25">
      <c r="A655" s="2" t="s">
        <v>1057</v>
      </c>
      <c r="B655" t="s">
        <v>17</v>
      </c>
      <c r="C655" t="s">
        <v>487</v>
      </c>
      <c r="D655" s="2" t="str">
        <f>VLOOKUP(C655,Locality_Reference!A:C,2,)</f>
        <v>Central Line</v>
      </c>
      <c r="E655" s="2" t="str">
        <f>VLOOKUP(C655,Locality_Reference!A:C,3,)</f>
        <v>Premium/South</v>
      </c>
      <c r="F655" s="2" t="s">
        <v>1401</v>
      </c>
      <c r="G655" s="8">
        <v>145000</v>
      </c>
      <c r="H655">
        <v>3</v>
      </c>
      <c r="I655">
        <v>4</v>
      </c>
      <c r="J655">
        <v>6</v>
      </c>
      <c r="K655">
        <v>20</v>
      </c>
      <c r="L655">
        <v>1250</v>
      </c>
      <c r="M655" t="s">
        <v>36</v>
      </c>
      <c r="N655" t="s">
        <v>29</v>
      </c>
      <c r="O655" t="s">
        <v>16</v>
      </c>
      <c r="P655" t="s">
        <v>23</v>
      </c>
      <c r="Q655" t="str">
        <f t="shared" si="81"/>
        <v>10</v>
      </c>
      <c r="R655" s="5">
        <v>46174</v>
      </c>
      <c r="S655" s="8">
        <f t="shared" si="82"/>
        <v>116</v>
      </c>
      <c r="T655">
        <f t="shared" si="83"/>
        <v>1740000</v>
      </c>
      <c r="U655" t="str">
        <f t="shared" si="84"/>
        <v>Luxury</v>
      </c>
      <c r="V655" t="str">
        <f t="shared" si="85"/>
        <v>Spacious</v>
      </c>
      <c r="W655" t="str">
        <f>IF(S655 &lt; VLOOKUP(E655, Locality_Tier_Benchmarks!A:B, 2, FALSE) * 0.7, "Below Tier Range", "Normal")</f>
        <v>Normal</v>
      </c>
      <c r="X655" t="str">
        <f t="shared" si="86"/>
        <v>Normal</v>
      </c>
      <c r="Y655" t="str">
        <f t="shared" si="87"/>
        <v>Normal</v>
      </c>
      <c r="Z655" t="str">
        <f t="shared" si="80"/>
        <v>Pass</v>
      </c>
    </row>
    <row r="656" spans="1:26" x14ac:dyDescent="0.25">
      <c r="A656" s="2" t="s">
        <v>1058</v>
      </c>
      <c r="B656" t="s">
        <v>17</v>
      </c>
      <c r="C656" t="s">
        <v>487</v>
      </c>
      <c r="D656" s="2" t="str">
        <f>VLOOKUP(C656,Locality_Reference!A:C,2,)</f>
        <v>Central Line</v>
      </c>
      <c r="E656" s="2" t="str">
        <f>VLOOKUP(C656,Locality_Reference!A:C,3,)</f>
        <v>Premium/South</v>
      </c>
      <c r="F656" s="2" t="s">
        <v>1396</v>
      </c>
      <c r="G656" s="8">
        <v>200000</v>
      </c>
      <c r="H656">
        <v>3</v>
      </c>
      <c r="I656">
        <v>3</v>
      </c>
      <c r="J656">
        <v>21</v>
      </c>
      <c r="K656">
        <v>72</v>
      </c>
      <c r="L656">
        <v>1223</v>
      </c>
      <c r="M656" t="s">
        <v>36</v>
      </c>
      <c r="N656" t="s">
        <v>29</v>
      </c>
      <c r="O656" t="s">
        <v>16</v>
      </c>
      <c r="P656" t="s">
        <v>31</v>
      </c>
      <c r="Q656" t="str">
        <f t="shared" si="81"/>
        <v>3</v>
      </c>
      <c r="R656" s="5">
        <v>46196</v>
      </c>
      <c r="S656" s="8">
        <f t="shared" si="82"/>
        <v>163.53229762878169</v>
      </c>
      <c r="T656">
        <f t="shared" si="83"/>
        <v>2400000</v>
      </c>
      <c r="U656" t="str">
        <f t="shared" si="84"/>
        <v>Luxury</v>
      </c>
      <c r="V656" t="str">
        <f t="shared" si="85"/>
        <v>Spacious</v>
      </c>
      <c r="W656" t="str">
        <f>IF(S656 &lt; VLOOKUP(E656, Locality_Tier_Benchmarks!A:B, 2, FALSE) * 0.7, "Below Tier Range", "Normal")</f>
        <v>Normal</v>
      </c>
      <c r="X656" t="str">
        <f t="shared" si="86"/>
        <v>Normal</v>
      </c>
      <c r="Y656" t="str">
        <f t="shared" si="87"/>
        <v>Normal</v>
      </c>
      <c r="Z656" t="str">
        <f t="shared" si="80"/>
        <v>Pass</v>
      </c>
    </row>
    <row r="657" spans="1:26" x14ac:dyDescent="0.25">
      <c r="A657" s="2" t="s">
        <v>1059</v>
      </c>
      <c r="B657" t="s">
        <v>17</v>
      </c>
      <c r="C657" t="s">
        <v>487</v>
      </c>
      <c r="D657" s="2" t="str">
        <f>VLOOKUP(C657,Locality_Reference!A:C,2,)</f>
        <v>Central Line</v>
      </c>
      <c r="E657" s="2" t="str">
        <f>VLOOKUP(C657,Locality_Reference!A:C,3,)</f>
        <v>Premium/South</v>
      </c>
      <c r="F657" s="2" t="s">
        <v>1399</v>
      </c>
      <c r="G657" s="8">
        <v>255000</v>
      </c>
      <c r="H657">
        <v>3</v>
      </c>
      <c r="I657">
        <v>4</v>
      </c>
      <c r="J657">
        <v>21</v>
      </c>
      <c r="K657">
        <v>64</v>
      </c>
      <c r="L657">
        <v>1464</v>
      </c>
      <c r="M657" t="s">
        <v>14</v>
      </c>
      <c r="N657" t="s">
        <v>29</v>
      </c>
      <c r="O657" t="s">
        <v>16</v>
      </c>
      <c r="P657" t="s">
        <v>31</v>
      </c>
      <c r="Q657" t="str">
        <f t="shared" si="81"/>
        <v>3</v>
      </c>
      <c r="R657" s="5">
        <v>46164</v>
      </c>
      <c r="S657" s="8">
        <f t="shared" si="82"/>
        <v>174.18032786885246</v>
      </c>
      <c r="T657">
        <f t="shared" si="83"/>
        <v>3060000</v>
      </c>
      <c r="U657" t="str">
        <f t="shared" si="84"/>
        <v>Luxury</v>
      </c>
      <c r="V657" t="str">
        <f t="shared" si="85"/>
        <v>Spacious</v>
      </c>
      <c r="W657" t="str">
        <f>IF(S657 &lt; VLOOKUP(E657, Locality_Tier_Benchmarks!A:B, 2, FALSE) * 0.7, "Below Tier Range", "Normal")</f>
        <v>Normal</v>
      </c>
      <c r="X657" t="str">
        <f t="shared" si="86"/>
        <v>Normal</v>
      </c>
      <c r="Y657" t="str">
        <f t="shared" si="87"/>
        <v>Normal</v>
      </c>
      <c r="Z657" t="str">
        <f t="shared" si="80"/>
        <v>Pass</v>
      </c>
    </row>
    <row r="658" spans="1:26" x14ac:dyDescent="0.25">
      <c r="A658" s="2" t="s">
        <v>1060</v>
      </c>
      <c r="B658" t="s">
        <v>17</v>
      </c>
      <c r="C658" t="s">
        <v>487</v>
      </c>
      <c r="D658" s="2" t="str">
        <f>VLOOKUP(C658,Locality_Reference!A:C,2,)</f>
        <v>Central Line</v>
      </c>
      <c r="E658" s="2" t="str">
        <f>VLOOKUP(C658,Locality_Reference!A:C,3,)</f>
        <v>Premium/South</v>
      </c>
      <c r="F658" s="2" t="s">
        <v>1402</v>
      </c>
      <c r="G658" s="8">
        <v>190000</v>
      </c>
      <c r="H658">
        <v>3</v>
      </c>
      <c r="I658">
        <v>3</v>
      </c>
      <c r="J658">
        <v>29</v>
      </c>
      <c r="K658">
        <v>71</v>
      </c>
      <c r="L658">
        <v>1191</v>
      </c>
      <c r="M658" t="s">
        <v>36</v>
      </c>
      <c r="N658" t="s">
        <v>15</v>
      </c>
      <c r="O658" t="s">
        <v>16</v>
      </c>
      <c r="P658" t="s">
        <v>31</v>
      </c>
      <c r="Q658" t="str">
        <f t="shared" si="81"/>
        <v>3</v>
      </c>
      <c r="R658" s="5">
        <v>46199</v>
      </c>
      <c r="S658" s="8">
        <f t="shared" si="82"/>
        <v>159.52980688497061</v>
      </c>
      <c r="T658">
        <f t="shared" si="83"/>
        <v>2280000</v>
      </c>
      <c r="U658" t="str">
        <f t="shared" si="84"/>
        <v>Luxury</v>
      </c>
      <c r="V658" t="str">
        <f t="shared" si="85"/>
        <v>Large</v>
      </c>
      <c r="W658" t="str">
        <f>IF(S658 &lt; VLOOKUP(E658, Locality_Tier_Benchmarks!A:B, 2, FALSE) * 0.7, "Below Tier Range", "Normal")</f>
        <v>Normal</v>
      </c>
      <c r="X658" t="str">
        <f t="shared" si="86"/>
        <v>Normal</v>
      </c>
      <c r="Y658" t="str">
        <f t="shared" si="87"/>
        <v>Normal</v>
      </c>
      <c r="Z658" t="str">
        <f t="shared" si="80"/>
        <v>Pass</v>
      </c>
    </row>
    <row r="659" spans="1:26" x14ac:dyDescent="0.25">
      <c r="A659" s="2" t="s">
        <v>1061</v>
      </c>
      <c r="B659" t="s">
        <v>17</v>
      </c>
      <c r="C659" t="s">
        <v>487</v>
      </c>
      <c r="D659" s="2" t="str">
        <f>VLOOKUP(C659,Locality_Reference!A:C,2,)</f>
        <v>Central Line</v>
      </c>
      <c r="E659" s="2" t="str">
        <f>VLOOKUP(C659,Locality_Reference!A:C,3,)</f>
        <v>Premium/South</v>
      </c>
      <c r="F659" s="2" t="s">
        <v>1403</v>
      </c>
      <c r="G659" s="8">
        <v>130000</v>
      </c>
      <c r="H659">
        <v>3</v>
      </c>
      <c r="I659">
        <v>3</v>
      </c>
      <c r="J659">
        <v>14</v>
      </c>
      <c r="K659">
        <v>20</v>
      </c>
      <c r="L659">
        <v>1000</v>
      </c>
      <c r="M659" t="s">
        <v>36</v>
      </c>
      <c r="N659" t="s">
        <v>15</v>
      </c>
      <c r="O659" t="s">
        <v>16</v>
      </c>
      <c r="P659" t="s">
        <v>47</v>
      </c>
      <c r="Q659" t="str">
        <f t="shared" si="81"/>
        <v>1</v>
      </c>
      <c r="R659" s="5">
        <v>46160</v>
      </c>
      <c r="S659" s="8">
        <f t="shared" si="82"/>
        <v>130</v>
      </c>
      <c r="T659">
        <f t="shared" si="83"/>
        <v>1560000</v>
      </c>
      <c r="U659" t="str">
        <f t="shared" si="84"/>
        <v>Luxury</v>
      </c>
      <c r="V659" t="str">
        <f t="shared" si="85"/>
        <v>Large</v>
      </c>
      <c r="W659" t="str">
        <f>IF(S659 &lt; VLOOKUP(E659, Locality_Tier_Benchmarks!A:B, 2, FALSE) * 0.7, "Below Tier Range", "Normal")</f>
        <v>Normal</v>
      </c>
      <c r="X659" t="str">
        <f t="shared" si="86"/>
        <v>Normal</v>
      </c>
      <c r="Y659" t="str">
        <f t="shared" si="87"/>
        <v>Normal</v>
      </c>
      <c r="Z659" t="str">
        <f t="shared" si="80"/>
        <v>Pass</v>
      </c>
    </row>
    <row r="660" spans="1:26" x14ac:dyDescent="0.25">
      <c r="A660" s="2" t="s">
        <v>1062</v>
      </c>
      <c r="B660" t="s">
        <v>17</v>
      </c>
      <c r="C660" t="s">
        <v>488</v>
      </c>
      <c r="D660" s="2" t="str">
        <f>VLOOKUP(C660,Locality_Reference!A:C,2,)</f>
        <v>Central Line</v>
      </c>
      <c r="E660" s="2" t="str">
        <f>VLOOKUP(C660,Locality_Reference!A:C,3,)</f>
        <v>Premium/South</v>
      </c>
      <c r="F660" s="2" t="s">
        <v>1404</v>
      </c>
      <c r="G660" s="8">
        <v>55000</v>
      </c>
      <c r="H660">
        <v>1</v>
      </c>
      <c r="I660">
        <v>1</v>
      </c>
      <c r="J660">
        <v>18</v>
      </c>
      <c r="K660">
        <v>25</v>
      </c>
      <c r="L660">
        <v>450</v>
      </c>
      <c r="M660" t="s">
        <v>33</v>
      </c>
      <c r="N660" t="s">
        <v>29</v>
      </c>
      <c r="O660" t="s">
        <v>16</v>
      </c>
      <c r="P660" t="s">
        <v>31</v>
      </c>
      <c r="Q660" t="str">
        <f t="shared" si="81"/>
        <v>3</v>
      </c>
      <c r="R660" s="5">
        <v>46198</v>
      </c>
      <c r="S660" s="8">
        <f t="shared" si="82"/>
        <v>122.22222222222223</v>
      </c>
      <c r="T660">
        <f t="shared" si="83"/>
        <v>660000</v>
      </c>
      <c r="U660" t="str">
        <f t="shared" si="84"/>
        <v>Mid</v>
      </c>
      <c r="V660" t="str">
        <f t="shared" si="85"/>
        <v>Compact</v>
      </c>
      <c r="W660" t="str">
        <f>IF(S660 &lt; VLOOKUP(E660, Locality_Tier_Benchmarks!A:B, 2, FALSE) * 0.7, "Below Tier Range", "Normal")</f>
        <v>Normal</v>
      </c>
      <c r="X660" t="str">
        <f t="shared" si="86"/>
        <v>Normal</v>
      </c>
      <c r="Y660" t="str">
        <f t="shared" si="87"/>
        <v>Normal</v>
      </c>
      <c r="Z660" t="str">
        <f t="shared" si="80"/>
        <v>Pass</v>
      </c>
    </row>
    <row r="661" spans="1:26" x14ac:dyDescent="0.25">
      <c r="A661" s="2" t="s">
        <v>1063</v>
      </c>
      <c r="B661" t="s">
        <v>17</v>
      </c>
      <c r="C661" t="s">
        <v>488</v>
      </c>
      <c r="D661" s="2" t="str">
        <f>VLOOKUP(C661,Locality_Reference!A:C,2,)</f>
        <v>Central Line</v>
      </c>
      <c r="E661" s="2" t="str">
        <f>VLOOKUP(C661,Locality_Reference!A:C,3,)</f>
        <v>Premium/South</v>
      </c>
      <c r="F661" s="2" t="s">
        <v>1452</v>
      </c>
      <c r="G661" s="8">
        <v>65000</v>
      </c>
      <c r="H661">
        <v>1</v>
      </c>
      <c r="I661">
        <v>2</v>
      </c>
      <c r="J661">
        <v>11</v>
      </c>
      <c r="K661">
        <v>20</v>
      </c>
      <c r="L661">
        <v>500</v>
      </c>
      <c r="M661" t="s">
        <v>33</v>
      </c>
      <c r="N661" t="s">
        <v>29</v>
      </c>
      <c r="O661" t="s">
        <v>16</v>
      </c>
      <c r="P661" t="s">
        <v>34</v>
      </c>
      <c r="Q661" t="str">
        <f t="shared" si="81"/>
        <v/>
      </c>
      <c r="R661" s="5">
        <v>46199</v>
      </c>
      <c r="S661" s="8">
        <f t="shared" si="82"/>
        <v>130</v>
      </c>
      <c r="T661">
        <f t="shared" si="83"/>
        <v>780000</v>
      </c>
      <c r="U661" t="str">
        <f t="shared" si="84"/>
        <v>Premium</v>
      </c>
      <c r="V661" t="str">
        <f t="shared" si="85"/>
        <v>Compact</v>
      </c>
      <c r="W661" t="str">
        <f>IF(S661 &lt; VLOOKUP(E661, Locality_Tier_Benchmarks!A:B, 2, FALSE) * 0.7, "Below Tier Range", "Normal")</f>
        <v>Normal</v>
      </c>
      <c r="X661" t="str">
        <f t="shared" si="86"/>
        <v>Normal</v>
      </c>
      <c r="Y661" t="str">
        <f t="shared" si="87"/>
        <v>Normal</v>
      </c>
      <c r="Z661" t="str">
        <f t="shared" si="80"/>
        <v>Pass</v>
      </c>
    </row>
    <row r="662" spans="1:26" x14ac:dyDescent="0.25">
      <c r="A662" s="2" t="s">
        <v>1064</v>
      </c>
      <c r="B662" t="s">
        <v>17</v>
      </c>
      <c r="C662" t="s">
        <v>488</v>
      </c>
      <c r="D662" s="2" t="str">
        <f>VLOOKUP(C662,Locality_Reference!A:C,2,)</f>
        <v>Central Line</v>
      </c>
      <c r="E662" s="2" t="str">
        <f>VLOOKUP(C662,Locality_Reference!A:C,3,)</f>
        <v>Premium/South</v>
      </c>
      <c r="F662" s="2" t="s">
        <v>1453</v>
      </c>
      <c r="G662" s="8">
        <v>50000</v>
      </c>
      <c r="H662">
        <v>1</v>
      </c>
      <c r="I662">
        <v>1</v>
      </c>
      <c r="J662">
        <v>11</v>
      </c>
      <c r="K662">
        <v>23</v>
      </c>
      <c r="L662">
        <v>400</v>
      </c>
      <c r="M662" t="s">
        <v>33</v>
      </c>
      <c r="N662" t="s">
        <v>29</v>
      </c>
      <c r="O662" t="s">
        <v>16</v>
      </c>
      <c r="P662" t="s">
        <v>52</v>
      </c>
      <c r="Q662" t="str">
        <f t="shared" si="81"/>
        <v>7.5</v>
      </c>
      <c r="R662" s="5">
        <v>46198</v>
      </c>
      <c r="S662" s="8">
        <f t="shared" si="82"/>
        <v>125</v>
      </c>
      <c r="T662">
        <f t="shared" si="83"/>
        <v>600000</v>
      </c>
      <c r="U662" t="str">
        <f t="shared" si="84"/>
        <v>Mid</v>
      </c>
      <c r="V662" t="str">
        <f t="shared" si="85"/>
        <v>Compact</v>
      </c>
      <c r="W662" t="str">
        <f>IF(S662 &lt; VLOOKUP(E662, Locality_Tier_Benchmarks!A:B, 2, FALSE) * 0.7, "Below Tier Range", "Normal")</f>
        <v>Normal</v>
      </c>
      <c r="X662" t="str">
        <f t="shared" si="86"/>
        <v>Normal</v>
      </c>
      <c r="Y662" t="str">
        <f t="shared" si="87"/>
        <v>Normal</v>
      </c>
      <c r="Z662" t="str">
        <f t="shared" si="80"/>
        <v>Pass</v>
      </c>
    </row>
    <row r="663" spans="1:26" x14ac:dyDescent="0.25">
      <c r="A663" s="2" t="s">
        <v>1065</v>
      </c>
      <c r="B663" t="s">
        <v>17</v>
      </c>
      <c r="C663" t="s">
        <v>488</v>
      </c>
      <c r="D663" s="2" t="str">
        <f>VLOOKUP(C663,Locality_Reference!A:C,2,)</f>
        <v>Central Line</v>
      </c>
      <c r="E663" s="2" t="str">
        <f>VLOOKUP(C663,Locality_Reference!A:C,3,)</f>
        <v>Premium/South</v>
      </c>
      <c r="F663" s="2" t="s">
        <v>1454</v>
      </c>
      <c r="G663" s="8">
        <v>36000</v>
      </c>
      <c r="H663">
        <v>1</v>
      </c>
      <c r="I663">
        <v>1</v>
      </c>
      <c r="J663">
        <v>4</v>
      </c>
      <c r="K663">
        <v>7</v>
      </c>
      <c r="L663">
        <v>270</v>
      </c>
      <c r="M663" t="s">
        <v>33</v>
      </c>
      <c r="N663" t="s">
        <v>29</v>
      </c>
      <c r="O663" t="s">
        <v>16</v>
      </c>
      <c r="P663" t="s">
        <v>31</v>
      </c>
      <c r="Q663" t="str">
        <f t="shared" si="81"/>
        <v>3</v>
      </c>
      <c r="R663" s="5">
        <v>46202</v>
      </c>
      <c r="S663" s="8">
        <f t="shared" si="82"/>
        <v>133.33333333333334</v>
      </c>
      <c r="T663">
        <f t="shared" si="83"/>
        <v>432000</v>
      </c>
      <c r="U663" t="str">
        <f t="shared" si="84"/>
        <v>Mid</v>
      </c>
      <c r="V663" t="str">
        <f t="shared" si="85"/>
        <v>Compact</v>
      </c>
      <c r="W663" t="str">
        <f>IF(S663 &lt; VLOOKUP(E663, Locality_Tier_Benchmarks!A:B, 2, FALSE) * 0.7, "Below Tier Range", "Normal")</f>
        <v>Normal</v>
      </c>
      <c r="X663" t="str">
        <f t="shared" si="86"/>
        <v>Normal</v>
      </c>
      <c r="Y663" t="str">
        <f t="shared" si="87"/>
        <v>Normal</v>
      </c>
      <c r="Z663" t="str">
        <f t="shared" si="80"/>
        <v>Pass</v>
      </c>
    </row>
    <row r="664" spans="1:26" x14ac:dyDescent="0.25">
      <c r="A664" s="2" t="s">
        <v>1066</v>
      </c>
      <c r="B664" t="s">
        <v>17</v>
      </c>
      <c r="C664" t="s">
        <v>488</v>
      </c>
      <c r="D664" s="2" t="str">
        <f>VLOOKUP(C664,Locality_Reference!A:C,2,)</f>
        <v>Central Line</v>
      </c>
      <c r="E664" s="2" t="str">
        <f>VLOOKUP(C664,Locality_Reference!A:C,3,)</f>
        <v>Premium/South</v>
      </c>
      <c r="F664" s="2" t="s">
        <v>1455</v>
      </c>
      <c r="G664" s="8">
        <v>60000</v>
      </c>
      <c r="H664">
        <v>1</v>
      </c>
      <c r="I664">
        <v>1</v>
      </c>
      <c r="J664">
        <v>7</v>
      </c>
      <c r="K664">
        <v>13</v>
      </c>
      <c r="L664">
        <v>500</v>
      </c>
      <c r="M664" t="s">
        <v>14</v>
      </c>
      <c r="N664" t="s">
        <v>29</v>
      </c>
      <c r="O664" t="s">
        <v>16</v>
      </c>
      <c r="P664" t="s">
        <v>34</v>
      </c>
      <c r="Q664" t="str">
        <f t="shared" si="81"/>
        <v/>
      </c>
      <c r="R664" s="5">
        <v>46199</v>
      </c>
      <c r="S664" s="8">
        <f t="shared" si="82"/>
        <v>120</v>
      </c>
      <c r="T664">
        <f t="shared" si="83"/>
        <v>720000</v>
      </c>
      <c r="U664" t="str">
        <f t="shared" si="84"/>
        <v>Mid</v>
      </c>
      <c r="V664" t="str">
        <f t="shared" si="85"/>
        <v>Compact</v>
      </c>
      <c r="W664" t="str">
        <f>IF(S664 &lt; VLOOKUP(E664, Locality_Tier_Benchmarks!A:B, 2, FALSE) * 0.7, "Below Tier Range", "Normal")</f>
        <v>Normal</v>
      </c>
      <c r="X664" t="str">
        <f t="shared" si="86"/>
        <v>Normal</v>
      </c>
      <c r="Y664" t="str">
        <f t="shared" si="87"/>
        <v>Normal</v>
      </c>
      <c r="Z664" t="str">
        <f t="shared" si="80"/>
        <v>Pass</v>
      </c>
    </row>
    <row r="665" spans="1:26" x14ac:dyDescent="0.25">
      <c r="A665" s="2" t="s">
        <v>1067</v>
      </c>
      <c r="B665" t="s">
        <v>17</v>
      </c>
      <c r="C665" t="s">
        <v>488</v>
      </c>
      <c r="D665" s="2" t="str">
        <f>VLOOKUP(C665,Locality_Reference!A:C,2,)</f>
        <v>Central Line</v>
      </c>
      <c r="E665" s="2" t="str">
        <f>VLOOKUP(C665,Locality_Reference!A:C,3,)</f>
        <v>Premium/South</v>
      </c>
      <c r="F665" s="2" t="s">
        <v>1311</v>
      </c>
      <c r="G665" s="8">
        <v>140000</v>
      </c>
      <c r="H665">
        <v>2</v>
      </c>
      <c r="I665">
        <v>2</v>
      </c>
      <c r="J665">
        <v>2</v>
      </c>
      <c r="K665">
        <v>59</v>
      </c>
      <c r="L665">
        <v>956</v>
      </c>
      <c r="M665" t="s">
        <v>36</v>
      </c>
      <c r="N665" t="s">
        <v>29</v>
      </c>
      <c r="O665" t="s">
        <v>16</v>
      </c>
      <c r="P665" t="s">
        <v>31</v>
      </c>
      <c r="Q665" t="str">
        <f t="shared" si="81"/>
        <v>3</v>
      </c>
      <c r="R665" s="5">
        <v>46189</v>
      </c>
      <c r="S665" s="8">
        <f t="shared" si="82"/>
        <v>146.44351464435147</v>
      </c>
      <c r="T665">
        <f t="shared" si="83"/>
        <v>1680000</v>
      </c>
      <c r="U665" t="str">
        <f t="shared" si="84"/>
        <v>Luxury</v>
      </c>
      <c r="V665" t="str">
        <f t="shared" si="85"/>
        <v>Large</v>
      </c>
      <c r="W665" t="str">
        <f>IF(S665 &lt; VLOOKUP(E665, Locality_Tier_Benchmarks!A:B, 2, FALSE) * 0.7, "Below Tier Range", "Normal")</f>
        <v>Normal</v>
      </c>
      <c r="X665" t="str">
        <f t="shared" si="86"/>
        <v>Normal</v>
      </c>
      <c r="Y665" t="str">
        <f t="shared" si="87"/>
        <v>Normal</v>
      </c>
      <c r="Z665" t="str">
        <f t="shared" si="80"/>
        <v>Pass</v>
      </c>
    </row>
    <row r="666" spans="1:26" x14ac:dyDescent="0.25">
      <c r="A666" s="2" t="s">
        <v>1068</v>
      </c>
      <c r="B666" t="s">
        <v>17</v>
      </c>
      <c r="C666" t="s">
        <v>488</v>
      </c>
      <c r="D666" s="2" t="str">
        <f>VLOOKUP(C666,Locality_Reference!A:C,2,)</f>
        <v>Central Line</v>
      </c>
      <c r="E666" s="2" t="str">
        <f>VLOOKUP(C666,Locality_Reference!A:C,3,)</f>
        <v>Premium/South</v>
      </c>
      <c r="F666" s="2" t="s">
        <v>1456</v>
      </c>
      <c r="G666" s="8">
        <v>135000</v>
      </c>
      <c r="H666">
        <v>2</v>
      </c>
      <c r="I666">
        <v>2</v>
      </c>
      <c r="J666">
        <v>20</v>
      </c>
      <c r="K666">
        <v>34</v>
      </c>
      <c r="L666">
        <v>800</v>
      </c>
      <c r="M666" t="s">
        <v>14</v>
      </c>
      <c r="N666" t="s">
        <v>29</v>
      </c>
      <c r="O666" t="s">
        <v>16</v>
      </c>
      <c r="P666" t="s">
        <v>34</v>
      </c>
      <c r="Q666" t="str">
        <f t="shared" si="81"/>
        <v/>
      </c>
      <c r="R666" s="5">
        <v>46197</v>
      </c>
      <c r="S666" s="8">
        <f t="shared" si="82"/>
        <v>168.75</v>
      </c>
      <c r="T666">
        <f t="shared" si="83"/>
        <v>1620000</v>
      </c>
      <c r="U666" t="str">
        <f t="shared" si="84"/>
        <v>Luxury</v>
      </c>
      <c r="V666" t="str">
        <f t="shared" si="85"/>
        <v>Medium</v>
      </c>
      <c r="W666" t="str">
        <f>IF(S666 &lt; VLOOKUP(E666, Locality_Tier_Benchmarks!A:B, 2, FALSE) * 0.7, "Below Tier Range", "Normal")</f>
        <v>Normal</v>
      </c>
      <c r="X666" t="str">
        <f t="shared" si="86"/>
        <v>Normal</v>
      </c>
      <c r="Y666" t="str">
        <f t="shared" si="87"/>
        <v>Normal</v>
      </c>
      <c r="Z666" t="str">
        <f t="shared" si="80"/>
        <v>Pass</v>
      </c>
    </row>
    <row r="667" spans="1:26" x14ac:dyDescent="0.25">
      <c r="A667" s="2" t="s">
        <v>1069</v>
      </c>
      <c r="B667" t="s">
        <v>17</v>
      </c>
      <c r="C667" t="s">
        <v>488</v>
      </c>
      <c r="D667" s="2" t="str">
        <f>VLOOKUP(C667,Locality_Reference!A:C,2,)</f>
        <v>Central Line</v>
      </c>
      <c r="E667" s="2" t="str">
        <f>VLOOKUP(C667,Locality_Reference!A:C,3,)</f>
        <v>Premium/South</v>
      </c>
      <c r="F667" s="2" t="s">
        <v>1457</v>
      </c>
      <c r="G667" s="8">
        <v>120000</v>
      </c>
      <c r="H667">
        <v>2</v>
      </c>
      <c r="I667">
        <v>2</v>
      </c>
      <c r="J667">
        <v>64</v>
      </c>
      <c r="K667">
        <v>74</v>
      </c>
      <c r="L667">
        <v>750</v>
      </c>
      <c r="M667" t="s">
        <v>36</v>
      </c>
      <c r="N667" t="s">
        <v>15</v>
      </c>
      <c r="O667" t="s">
        <v>16</v>
      </c>
      <c r="P667" t="s">
        <v>34</v>
      </c>
      <c r="Q667" t="str">
        <f t="shared" si="81"/>
        <v/>
      </c>
      <c r="R667" s="5">
        <v>46188</v>
      </c>
      <c r="S667" s="8">
        <f t="shared" si="82"/>
        <v>160</v>
      </c>
      <c r="T667">
        <f t="shared" si="83"/>
        <v>1440000</v>
      </c>
      <c r="U667" t="str">
        <f t="shared" si="84"/>
        <v>Luxury</v>
      </c>
      <c r="V667" t="str">
        <f t="shared" si="85"/>
        <v>Medium</v>
      </c>
      <c r="W667" t="str">
        <f>IF(S667 &lt; VLOOKUP(E667, Locality_Tier_Benchmarks!A:B, 2, FALSE) * 0.7, "Below Tier Range", "Normal")</f>
        <v>Normal</v>
      </c>
      <c r="X667" t="str">
        <f t="shared" si="86"/>
        <v>Normal</v>
      </c>
      <c r="Y667" t="str">
        <f t="shared" si="87"/>
        <v>Normal</v>
      </c>
      <c r="Z667" t="str">
        <f t="shared" si="80"/>
        <v>Pass</v>
      </c>
    </row>
    <row r="668" spans="1:26" x14ac:dyDescent="0.25">
      <c r="A668" s="2" t="s">
        <v>1070</v>
      </c>
      <c r="B668" t="s">
        <v>17</v>
      </c>
      <c r="C668" t="s">
        <v>488</v>
      </c>
      <c r="D668" s="2" t="str">
        <f>VLOOKUP(C668,Locality_Reference!A:C,2,)</f>
        <v>Central Line</v>
      </c>
      <c r="E668" s="2" t="str">
        <f>VLOOKUP(C668,Locality_Reference!A:C,3,)</f>
        <v>Premium/South</v>
      </c>
      <c r="F668" s="2" t="s">
        <v>1458</v>
      </c>
      <c r="G668" s="8">
        <v>130000</v>
      </c>
      <c r="H668">
        <v>2</v>
      </c>
      <c r="I668">
        <v>2</v>
      </c>
      <c r="J668">
        <v>29</v>
      </c>
      <c r="K668">
        <v>65</v>
      </c>
      <c r="L668">
        <v>834</v>
      </c>
      <c r="M668" t="s">
        <v>33</v>
      </c>
      <c r="N668" t="s">
        <v>29</v>
      </c>
      <c r="O668" t="s">
        <v>16</v>
      </c>
      <c r="P668" t="s">
        <v>34</v>
      </c>
      <c r="Q668" t="str">
        <f t="shared" si="81"/>
        <v/>
      </c>
      <c r="R668" s="5">
        <v>46196</v>
      </c>
      <c r="S668" s="8">
        <f t="shared" si="82"/>
        <v>155.87529976019184</v>
      </c>
      <c r="T668">
        <f t="shared" si="83"/>
        <v>1560000</v>
      </c>
      <c r="U668" t="str">
        <f t="shared" si="84"/>
        <v>Luxury</v>
      </c>
      <c r="V668" t="str">
        <f t="shared" si="85"/>
        <v>Large</v>
      </c>
      <c r="W668" t="str">
        <f>IF(S668 &lt; VLOOKUP(E668, Locality_Tier_Benchmarks!A:B, 2, FALSE) * 0.7, "Below Tier Range", "Normal")</f>
        <v>Normal</v>
      </c>
      <c r="X668" t="str">
        <f t="shared" si="86"/>
        <v>Normal</v>
      </c>
      <c r="Y668" t="str">
        <f t="shared" si="87"/>
        <v>Normal</v>
      </c>
      <c r="Z668" t="str">
        <f t="shared" si="80"/>
        <v>Pass</v>
      </c>
    </row>
    <row r="669" spans="1:26" x14ac:dyDescent="0.25">
      <c r="A669" s="2" t="s">
        <v>1071</v>
      </c>
      <c r="B669" t="s">
        <v>17</v>
      </c>
      <c r="C669" t="s">
        <v>488</v>
      </c>
      <c r="D669" s="2" t="str">
        <f>VLOOKUP(C669,Locality_Reference!A:C,2,)</f>
        <v>Central Line</v>
      </c>
      <c r="E669" s="2" t="str">
        <f>VLOOKUP(C669,Locality_Reference!A:C,3,)</f>
        <v>Premium/South</v>
      </c>
      <c r="F669" s="2" t="s">
        <v>1459</v>
      </c>
      <c r="G669" s="8">
        <v>130000</v>
      </c>
      <c r="H669">
        <v>2</v>
      </c>
      <c r="I669">
        <v>2</v>
      </c>
      <c r="J669">
        <v>10</v>
      </c>
      <c r="K669">
        <v>50</v>
      </c>
      <c r="L669">
        <v>840</v>
      </c>
      <c r="M669" t="s">
        <v>36</v>
      </c>
      <c r="N669" t="s">
        <v>15</v>
      </c>
      <c r="O669" t="s">
        <v>16</v>
      </c>
      <c r="P669" t="s">
        <v>34</v>
      </c>
      <c r="Q669" t="str">
        <f t="shared" si="81"/>
        <v/>
      </c>
      <c r="R669" s="5">
        <v>46195</v>
      </c>
      <c r="S669" s="8">
        <f t="shared" si="82"/>
        <v>154.76190476190476</v>
      </c>
      <c r="T669">
        <f t="shared" si="83"/>
        <v>1560000</v>
      </c>
      <c r="U669" t="str">
        <f t="shared" si="84"/>
        <v>Luxury</v>
      </c>
      <c r="V669" t="str">
        <f t="shared" si="85"/>
        <v>Large</v>
      </c>
      <c r="W669" t="str">
        <f>IF(S669 &lt; VLOOKUP(E669, Locality_Tier_Benchmarks!A:B, 2, FALSE) * 0.7, "Below Tier Range", "Normal")</f>
        <v>Normal</v>
      </c>
      <c r="X669" t="str">
        <f t="shared" si="86"/>
        <v>Normal</v>
      </c>
      <c r="Y669" t="str">
        <f t="shared" si="87"/>
        <v>Normal</v>
      </c>
      <c r="Z669" t="str">
        <f t="shared" si="80"/>
        <v>Pass</v>
      </c>
    </row>
    <row r="670" spans="1:26" x14ac:dyDescent="0.25">
      <c r="A670" s="2" t="s">
        <v>1072</v>
      </c>
      <c r="B670" t="s">
        <v>17</v>
      </c>
      <c r="C670" t="s">
        <v>488</v>
      </c>
      <c r="D670" s="2" t="str">
        <f>VLOOKUP(C670,Locality_Reference!A:C,2,)</f>
        <v>Central Line</v>
      </c>
      <c r="E670" s="2" t="str">
        <f>VLOOKUP(C670,Locality_Reference!A:C,3,)</f>
        <v>Premium/South</v>
      </c>
      <c r="F670" s="2" t="s">
        <v>1458</v>
      </c>
      <c r="G670" s="8">
        <v>200000</v>
      </c>
      <c r="H670">
        <v>3</v>
      </c>
      <c r="I670">
        <v>4</v>
      </c>
      <c r="J670">
        <v>34</v>
      </c>
      <c r="K670">
        <v>65</v>
      </c>
      <c r="L670">
        <v>1273</v>
      </c>
      <c r="M670" t="s">
        <v>33</v>
      </c>
      <c r="N670" t="s">
        <v>15</v>
      </c>
      <c r="O670" t="s">
        <v>16</v>
      </c>
      <c r="P670" t="s">
        <v>47</v>
      </c>
      <c r="Q670" t="str">
        <f t="shared" si="81"/>
        <v>1</v>
      </c>
      <c r="R670" s="5">
        <v>46187</v>
      </c>
      <c r="S670" s="8">
        <f t="shared" si="82"/>
        <v>157.10919088766693</v>
      </c>
      <c r="T670">
        <f t="shared" si="83"/>
        <v>2400000</v>
      </c>
      <c r="U670" t="str">
        <f t="shared" si="84"/>
        <v>Luxury</v>
      </c>
      <c r="V670" t="str">
        <f t="shared" si="85"/>
        <v>Spacious</v>
      </c>
      <c r="W670" t="str">
        <f>IF(S670 &lt; VLOOKUP(E670, Locality_Tier_Benchmarks!A:B, 2, FALSE) * 0.7, "Below Tier Range", "Normal")</f>
        <v>Normal</v>
      </c>
      <c r="X670" t="str">
        <f t="shared" si="86"/>
        <v>Normal</v>
      </c>
      <c r="Y670" t="str">
        <f t="shared" si="87"/>
        <v>Normal</v>
      </c>
      <c r="Z670" t="str">
        <f t="shared" si="80"/>
        <v>Pass</v>
      </c>
    </row>
    <row r="671" spans="1:26" x14ac:dyDescent="0.25">
      <c r="A671" s="2" t="s">
        <v>1073</v>
      </c>
      <c r="B671" t="s">
        <v>17</v>
      </c>
      <c r="C671" t="s">
        <v>488</v>
      </c>
      <c r="D671" s="2" t="str">
        <f>VLOOKUP(C671,Locality_Reference!A:C,2,)</f>
        <v>Central Line</v>
      </c>
      <c r="E671" s="2" t="str">
        <f>VLOOKUP(C671,Locality_Reference!A:C,3,)</f>
        <v>Premium/South</v>
      </c>
      <c r="F671" s="2" t="s">
        <v>1311</v>
      </c>
      <c r="G671" s="8">
        <v>280000</v>
      </c>
      <c r="H671">
        <v>3</v>
      </c>
      <c r="I671">
        <v>3</v>
      </c>
      <c r="J671">
        <v>14</v>
      </c>
      <c r="K671">
        <v>53</v>
      </c>
      <c r="L671">
        <v>1600</v>
      </c>
      <c r="M671" t="s">
        <v>36</v>
      </c>
      <c r="N671" t="s">
        <v>29</v>
      </c>
      <c r="O671" t="s">
        <v>16</v>
      </c>
      <c r="P671" t="s">
        <v>34</v>
      </c>
      <c r="Q671" t="str">
        <f t="shared" si="81"/>
        <v/>
      </c>
      <c r="R671" s="5">
        <v>46173</v>
      </c>
      <c r="S671" s="8">
        <f t="shared" si="82"/>
        <v>175</v>
      </c>
      <c r="T671">
        <f t="shared" si="83"/>
        <v>3360000</v>
      </c>
      <c r="U671" t="str">
        <f t="shared" si="84"/>
        <v>Luxury</v>
      </c>
      <c r="V671" t="str">
        <f t="shared" si="85"/>
        <v>Spacious</v>
      </c>
      <c r="W671" t="str">
        <f>IF(S671 &lt; VLOOKUP(E671, Locality_Tier_Benchmarks!A:B, 2, FALSE) * 0.7, "Below Tier Range", "Normal")</f>
        <v>Normal</v>
      </c>
      <c r="X671" t="str">
        <f t="shared" si="86"/>
        <v>Normal</v>
      </c>
      <c r="Y671" t="str">
        <f t="shared" si="87"/>
        <v>Normal</v>
      </c>
      <c r="Z671" t="str">
        <f t="shared" si="80"/>
        <v>Pass</v>
      </c>
    </row>
    <row r="672" spans="1:26" x14ac:dyDescent="0.25">
      <c r="A672" s="2" t="s">
        <v>1074</v>
      </c>
      <c r="B672" t="s">
        <v>17</v>
      </c>
      <c r="C672" t="s">
        <v>488</v>
      </c>
      <c r="D672" s="2" t="str">
        <f>VLOOKUP(C672,Locality_Reference!A:C,2,)</f>
        <v>Central Line</v>
      </c>
      <c r="E672" s="2" t="str">
        <f>VLOOKUP(C672,Locality_Reference!A:C,3,)</f>
        <v>Premium/South</v>
      </c>
      <c r="F672" s="2" t="s">
        <v>1460</v>
      </c>
      <c r="G672" s="8">
        <v>800000</v>
      </c>
      <c r="H672">
        <v>3</v>
      </c>
      <c r="I672">
        <v>3</v>
      </c>
      <c r="J672">
        <v>1</v>
      </c>
      <c r="K672">
        <v>41</v>
      </c>
      <c r="L672">
        <v>3368</v>
      </c>
      <c r="M672" t="s">
        <v>36</v>
      </c>
      <c r="N672" t="s">
        <v>29</v>
      </c>
      <c r="O672" t="s">
        <v>16</v>
      </c>
      <c r="P672" t="s">
        <v>34</v>
      </c>
      <c r="Q672" t="str">
        <f t="shared" si="81"/>
        <v/>
      </c>
      <c r="R672" s="5">
        <v>46190</v>
      </c>
      <c r="S672" s="8">
        <f t="shared" si="82"/>
        <v>237.52969121140143</v>
      </c>
      <c r="T672">
        <f t="shared" si="83"/>
        <v>9600000</v>
      </c>
      <c r="U672" t="str">
        <f t="shared" si="84"/>
        <v>Luxury</v>
      </c>
      <c r="V672" t="str">
        <f t="shared" si="85"/>
        <v>Spacious</v>
      </c>
      <c r="W672" t="str">
        <f>IF(S672 &lt; VLOOKUP(E672, Locality_Tier_Benchmarks!A:B, 2, FALSE) * 0.7, "Below Tier Range", "Normal")</f>
        <v>Normal</v>
      </c>
      <c r="X672" t="str">
        <f t="shared" si="86"/>
        <v>Normal</v>
      </c>
      <c r="Y672" t="str">
        <f t="shared" si="87"/>
        <v>Normal</v>
      </c>
      <c r="Z672" t="str">
        <f t="shared" si="80"/>
        <v>Pass</v>
      </c>
    </row>
    <row r="673" spans="1:26" x14ac:dyDescent="0.25">
      <c r="A673" s="2" t="s">
        <v>1075</v>
      </c>
      <c r="B673" t="s">
        <v>17</v>
      </c>
      <c r="C673" t="s">
        <v>488</v>
      </c>
      <c r="D673" s="2" t="str">
        <f>VLOOKUP(C673,Locality_Reference!A:C,2,)</f>
        <v>Central Line</v>
      </c>
      <c r="E673" s="2" t="str">
        <f>VLOOKUP(C673,Locality_Reference!A:C,3,)</f>
        <v>Premium/South</v>
      </c>
      <c r="F673" s="2" t="s">
        <v>1459</v>
      </c>
      <c r="G673" s="8">
        <v>180000</v>
      </c>
      <c r="H673">
        <v>3</v>
      </c>
      <c r="I673">
        <v>3</v>
      </c>
      <c r="J673">
        <v>5</v>
      </c>
      <c r="K673">
        <v>50</v>
      </c>
      <c r="L673">
        <v>1207</v>
      </c>
      <c r="M673" t="s">
        <v>36</v>
      </c>
      <c r="N673" t="s">
        <v>15</v>
      </c>
      <c r="O673" t="s">
        <v>16</v>
      </c>
      <c r="P673" t="s">
        <v>34</v>
      </c>
      <c r="Q673" t="str">
        <f t="shared" si="81"/>
        <v/>
      </c>
      <c r="R673" s="5">
        <v>46181</v>
      </c>
      <c r="S673" s="8">
        <f t="shared" si="82"/>
        <v>149.13007456503729</v>
      </c>
      <c r="T673">
        <f t="shared" si="83"/>
        <v>2160000</v>
      </c>
      <c r="U673" t="str">
        <f t="shared" si="84"/>
        <v>Luxury</v>
      </c>
      <c r="V673" t="str">
        <f t="shared" si="85"/>
        <v>Spacious</v>
      </c>
      <c r="W673" t="str">
        <f>IF(S673 &lt; VLOOKUP(E673, Locality_Tier_Benchmarks!A:B, 2, FALSE) * 0.7, "Below Tier Range", "Normal")</f>
        <v>Normal</v>
      </c>
      <c r="X673" t="str">
        <f t="shared" si="86"/>
        <v>Normal</v>
      </c>
      <c r="Y673" t="str">
        <f t="shared" si="87"/>
        <v>Normal</v>
      </c>
      <c r="Z673" t="str">
        <f t="shared" si="80"/>
        <v>Pass</v>
      </c>
    </row>
    <row r="674" spans="1:26" x14ac:dyDescent="0.25">
      <c r="A674" s="2" t="s">
        <v>1076</v>
      </c>
      <c r="B674" t="s">
        <v>17</v>
      </c>
      <c r="C674" t="s">
        <v>488</v>
      </c>
      <c r="D674" s="2" t="str">
        <f>VLOOKUP(C674,Locality_Reference!A:C,2,)</f>
        <v>Central Line</v>
      </c>
      <c r="E674" s="2" t="str">
        <f>VLOOKUP(C674,Locality_Reference!A:C,3,)</f>
        <v>Premium/South</v>
      </c>
      <c r="F674" s="2" t="s">
        <v>1461</v>
      </c>
      <c r="G674" s="8">
        <v>170000</v>
      </c>
      <c r="H674">
        <v>3</v>
      </c>
      <c r="I674">
        <v>4</v>
      </c>
      <c r="J674">
        <v>32</v>
      </c>
      <c r="K674">
        <v>54</v>
      </c>
      <c r="L674">
        <v>1370</v>
      </c>
      <c r="M674" t="s">
        <v>36</v>
      </c>
      <c r="N674" t="s">
        <v>29</v>
      </c>
      <c r="O674" t="s">
        <v>16</v>
      </c>
      <c r="P674" t="s">
        <v>47</v>
      </c>
      <c r="Q674" t="str">
        <f t="shared" si="81"/>
        <v>1</v>
      </c>
      <c r="R674" s="5">
        <v>46193</v>
      </c>
      <c r="S674" s="8">
        <f t="shared" si="82"/>
        <v>124.08759124087591</v>
      </c>
      <c r="T674">
        <f t="shared" si="83"/>
        <v>2040000</v>
      </c>
      <c r="U674" t="str">
        <f t="shared" si="84"/>
        <v>Luxury</v>
      </c>
      <c r="V674" t="str">
        <f t="shared" si="85"/>
        <v>Spacious</v>
      </c>
      <c r="W674" t="str">
        <f>IF(S674 &lt; VLOOKUP(E674, Locality_Tier_Benchmarks!A:B, 2, FALSE) * 0.7, "Below Tier Range", "Normal")</f>
        <v>Normal</v>
      </c>
      <c r="X674" t="str">
        <f t="shared" si="86"/>
        <v>Normal</v>
      </c>
      <c r="Y674" t="str">
        <f t="shared" si="87"/>
        <v>Normal</v>
      </c>
      <c r="Z674" t="str">
        <f t="shared" si="80"/>
        <v>Pass</v>
      </c>
    </row>
    <row r="675" spans="1:26" x14ac:dyDescent="0.25">
      <c r="A675" s="2" t="s">
        <v>1405</v>
      </c>
      <c r="B675" t="s">
        <v>17</v>
      </c>
      <c r="C675" t="s">
        <v>1462</v>
      </c>
      <c r="D675" s="2" t="str">
        <f>VLOOKUP(C675,Locality_Reference!A:C,2,)</f>
        <v>Central Line</v>
      </c>
      <c r="E675" s="2" t="str">
        <f>VLOOKUP(C675,Locality_Reference!A:C,3,)</f>
        <v>Premium/South</v>
      </c>
      <c r="F675" s="2" t="s">
        <v>1464</v>
      </c>
      <c r="G675" s="8">
        <v>75000</v>
      </c>
      <c r="H675">
        <v>1</v>
      </c>
      <c r="I675">
        <v>1</v>
      </c>
      <c r="J675">
        <v>1</v>
      </c>
      <c r="K675">
        <v>16</v>
      </c>
      <c r="L675">
        <v>450</v>
      </c>
      <c r="M675" t="s">
        <v>14</v>
      </c>
      <c r="N675" t="s">
        <v>29</v>
      </c>
      <c r="O675" t="s">
        <v>16</v>
      </c>
      <c r="P675" t="s">
        <v>34</v>
      </c>
      <c r="Q675" t="str">
        <f t="shared" si="81"/>
        <v/>
      </c>
      <c r="R675" s="5">
        <v>46193</v>
      </c>
      <c r="S675" s="8">
        <f t="shared" si="82"/>
        <v>166.66666666666666</v>
      </c>
      <c r="T675">
        <f t="shared" si="83"/>
        <v>900000</v>
      </c>
      <c r="U675" t="str">
        <f t="shared" si="84"/>
        <v>Premium</v>
      </c>
      <c r="V675" t="str">
        <f t="shared" si="85"/>
        <v>Compact</v>
      </c>
      <c r="W675" t="str">
        <f>IF(S675 &lt; VLOOKUP(E675, Locality_Tier_Benchmarks!A:B, 2, FALSE) * 0.7, "Below Tier Range", "Normal")</f>
        <v>Normal</v>
      </c>
      <c r="X675" t="str">
        <f t="shared" si="86"/>
        <v>Normal</v>
      </c>
      <c r="Y675" t="str">
        <f t="shared" si="87"/>
        <v>Normal</v>
      </c>
      <c r="Z675" t="str">
        <f t="shared" si="80"/>
        <v>Pass</v>
      </c>
    </row>
    <row r="676" spans="1:26" x14ac:dyDescent="0.25">
      <c r="A676" s="2" t="s">
        <v>1406</v>
      </c>
      <c r="B676" t="s">
        <v>17</v>
      </c>
      <c r="C676" t="s">
        <v>1462</v>
      </c>
      <c r="D676" s="2" t="str">
        <f>VLOOKUP(C676,Locality_Reference!A:C,2,)</f>
        <v>Central Line</v>
      </c>
      <c r="E676" s="2" t="str">
        <f>VLOOKUP(C676,Locality_Reference!A:C,3,)</f>
        <v>Premium/South</v>
      </c>
      <c r="F676" s="2" t="s">
        <v>1465</v>
      </c>
      <c r="G676" s="8">
        <v>50000</v>
      </c>
      <c r="H676">
        <v>1</v>
      </c>
      <c r="I676">
        <v>1</v>
      </c>
      <c r="J676">
        <v>1</v>
      </c>
      <c r="K676">
        <v>17</v>
      </c>
      <c r="L676">
        <v>396</v>
      </c>
      <c r="M676" t="s">
        <v>33</v>
      </c>
      <c r="N676" t="s">
        <v>15</v>
      </c>
      <c r="O676" t="s">
        <v>16</v>
      </c>
      <c r="P676" t="s">
        <v>31</v>
      </c>
      <c r="Q676" t="str">
        <f t="shared" si="81"/>
        <v>3</v>
      </c>
      <c r="R676" s="5">
        <v>46199</v>
      </c>
      <c r="S676" s="8">
        <f t="shared" si="82"/>
        <v>126.26262626262626</v>
      </c>
      <c r="T676">
        <f t="shared" si="83"/>
        <v>600000</v>
      </c>
      <c r="U676" t="str">
        <f t="shared" si="84"/>
        <v>Mid</v>
      </c>
      <c r="V676" t="str">
        <f t="shared" si="85"/>
        <v>Compact</v>
      </c>
      <c r="W676" t="str">
        <f>IF(S676 &lt; VLOOKUP(E676, Locality_Tier_Benchmarks!A:B, 2, FALSE) * 0.7, "Below Tier Range", "Normal")</f>
        <v>Normal</v>
      </c>
      <c r="X676" t="str">
        <f t="shared" si="86"/>
        <v>Normal</v>
      </c>
      <c r="Y676" t="str">
        <f t="shared" si="87"/>
        <v>Normal</v>
      </c>
      <c r="Z676" t="str">
        <f t="shared" si="80"/>
        <v>Pass</v>
      </c>
    </row>
    <row r="677" spans="1:26" x14ac:dyDescent="0.25">
      <c r="A677" s="2" t="s">
        <v>1407</v>
      </c>
      <c r="B677" t="s">
        <v>17</v>
      </c>
      <c r="C677" t="s">
        <v>1462</v>
      </c>
      <c r="D677" s="2" t="str">
        <f>VLOOKUP(C677,Locality_Reference!A:C,2,)</f>
        <v>Central Line</v>
      </c>
      <c r="E677" s="2" t="str">
        <f>VLOOKUP(C677,Locality_Reference!A:C,3,)</f>
        <v>Premium/South</v>
      </c>
      <c r="F677" s="2" t="s">
        <v>1466</v>
      </c>
      <c r="G677" s="8">
        <v>65000</v>
      </c>
      <c r="H677">
        <v>1</v>
      </c>
      <c r="I677">
        <v>1</v>
      </c>
      <c r="J677">
        <v>8</v>
      </c>
      <c r="K677">
        <v>12</v>
      </c>
      <c r="L677">
        <v>400</v>
      </c>
      <c r="M677" t="s">
        <v>36</v>
      </c>
      <c r="N677" t="s">
        <v>29</v>
      </c>
      <c r="O677" t="s">
        <v>16</v>
      </c>
      <c r="P677" t="s">
        <v>31</v>
      </c>
      <c r="Q677" t="str">
        <f t="shared" si="81"/>
        <v>3</v>
      </c>
      <c r="R677" s="5">
        <v>46191</v>
      </c>
      <c r="S677" s="8">
        <f t="shared" si="82"/>
        <v>162.5</v>
      </c>
      <c r="T677">
        <f t="shared" si="83"/>
        <v>780000</v>
      </c>
      <c r="U677" t="str">
        <f t="shared" si="84"/>
        <v>Premium</v>
      </c>
      <c r="V677" t="str">
        <f t="shared" si="85"/>
        <v>Compact</v>
      </c>
      <c r="W677" t="str">
        <f>IF(S677 &lt; VLOOKUP(E677, Locality_Tier_Benchmarks!A:B, 2, FALSE) * 0.7, "Below Tier Range", "Normal")</f>
        <v>Normal</v>
      </c>
      <c r="X677" t="str">
        <f t="shared" si="86"/>
        <v>Normal</v>
      </c>
      <c r="Y677" t="str">
        <f t="shared" si="87"/>
        <v>Normal</v>
      </c>
      <c r="Z677" t="str">
        <f t="shared" si="80"/>
        <v>Pass</v>
      </c>
    </row>
    <row r="678" spans="1:26" x14ac:dyDescent="0.25">
      <c r="A678" s="2" t="s">
        <v>1408</v>
      </c>
      <c r="B678" t="s">
        <v>17</v>
      </c>
      <c r="C678" t="s">
        <v>1462</v>
      </c>
      <c r="D678" s="2" t="str">
        <f>VLOOKUP(C678,Locality_Reference!A:C,2,)</f>
        <v>Central Line</v>
      </c>
      <c r="E678" s="2" t="str">
        <f>VLOOKUP(C678,Locality_Reference!A:C,3,)</f>
        <v>Premium/South</v>
      </c>
      <c r="F678" s="2" t="s">
        <v>1467</v>
      </c>
      <c r="G678" s="8">
        <v>80000</v>
      </c>
      <c r="H678">
        <v>1</v>
      </c>
      <c r="I678">
        <v>2</v>
      </c>
      <c r="J678">
        <v>20</v>
      </c>
      <c r="K678">
        <v>50</v>
      </c>
      <c r="L678">
        <v>445</v>
      </c>
      <c r="M678" t="s">
        <v>36</v>
      </c>
      <c r="N678" t="s">
        <v>15</v>
      </c>
      <c r="O678" t="s">
        <v>16</v>
      </c>
      <c r="P678" t="s">
        <v>47</v>
      </c>
      <c r="Q678" t="str">
        <f t="shared" si="81"/>
        <v>1</v>
      </c>
      <c r="R678" s="5">
        <v>46148</v>
      </c>
      <c r="S678" s="8">
        <f t="shared" si="82"/>
        <v>179.77528089887642</v>
      </c>
      <c r="T678">
        <f t="shared" si="83"/>
        <v>960000</v>
      </c>
      <c r="U678" t="str">
        <f t="shared" si="84"/>
        <v>Premium</v>
      </c>
      <c r="V678" t="str">
        <f t="shared" si="85"/>
        <v>Compact</v>
      </c>
      <c r="W678" t="str">
        <f>IF(S678 &lt; VLOOKUP(E678, Locality_Tier_Benchmarks!A:B, 2, FALSE) * 0.7, "Below Tier Range", "Normal")</f>
        <v>Normal</v>
      </c>
      <c r="X678" t="str">
        <f t="shared" si="86"/>
        <v>Normal</v>
      </c>
      <c r="Y678" t="str">
        <f t="shared" si="87"/>
        <v>Normal</v>
      </c>
      <c r="Z678" t="str">
        <f t="shared" si="80"/>
        <v>Pass</v>
      </c>
    </row>
    <row r="679" spans="1:26" x14ac:dyDescent="0.25">
      <c r="A679" s="2" t="s">
        <v>1409</v>
      </c>
      <c r="B679" t="s">
        <v>17</v>
      </c>
      <c r="C679" t="s">
        <v>1462</v>
      </c>
      <c r="D679" s="2" t="str">
        <f>VLOOKUP(C679,Locality_Reference!A:C,2,)</f>
        <v>Central Line</v>
      </c>
      <c r="E679" s="2" t="str">
        <f>VLOOKUP(C679,Locality_Reference!A:C,3,)</f>
        <v>Premium/South</v>
      </c>
      <c r="F679" s="2" t="s">
        <v>1468</v>
      </c>
      <c r="G679" s="8">
        <v>75000</v>
      </c>
      <c r="H679">
        <v>1</v>
      </c>
      <c r="I679">
        <v>2</v>
      </c>
      <c r="J679">
        <v>12</v>
      </c>
      <c r="K679">
        <v>42</v>
      </c>
      <c r="L679">
        <v>450</v>
      </c>
      <c r="M679" t="s">
        <v>36</v>
      </c>
      <c r="N679" t="s">
        <v>29</v>
      </c>
      <c r="O679" t="s">
        <v>16</v>
      </c>
      <c r="P679" t="s">
        <v>47</v>
      </c>
      <c r="Q679" t="str">
        <f t="shared" si="81"/>
        <v>1</v>
      </c>
      <c r="R679" s="5">
        <v>46185</v>
      </c>
      <c r="S679" s="8">
        <f t="shared" si="82"/>
        <v>166.66666666666666</v>
      </c>
      <c r="T679">
        <f t="shared" si="83"/>
        <v>900000</v>
      </c>
      <c r="U679" t="str">
        <f t="shared" si="84"/>
        <v>Premium</v>
      </c>
      <c r="V679" t="str">
        <f t="shared" si="85"/>
        <v>Compact</v>
      </c>
      <c r="W679" t="str">
        <f>IF(S679 &lt; VLOOKUP(E679, Locality_Tier_Benchmarks!A:B, 2, FALSE) * 0.7, "Below Tier Range", "Normal")</f>
        <v>Normal</v>
      </c>
      <c r="X679" t="str">
        <f t="shared" si="86"/>
        <v>Normal</v>
      </c>
      <c r="Y679" t="str">
        <f t="shared" si="87"/>
        <v>Normal</v>
      </c>
      <c r="Z679" t="str">
        <f t="shared" si="80"/>
        <v>Pass</v>
      </c>
    </row>
    <row r="680" spans="1:26" x14ac:dyDescent="0.25">
      <c r="A680" s="2" t="s">
        <v>1410</v>
      </c>
      <c r="B680" t="s">
        <v>17</v>
      </c>
      <c r="C680" t="s">
        <v>1462</v>
      </c>
      <c r="D680" s="2" t="str">
        <f>VLOOKUP(C680,Locality_Reference!A:C,2,)</f>
        <v>Central Line</v>
      </c>
      <c r="E680" s="2" t="str">
        <f>VLOOKUP(C680,Locality_Reference!A:C,3,)</f>
        <v>Premium/South</v>
      </c>
      <c r="F680" s="2" t="s">
        <v>1469</v>
      </c>
      <c r="G680" s="8">
        <v>260000</v>
      </c>
      <c r="H680">
        <v>2</v>
      </c>
      <c r="I680">
        <v>2</v>
      </c>
      <c r="J680">
        <v>6</v>
      </c>
      <c r="K680">
        <v>8</v>
      </c>
      <c r="L680">
        <v>980</v>
      </c>
      <c r="M680" t="s">
        <v>14</v>
      </c>
      <c r="N680" t="s">
        <v>15</v>
      </c>
      <c r="O680" t="s">
        <v>16</v>
      </c>
      <c r="P680" t="s">
        <v>34</v>
      </c>
      <c r="Q680" t="str">
        <f t="shared" si="81"/>
        <v/>
      </c>
      <c r="R680" s="5">
        <v>46197</v>
      </c>
      <c r="S680" s="8">
        <f t="shared" si="82"/>
        <v>265.30612244897958</v>
      </c>
      <c r="T680">
        <f t="shared" si="83"/>
        <v>3120000</v>
      </c>
      <c r="U680" t="str">
        <f t="shared" si="84"/>
        <v>Luxury</v>
      </c>
      <c r="V680" t="str">
        <f t="shared" si="85"/>
        <v>Large</v>
      </c>
      <c r="W680" t="str">
        <f>IF(S680 &lt; VLOOKUP(E680, Locality_Tier_Benchmarks!A:B, 2, FALSE) * 0.7, "Below Tier Range", "Normal")</f>
        <v>Normal</v>
      </c>
      <c r="X680" t="str">
        <f t="shared" si="86"/>
        <v>Normal</v>
      </c>
      <c r="Y680" t="str">
        <f t="shared" si="87"/>
        <v>Normal</v>
      </c>
      <c r="Z680" t="str">
        <f t="shared" si="80"/>
        <v>Pass</v>
      </c>
    </row>
    <row r="681" spans="1:26" x14ac:dyDescent="0.25">
      <c r="A681" s="2" t="s">
        <v>1411</v>
      </c>
      <c r="B681" t="s">
        <v>17</v>
      </c>
      <c r="C681" t="s">
        <v>1462</v>
      </c>
      <c r="D681" s="2" t="str">
        <f>VLOOKUP(C681,Locality_Reference!A:C,2,)</f>
        <v>Central Line</v>
      </c>
      <c r="E681" s="2" t="str">
        <f>VLOOKUP(C681,Locality_Reference!A:C,3,)</f>
        <v>Premium/South</v>
      </c>
      <c r="F681" s="2" t="s">
        <v>1465</v>
      </c>
      <c r="G681" s="8">
        <v>70000</v>
      </c>
      <c r="H681">
        <v>2</v>
      </c>
      <c r="I681">
        <v>2</v>
      </c>
      <c r="J681">
        <v>6</v>
      </c>
      <c r="K681">
        <v>18</v>
      </c>
      <c r="L681">
        <v>600</v>
      </c>
      <c r="M681" t="s">
        <v>36</v>
      </c>
      <c r="N681" t="s">
        <v>29</v>
      </c>
      <c r="O681" t="s">
        <v>16</v>
      </c>
      <c r="P681" t="s">
        <v>34</v>
      </c>
      <c r="Q681" t="str">
        <f t="shared" si="81"/>
        <v/>
      </c>
      <c r="R681" s="5">
        <v>46189</v>
      </c>
      <c r="S681" s="8">
        <f t="shared" si="82"/>
        <v>116.66666666666667</v>
      </c>
      <c r="T681">
        <f t="shared" si="83"/>
        <v>840000</v>
      </c>
      <c r="U681" t="str">
        <f t="shared" si="84"/>
        <v>Premium</v>
      </c>
      <c r="V681" t="str">
        <f t="shared" si="85"/>
        <v>Medium</v>
      </c>
      <c r="W681" t="str">
        <f>IF(S681 &lt; VLOOKUP(E681, Locality_Tier_Benchmarks!A:B, 2, FALSE) * 0.7, "Below Tier Range", "Normal")</f>
        <v>Normal</v>
      </c>
      <c r="X681" t="str">
        <f t="shared" si="86"/>
        <v>Normal</v>
      </c>
      <c r="Y681" t="str">
        <f t="shared" si="87"/>
        <v>Normal</v>
      </c>
      <c r="Z681" t="str">
        <f t="shared" si="80"/>
        <v>Pass</v>
      </c>
    </row>
    <row r="682" spans="1:26" x14ac:dyDescent="0.25">
      <c r="A682" s="2" t="s">
        <v>1412</v>
      </c>
      <c r="B682" t="s">
        <v>17</v>
      </c>
      <c r="C682" t="s">
        <v>1462</v>
      </c>
      <c r="D682" s="2" t="str">
        <f>VLOOKUP(C682,Locality_Reference!A:C,2,)</f>
        <v>Central Line</v>
      </c>
      <c r="E682" s="2" t="str">
        <f>VLOOKUP(C682,Locality_Reference!A:C,3,)</f>
        <v>Premium/South</v>
      </c>
      <c r="F682" s="2" t="s">
        <v>1470</v>
      </c>
      <c r="G682" s="8">
        <v>125000</v>
      </c>
      <c r="H682">
        <v>2</v>
      </c>
      <c r="I682">
        <v>2</v>
      </c>
      <c r="J682">
        <v>5</v>
      </c>
      <c r="K682">
        <v>16</v>
      </c>
      <c r="L682">
        <v>700</v>
      </c>
      <c r="M682" t="s">
        <v>33</v>
      </c>
      <c r="N682" t="s">
        <v>15</v>
      </c>
      <c r="O682" t="s">
        <v>16</v>
      </c>
      <c r="P682" t="s">
        <v>52</v>
      </c>
      <c r="Q682" t="str">
        <f t="shared" si="81"/>
        <v>7.5</v>
      </c>
      <c r="R682" s="5">
        <v>46160</v>
      </c>
      <c r="S682" s="8">
        <f t="shared" si="82"/>
        <v>178.57142857142858</v>
      </c>
      <c r="T682">
        <f t="shared" si="83"/>
        <v>1500000</v>
      </c>
      <c r="U682" t="str">
        <f t="shared" si="84"/>
        <v>Luxury</v>
      </c>
      <c r="V682" t="str">
        <f t="shared" si="85"/>
        <v>Medium</v>
      </c>
      <c r="W682" t="str">
        <f>IF(S682 &lt; VLOOKUP(E682, Locality_Tier_Benchmarks!A:B, 2, FALSE) * 0.7, "Below Tier Range", "Normal")</f>
        <v>Normal</v>
      </c>
      <c r="X682" t="str">
        <f t="shared" si="86"/>
        <v>Normal</v>
      </c>
      <c r="Y682" t="str">
        <f t="shared" si="87"/>
        <v>Normal</v>
      </c>
      <c r="Z682" t="str">
        <f t="shared" si="80"/>
        <v>Pass</v>
      </c>
    </row>
    <row r="683" spans="1:26" x14ac:dyDescent="0.25">
      <c r="A683" s="2" t="s">
        <v>1413</v>
      </c>
      <c r="B683" t="s">
        <v>17</v>
      </c>
      <c r="C683" t="s">
        <v>1462</v>
      </c>
      <c r="D683" s="2" t="str">
        <f>VLOOKUP(C683,Locality_Reference!A:C,2,)</f>
        <v>Central Line</v>
      </c>
      <c r="E683" s="2" t="str">
        <f>VLOOKUP(C683,Locality_Reference!A:C,3,)</f>
        <v>Premium/South</v>
      </c>
      <c r="F683" s="2" t="s">
        <v>1468</v>
      </c>
      <c r="G683" s="8">
        <v>120000</v>
      </c>
      <c r="H683">
        <v>2</v>
      </c>
      <c r="I683">
        <v>2</v>
      </c>
      <c r="J683">
        <v>16</v>
      </c>
      <c r="K683">
        <v>42</v>
      </c>
      <c r="L683">
        <v>733</v>
      </c>
      <c r="M683" t="s">
        <v>33</v>
      </c>
      <c r="N683" t="s">
        <v>15</v>
      </c>
      <c r="O683" t="s">
        <v>16</v>
      </c>
      <c r="P683" t="s">
        <v>31</v>
      </c>
      <c r="Q683" t="str">
        <f t="shared" si="81"/>
        <v>3</v>
      </c>
      <c r="R683" s="5">
        <v>46160</v>
      </c>
      <c r="S683" s="8">
        <f t="shared" si="82"/>
        <v>163.71077762619373</v>
      </c>
      <c r="T683">
        <f t="shared" si="83"/>
        <v>1440000</v>
      </c>
      <c r="U683" t="str">
        <f t="shared" si="84"/>
        <v>Luxury</v>
      </c>
      <c r="V683" t="str">
        <f t="shared" si="85"/>
        <v>Medium</v>
      </c>
      <c r="W683" t="str">
        <f>IF(S683 &lt; VLOOKUP(E683, Locality_Tier_Benchmarks!A:B, 2, FALSE) * 0.7, "Below Tier Range", "Normal")</f>
        <v>Normal</v>
      </c>
      <c r="X683" t="str">
        <f t="shared" si="86"/>
        <v>Normal</v>
      </c>
      <c r="Y683" t="str">
        <f t="shared" si="87"/>
        <v>Normal</v>
      </c>
      <c r="Z683" t="str">
        <f t="shared" si="80"/>
        <v>Pass</v>
      </c>
    </row>
    <row r="684" spans="1:26" x14ac:dyDescent="0.25">
      <c r="A684" s="2" t="s">
        <v>1414</v>
      </c>
      <c r="B684" t="s">
        <v>17</v>
      </c>
      <c r="C684" t="s">
        <v>1462</v>
      </c>
      <c r="D684" s="2" t="str">
        <f>VLOOKUP(C684,Locality_Reference!A:C,2,)</f>
        <v>Central Line</v>
      </c>
      <c r="E684" s="2" t="str">
        <f>VLOOKUP(C684,Locality_Reference!A:C,3,)</f>
        <v>Premium/South</v>
      </c>
      <c r="F684" s="2" t="s">
        <v>1471</v>
      </c>
      <c r="G684" s="8">
        <v>160000</v>
      </c>
      <c r="H684">
        <v>2</v>
      </c>
      <c r="I684">
        <v>3</v>
      </c>
      <c r="J684">
        <v>8</v>
      </c>
      <c r="K684">
        <v>13</v>
      </c>
      <c r="L684">
        <v>865</v>
      </c>
      <c r="M684" t="s">
        <v>36</v>
      </c>
      <c r="N684" t="s">
        <v>29</v>
      </c>
      <c r="O684" t="s">
        <v>16</v>
      </c>
      <c r="P684" t="s">
        <v>47</v>
      </c>
      <c r="Q684" t="str">
        <f t="shared" si="81"/>
        <v>1</v>
      </c>
      <c r="R684" s="5">
        <v>46157</v>
      </c>
      <c r="S684" s="8">
        <f t="shared" si="82"/>
        <v>184.97109826589596</v>
      </c>
      <c r="T684">
        <f t="shared" si="83"/>
        <v>1920000</v>
      </c>
      <c r="U684" t="str">
        <f t="shared" si="84"/>
        <v>Luxury</v>
      </c>
      <c r="V684" t="str">
        <f t="shared" si="85"/>
        <v>Large</v>
      </c>
      <c r="W684" t="str">
        <f>IF(S684 &lt; VLOOKUP(E684, Locality_Tier_Benchmarks!A:B, 2, FALSE) * 0.7, "Below Tier Range", "Normal")</f>
        <v>Normal</v>
      </c>
      <c r="X684" t="str">
        <f t="shared" si="86"/>
        <v>Normal</v>
      </c>
      <c r="Y684" t="str">
        <f t="shared" si="87"/>
        <v>Normal</v>
      </c>
      <c r="Z684" t="str">
        <f t="shared" si="80"/>
        <v>Pass</v>
      </c>
    </row>
    <row r="685" spans="1:26" x14ac:dyDescent="0.25">
      <c r="A685" s="2" t="s">
        <v>1415</v>
      </c>
      <c r="B685" t="s">
        <v>17</v>
      </c>
      <c r="C685" t="s">
        <v>1462</v>
      </c>
      <c r="D685" s="2" t="str">
        <f>VLOOKUP(C685,Locality_Reference!A:C,2,)</f>
        <v>Central Line</v>
      </c>
      <c r="E685" s="2" t="str">
        <f>VLOOKUP(C685,Locality_Reference!A:C,3,)</f>
        <v>Premium/South</v>
      </c>
      <c r="F685" s="2" t="s">
        <v>1472</v>
      </c>
      <c r="G685" s="8">
        <v>210000</v>
      </c>
      <c r="H685">
        <v>3</v>
      </c>
      <c r="I685">
        <v>3</v>
      </c>
      <c r="J685">
        <v>14</v>
      </c>
      <c r="K685">
        <v>21</v>
      </c>
      <c r="L685">
        <v>1300</v>
      </c>
      <c r="M685" t="s">
        <v>36</v>
      </c>
      <c r="N685" t="s">
        <v>29</v>
      </c>
      <c r="O685" t="s">
        <v>16</v>
      </c>
      <c r="P685" t="s">
        <v>34</v>
      </c>
      <c r="Q685" t="str">
        <f t="shared" si="81"/>
        <v/>
      </c>
      <c r="R685" s="5">
        <v>46189</v>
      </c>
      <c r="S685" s="8">
        <f t="shared" si="82"/>
        <v>161.53846153846155</v>
      </c>
      <c r="T685">
        <f t="shared" si="83"/>
        <v>2520000</v>
      </c>
      <c r="U685" t="str">
        <f t="shared" si="84"/>
        <v>Luxury</v>
      </c>
      <c r="V685" t="str">
        <f t="shared" si="85"/>
        <v>Spacious</v>
      </c>
      <c r="W685" t="str">
        <f>IF(S685 &lt; VLOOKUP(E685, Locality_Tier_Benchmarks!A:B, 2, FALSE) * 0.7, "Below Tier Range", "Normal")</f>
        <v>Normal</v>
      </c>
      <c r="X685" t="str">
        <f t="shared" si="86"/>
        <v>Normal</v>
      </c>
      <c r="Y685" t="str">
        <f t="shared" si="87"/>
        <v>Normal</v>
      </c>
      <c r="Z685" t="str">
        <f t="shared" si="80"/>
        <v>Pass</v>
      </c>
    </row>
    <row r="686" spans="1:26" x14ac:dyDescent="0.25">
      <c r="A686" s="2" t="s">
        <v>1416</v>
      </c>
      <c r="B686" t="s">
        <v>17</v>
      </c>
      <c r="C686" t="s">
        <v>1462</v>
      </c>
      <c r="D686" s="2" t="str">
        <f>VLOOKUP(C686,Locality_Reference!A:C,2,)</f>
        <v>Central Line</v>
      </c>
      <c r="E686" s="2" t="str">
        <f>VLOOKUP(C686,Locality_Reference!A:C,3,)</f>
        <v>Premium/South</v>
      </c>
      <c r="F686" s="2" t="s">
        <v>1473</v>
      </c>
      <c r="G686" s="8">
        <v>150000</v>
      </c>
      <c r="H686">
        <v>3</v>
      </c>
      <c r="I686">
        <v>3</v>
      </c>
      <c r="J686">
        <v>6</v>
      </c>
      <c r="K686">
        <v>7</v>
      </c>
      <c r="L686">
        <v>1200</v>
      </c>
      <c r="M686" t="s">
        <v>36</v>
      </c>
      <c r="N686" t="s">
        <v>15</v>
      </c>
      <c r="O686" t="s">
        <v>16</v>
      </c>
      <c r="P686" t="s">
        <v>23</v>
      </c>
      <c r="Q686" t="str">
        <f t="shared" si="81"/>
        <v>10</v>
      </c>
      <c r="R686" s="5">
        <v>46175</v>
      </c>
      <c r="S686" s="8">
        <f t="shared" si="82"/>
        <v>125</v>
      </c>
      <c r="T686">
        <f t="shared" si="83"/>
        <v>1800000</v>
      </c>
      <c r="U686" t="str">
        <f t="shared" si="84"/>
        <v>Luxury</v>
      </c>
      <c r="V686" t="str">
        <f t="shared" si="85"/>
        <v>Large</v>
      </c>
      <c r="W686" t="str">
        <f>IF(S686 &lt; VLOOKUP(E686, Locality_Tier_Benchmarks!A:B, 2, FALSE) * 0.7, "Below Tier Range", "Normal")</f>
        <v>Normal</v>
      </c>
      <c r="X686" t="str">
        <f t="shared" si="86"/>
        <v>Normal</v>
      </c>
      <c r="Y686" t="str">
        <f t="shared" si="87"/>
        <v>Normal</v>
      </c>
      <c r="Z686" t="str">
        <f t="shared" si="80"/>
        <v>Pass</v>
      </c>
    </row>
    <row r="687" spans="1:26" x14ac:dyDescent="0.25">
      <c r="A687" s="2" t="s">
        <v>1417</v>
      </c>
      <c r="B687" t="s">
        <v>17</v>
      </c>
      <c r="C687" t="s">
        <v>1462</v>
      </c>
      <c r="D687" s="2" t="str">
        <f>VLOOKUP(C687,Locality_Reference!A:C,2,)</f>
        <v>Central Line</v>
      </c>
      <c r="E687" s="2" t="str">
        <f>VLOOKUP(C687,Locality_Reference!A:C,3,)</f>
        <v>Premium/South</v>
      </c>
      <c r="F687" s="2" t="s">
        <v>1474</v>
      </c>
      <c r="G687" s="8">
        <v>165000</v>
      </c>
      <c r="H687">
        <v>3</v>
      </c>
      <c r="I687">
        <v>3</v>
      </c>
      <c r="J687">
        <v>34</v>
      </c>
      <c r="K687">
        <v>53</v>
      </c>
      <c r="L687">
        <v>940</v>
      </c>
      <c r="M687" t="s">
        <v>33</v>
      </c>
      <c r="N687" t="s">
        <v>15</v>
      </c>
      <c r="O687" t="s">
        <v>16</v>
      </c>
      <c r="P687" t="s">
        <v>47</v>
      </c>
      <c r="Q687" t="str">
        <f t="shared" si="81"/>
        <v>1</v>
      </c>
      <c r="R687" s="5">
        <v>46199</v>
      </c>
      <c r="S687" s="8">
        <f t="shared" si="82"/>
        <v>175.53191489361703</v>
      </c>
      <c r="T687">
        <f t="shared" si="83"/>
        <v>1980000</v>
      </c>
      <c r="U687" t="str">
        <f t="shared" si="84"/>
        <v>Luxury</v>
      </c>
      <c r="V687" t="str">
        <f t="shared" si="85"/>
        <v>Large</v>
      </c>
      <c r="W687" t="str">
        <f>IF(S687 &lt; VLOOKUP(E687, Locality_Tier_Benchmarks!A:B, 2, FALSE) * 0.7, "Below Tier Range", "Normal")</f>
        <v>Normal</v>
      </c>
      <c r="X687" t="str">
        <f t="shared" si="86"/>
        <v>Normal</v>
      </c>
      <c r="Y687" t="str">
        <f t="shared" si="87"/>
        <v>Normal</v>
      </c>
      <c r="Z687" t="str">
        <f t="shared" si="80"/>
        <v>Pass</v>
      </c>
    </row>
    <row r="688" spans="1:26" x14ac:dyDescent="0.25">
      <c r="A688" s="2" t="s">
        <v>1418</v>
      </c>
      <c r="B688" t="s">
        <v>17</v>
      </c>
      <c r="C688" t="s">
        <v>1462</v>
      </c>
      <c r="D688" s="2" t="str">
        <f>VLOOKUP(C688,Locality_Reference!A:C,2,)</f>
        <v>Central Line</v>
      </c>
      <c r="E688" s="2" t="str">
        <f>VLOOKUP(C688,Locality_Reference!A:C,3,)</f>
        <v>Premium/South</v>
      </c>
      <c r="F688" s="2" t="s">
        <v>1468</v>
      </c>
      <c r="G688" s="8">
        <v>165000</v>
      </c>
      <c r="H688">
        <v>3</v>
      </c>
      <c r="I688">
        <v>3</v>
      </c>
      <c r="J688">
        <v>7</v>
      </c>
      <c r="K688">
        <v>10</v>
      </c>
      <c r="L688">
        <v>1100</v>
      </c>
      <c r="M688" t="s">
        <v>33</v>
      </c>
      <c r="N688" t="s">
        <v>15</v>
      </c>
      <c r="O688" t="s">
        <v>16</v>
      </c>
      <c r="P688" t="s">
        <v>34</v>
      </c>
      <c r="Q688" t="str">
        <f t="shared" si="81"/>
        <v/>
      </c>
      <c r="R688" s="5">
        <v>46201</v>
      </c>
      <c r="S688" s="8">
        <f t="shared" si="82"/>
        <v>150</v>
      </c>
      <c r="T688">
        <f t="shared" si="83"/>
        <v>1980000</v>
      </c>
      <c r="U688" t="str">
        <f t="shared" si="84"/>
        <v>Luxury</v>
      </c>
      <c r="V688" t="str">
        <f t="shared" si="85"/>
        <v>Large</v>
      </c>
      <c r="W688" t="str">
        <f>IF(S688 &lt; VLOOKUP(E688, Locality_Tier_Benchmarks!A:B, 2, FALSE) * 0.7, "Below Tier Range", "Normal")</f>
        <v>Normal</v>
      </c>
      <c r="X688" t="str">
        <f t="shared" si="86"/>
        <v>Normal</v>
      </c>
      <c r="Y688" t="str">
        <f t="shared" si="87"/>
        <v>Normal</v>
      </c>
      <c r="Z688" t="str">
        <f t="shared" si="80"/>
        <v>Pass</v>
      </c>
    </row>
    <row r="689" spans="1:26" x14ac:dyDescent="0.25">
      <c r="A689" s="2" t="s">
        <v>1419</v>
      </c>
      <c r="B689" t="s">
        <v>17</v>
      </c>
      <c r="C689" t="s">
        <v>1462</v>
      </c>
      <c r="D689" s="2" t="str">
        <f>VLOOKUP(C689,Locality_Reference!A:C,2,)</f>
        <v>Central Line</v>
      </c>
      <c r="E689" s="2" t="str">
        <f>VLOOKUP(C689,Locality_Reference!A:C,3,)</f>
        <v>Premium/South</v>
      </c>
      <c r="F689" s="2" t="s">
        <v>1475</v>
      </c>
      <c r="G689" s="8">
        <v>200000</v>
      </c>
      <c r="H689">
        <v>3</v>
      </c>
      <c r="I689">
        <v>2</v>
      </c>
      <c r="J689">
        <v>10</v>
      </c>
      <c r="K689">
        <v>22</v>
      </c>
      <c r="L689">
        <v>1100</v>
      </c>
      <c r="M689" t="s">
        <v>36</v>
      </c>
      <c r="N689" t="s">
        <v>29</v>
      </c>
      <c r="O689" t="s">
        <v>16</v>
      </c>
      <c r="P689" t="s">
        <v>52</v>
      </c>
      <c r="Q689" t="str">
        <f t="shared" si="81"/>
        <v>7.5</v>
      </c>
      <c r="R689" s="5">
        <v>46170</v>
      </c>
      <c r="S689" s="8">
        <f t="shared" si="82"/>
        <v>181.81818181818181</v>
      </c>
      <c r="T689">
        <f t="shared" si="83"/>
        <v>2400000</v>
      </c>
      <c r="U689" t="str">
        <f t="shared" si="84"/>
        <v>Luxury</v>
      </c>
      <c r="V689" t="str">
        <f t="shared" si="85"/>
        <v>Large</v>
      </c>
      <c r="W689" t="str">
        <f>IF(S689 &lt; VLOOKUP(E689, Locality_Tier_Benchmarks!A:B, 2, FALSE) * 0.7, "Below Tier Range", "Normal")</f>
        <v>Normal</v>
      </c>
      <c r="X689" t="str">
        <f t="shared" si="86"/>
        <v>Normal</v>
      </c>
      <c r="Y689" t="str">
        <f t="shared" si="87"/>
        <v>Normal</v>
      </c>
      <c r="Z689" t="str">
        <f t="shared" si="80"/>
        <v>Pass</v>
      </c>
    </row>
    <row r="690" spans="1:26" x14ac:dyDescent="0.25">
      <c r="A690" s="2" t="s">
        <v>1420</v>
      </c>
      <c r="B690" t="s">
        <v>17</v>
      </c>
      <c r="C690" t="s">
        <v>1463</v>
      </c>
      <c r="D690" s="2" t="str">
        <f>VLOOKUP(C690,Locality_Reference!A:C,2,)</f>
        <v>Central Line</v>
      </c>
      <c r="E690" s="2" t="str">
        <f>VLOOKUP(C690,Locality_Reference!A:C,3,)</f>
        <v>Premium/South</v>
      </c>
      <c r="F690" s="2" t="s">
        <v>1476</v>
      </c>
      <c r="G690" s="8">
        <v>60000</v>
      </c>
      <c r="H690">
        <v>1</v>
      </c>
      <c r="I690">
        <v>1</v>
      </c>
      <c r="J690">
        <v>2</v>
      </c>
      <c r="K690">
        <v>7</v>
      </c>
      <c r="L690">
        <v>550</v>
      </c>
      <c r="M690" t="s">
        <v>14</v>
      </c>
      <c r="N690" t="s">
        <v>29</v>
      </c>
      <c r="O690" t="s">
        <v>16</v>
      </c>
      <c r="P690" t="s">
        <v>23</v>
      </c>
      <c r="Q690" t="str">
        <f t="shared" si="81"/>
        <v>10</v>
      </c>
      <c r="R690" s="5">
        <v>46196</v>
      </c>
      <c r="S690" s="8">
        <f t="shared" si="82"/>
        <v>109.09090909090909</v>
      </c>
      <c r="T690">
        <f t="shared" si="83"/>
        <v>720000</v>
      </c>
      <c r="U690" t="str">
        <f t="shared" si="84"/>
        <v>Mid</v>
      </c>
      <c r="V690" t="str">
        <f t="shared" si="85"/>
        <v>Medium</v>
      </c>
      <c r="W690" t="str">
        <f>IF(S690 &lt; VLOOKUP(E690, Locality_Tier_Benchmarks!A:B, 2, FALSE) * 0.7, "Below Tier Range", "Normal")</f>
        <v>Normal</v>
      </c>
      <c r="X690" t="str">
        <f t="shared" si="86"/>
        <v>Normal</v>
      </c>
      <c r="Y690" t="str">
        <f t="shared" si="87"/>
        <v>Normal</v>
      </c>
      <c r="Z690" t="str">
        <f t="shared" si="80"/>
        <v>Pass</v>
      </c>
    </row>
    <row r="691" spans="1:26" x14ac:dyDescent="0.25">
      <c r="A691" s="2" t="s">
        <v>1421</v>
      </c>
      <c r="B691" t="s">
        <v>17</v>
      </c>
      <c r="C691" t="s">
        <v>1463</v>
      </c>
      <c r="D691" s="2" t="str">
        <f>VLOOKUP(C691,Locality_Reference!A:C,2,)</f>
        <v>Central Line</v>
      </c>
      <c r="E691" s="2" t="str">
        <f>VLOOKUP(C691,Locality_Reference!A:C,3,)</f>
        <v>Premium/South</v>
      </c>
      <c r="F691" s="2" t="s">
        <v>1477</v>
      </c>
      <c r="G691" s="8">
        <v>65000</v>
      </c>
      <c r="H691">
        <v>1</v>
      </c>
      <c r="I691">
        <v>1</v>
      </c>
      <c r="J691">
        <v>20</v>
      </c>
      <c r="K691">
        <v>40</v>
      </c>
      <c r="L691">
        <v>450</v>
      </c>
      <c r="M691" t="s">
        <v>36</v>
      </c>
      <c r="N691" t="s">
        <v>29</v>
      </c>
      <c r="O691" t="s">
        <v>16</v>
      </c>
      <c r="P691" t="s">
        <v>34</v>
      </c>
      <c r="Q691" t="str">
        <f t="shared" si="81"/>
        <v/>
      </c>
      <c r="R691" s="5">
        <v>46200</v>
      </c>
      <c r="S691" s="8">
        <f t="shared" si="82"/>
        <v>144.44444444444446</v>
      </c>
      <c r="T691">
        <f t="shared" si="83"/>
        <v>780000</v>
      </c>
      <c r="U691" t="str">
        <f t="shared" si="84"/>
        <v>Premium</v>
      </c>
      <c r="V691" t="str">
        <f t="shared" si="85"/>
        <v>Compact</v>
      </c>
      <c r="W691" t="str">
        <f>IF(S691 &lt; VLOOKUP(E691, Locality_Tier_Benchmarks!A:B, 2, FALSE) * 0.7, "Below Tier Range", "Normal")</f>
        <v>Normal</v>
      </c>
      <c r="X691" t="str">
        <f t="shared" si="86"/>
        <v>Normal</v>
      </c>
      <c r="Y691" t="str">
        <f t="shared" si="87"/>
        <v>Normal</v>
      </c>
      <c r="Z691" t="str">
        <f t="shared" si="80"/>
        <v>Pass</v>
      </c>
    </row>
    <row r="692" spans="1:26" x14ac:dyDescent="0.25">
      <c r="A692" s="2" t="s">
        <v>1422</v>
      </c>
      <c r="B692" t="s">
        <v>17</v>
      </c>
      <c r="C692" t="s">
        <v>1463</v>
      </c>
      <c r="D692" s="2" t="str">
        <f>VLOOKUP(C692,Locality_Reference!A:C,2,)</f>
        <v>Central Line</v>
      </c>
      <c r="E692" s="2" t="str">
        <f>VLOOKUP(C692,Locality_Reference!A:C,3,)</f>
        <v>Premium/South</v>
      </c>
      <c r="F692" s="2" t="s">
        <v>1478</v>
      </c>
      <c r="G692" s="8">
        <v>45000</v>
      </c>
      <c r="H692">
        <v>1</v>
      </c>
      <c r="I692">
        <v>1</v>
      </c>
      <c r="J692">
        <v>3</v>
      </c>
      <c r="K692">
        <v>3</v>
      </c>
      <c r="L692">
        <v>360</v>
      </c>
      <c r="M692" t="s">
        <v>33</v>
      </c>
      <c r="N692" t="s">
        <v>29</v>
      </c>
      <c r="O692" t="s">
        <v>16</v>
      </c>
      <c r="P692" t="s">
        <v>34</v>
      </c>
      <c r="Q692" t="str">
        <f t="shared" si="81"/>
        <v/>
      </c>
      <c r="R692" s="5">
        <v>46199</v>
      </c>
      <c r="S692" s="8">
        <f t="shared" si="82"/>
        <v>125</v>
      </c>
      <c r="T692">
        <f t="shared" si="83"/>
        <v>540000</v>
      </c>
      <c r="U692" t="str">
        <f t="shared" si="84"/>
        <v>Mid</v>
      </c>
      <c r="V692" t="str">
        <f t="shared" si="85"/>
        <v>Compact</v>
      </c>
      <c r="W692" t="str">
        <f>IF(S692 &lt; VLOOKUP(E692, Locality_Tier_Benchmarks!A:B, 2, FALSE) * 0.7, "Below Tier Range", "Normal")</f>
        <v>Normal</v>
      </c>
      <c r="X692" t="str">
        <f t="shared" si="86"/>
        <v>Normal</v>
      </c>
      <c r="Y692" t="str">
        <f t="shared" si="87"/>
        <v>Normal</v>
      </c>
      <c r="Z692" t="str">
        <f t="shared" si="80"/>
        <v>Pass</v>
      </c>
    </row>
    <row r="693" spans="1:26" x14ac:dyDescent="0.25">
      <c r="A693" s="2" t="s">
        <v>1423</v>
      </c>
      <c r="B693" t="s">
        <v>17</v>
      </c>
      <c r="C693" t="s">
        <v>1463</v>
      </c>
      <c r="D693" s="2" t="str">
        <f>VLOOKUP(C693,Locality_Reference!A:C,2,)</f>
        <v>Central Line</v>
      </c>
      <c r="E693" s="2" t="str">
        <f>VLOOKUP(C693,Locality_Reference!A:C,3,)</f>
        <v>Premium/South</v>
      </c>
      <c r="F693" s="2" t="s">
        <v>1479</v>
      </c>
      <c r="G693" s="8">
        <v>52000</v>
      </c>
      <c r="H693">
        <v>1</v>
      </c>
      <c r="I693">
        <v>1</v>
      </c>
      <c r="J693">
        <v>1</v>
      </c>
      <c r="K693">
        <v>3</v>
      </c>
      <c r="L693">
        <v>450</v>
      </c>
      <c r="M693" t="s">
        <v>36</v>
      </c>
      <c r="N693" t="s">
        <v>29</v>
      </c>
      <c r="O693" t="s">
        <v>16</v>
      </c>
      <c r="P693" t="s">
        <v>23</v>
      </c>
      <c r="Q693" t="str">
        <f t="shared" si="81"/>
        <v>10</v>
      </c>
      <c r="R693" s="5">
        <v>46197</v>
      </c>
      <c r="S693" s="8">
        <f t="shared" si="82"/>
        <v>115.55555555555556</v>
      </c>
      <c r="T693">
        <f t="shared" si="83"/>
        <v>624000</v>
      </c>
      <c r="U693" t="str">
        <f t="shared" si="84"/>
        <v>Mid</v>
      </c>
      <c r="V693" t="str">
        <f t="shared" si="85"/>
        <v>Compact</v>
      </c>
      <c r="W693" t="str">
        <f>IF(S693 &lt; VLOOKUP(E693, Locality_Tier_Benchmarks!A:B, 2, FALSE) * 0.7, "Below Tier Range", "Normal")</f>
        <v>Normal</v>
      </c>
      <c r="X693" t="str">
        <f t="shared" si="86"/>
        <v>Normal</v>
      </c>
      <c r="Y693" t="str">
        <f t="shared" si="87"/>
        <v>Normal</v>
      </c>
      <c r="Z693" t="str">
        <f t="shared" si="80"/>
        <v>Pass</v>
      </c>
    </row>
    <row r="694" spans="1:26" x14ac:dyDescent="0.25">
      <c r="A694" s="2" t="s">
        <v>1424</v>
      </c>
      <c r="B694" t="s">
        <v>17</v>
      </c>
      <c r="C694" t="s">
        <v>1463</v>
      </c>
      <c r="D694" s="2" t="str">
        <f>VLOOKUP(C694,Locality_Reference!A:C,2,)</f>
        <v>Central Line</v>
      </c>
      <c r="E694" s="2" t="str">
        <f>VLOOKUP(C694,Locality_Reference!A:C,3,)</f>
        <v>Premium/South</v>
      </c>
      <c r="F694" s="2" t="s">
        <v>1480</v>
      </c>
      <c r="G694" s="8">
        <v>53000</v>
      </c>
      <c r="H694">
        <v>1</v>
      </c>
      <c r="I694">
        <v>1</v>
      </c>
      <c r="J694">
        <v>2</v>
      </c>
      <c r="K694">
        <v>4</v>
      </c>
      <c r="L694">
        <v>350</v>
      </c>
      <c r="M694" t="s">
        <v>14</v>
      </c>
      <c r="N694" t="s">
        <v>29</v>
      </c>
      <c r="O694" t="s">
        <v>16</v>
      </c>
      <c r="P694" t="s">
        <v>23</v>
      </c>
      <c r="Q694" t="str">
        <f t="shared" si="81"/>
        <v>10</v>
      </c>
      <c r="R694" s="5">
        <v>46177</v>
      </c>
      <c r="S694" s="8">
        <f t="shared" si="82"/>
        <v>151.42857142857142</v>
      </c>
      <c r="T694">
        <f t="shared" si="83"/>
        <v>636000</v>
      </c>
      <c r="U694" t="str">
        <f t="shared" si="84"/>
        <v>Mid</v>
      </c>
      <c r="V694" t="str">
        <f t="shared" si="85"/>
        <v>Compact</v>
      </c>
      <c r="W694" t="str">
        <f>IF(S694 &lt; VLOOKUP(E694, Locality_Tier_Benchmarks!A:B, 2, FALSE) * 0.7, "Below Tier Range", "Normal")</f>
        <v>Normal</v>
      </c>
      <c r="X694" t="str">
        <f t="shared" si="86"/>
        <v>Normal</v>
      </c>
      <c r="Y694" t="str">
        <f t="shared" si="87"/>
        <v>Normal</v>
      </c>
      <c r="Z694" t="str">
        <f t="shared" si="80"/>
        <v>Pass</v>
      </c>
    </row>
    <row r="695" spans="1:26" x14ac:dyDescent="0.25">
      <c r="A695" s="2" t="s">
        <v>1425</v>
      </c>
      <c r="B695" t="s">
        <v>17</v>
      </c>
      <c r="C695" t="s">
        <v>1463</v>
      </c>
      <c r="D695" s="2" t="str">
        <f>VLOOKUP(C695,Locality_Reference!A:C,2,)</f>
        <v>Central Line</v>
      </c>
      <c r="E695" s="2" t="str">
        <f>VLOOKUP(C695,Locality_Reference!A:C,3,)</f>
        <v>Premium/South</v>
      </c>
      <c r="F695" s="2" t="s">
        <v>1481</v>
      </c>
      <c r="G695" s="8">
        <v>125000</v>
      </c>
      <c r="H695">
        <v>2</v>
      </c>
      <c r="I695">
        <v>2</v>
      </c>
      <c r="J695">
        <v>6</v>
      </c>
      <c r="K695">
        <v>15</v>
      </c>
      <c r="L695">
        <v>750</v>
      </c>
      <c r="M695" t="s">
        <v>33</v>
      </c>
      <c r="N695" t="s">
        <v>29</v>
      </c>
      <c r="O695" t="s">
        <v>16</v>
      </c>
      <c r="P695" t="s">
        <v>34</v>
      </c>
      <c r="Q695" t="str">
        <f t="shared" si="81"/>
        <v/>
      </c>
      <c r="R695" s="5">
        <v>46193</v>
      </c>
      <c r="S695" s="8">
        <f t="shared" si="82"/>
        <v>166.66666666666666</v>
      </c>
      <c r="T695">
        <f t="shared" si="83"/>
        <v>1500000</v>
      </c>
      <c r="U695" t="str">
        <f t="shared" si="84"/>
        <v>Luxury</v>
      </c>
      <c r="V695" t="str">
        <f t="shared" si="85"/>
        <v>Medium</v>
      </c>
      <c r="W695" t="str">
        <f>IF(S695 &lt; VLOOKUP(E695, Locality_Tier_Benchmarks!A:B, 2, FALSE) * 0.7, "Below Tier Range", "Normal")</f>
        <v>Normal</v>
      </c>
      <c r="X695" t="str">
        <f t="shared" si="86"/>
        <v>Normal</v>
      </c>
      <c r="Y695" t="str">
        <f t="shared" si="87"/>
        <v>Normal</v>
      </c>
      <c r="Z695" t="str">
        <f t="shared" si="80"/>
        <v>Pass</v>
      </c>
    </row>
    <row r="696" spans="1:26" x14ac:dyDescent="0.25">
      <c r="A696" s="2" t="s">
        <v>1426</v>
      </c>
      <c r="B696" t="s">
        <v>17</v>
      </c>
      <c r="C696" t="s">
        <v>1463</v>
      </c>
      <c r="D696" s="2" t="str">
        <f>VLOOKUP(C696,Locality_Reference!A:C,2,)</f>
        <v>Central Line</v>
      </c>
      <c r="E696" s="2" t="str">
        <f>VLOOKUP(C696,Locality_Reference!A:C,3,)</f>
        <v>Premium/South</v>
      </c>
      <c r="F696" s="2" t="s">
        <v>1482</v>
      </c>
      <c r="G696" s="8">
        <v>125000</v>
      </c>
      <c r="H696">
        <v>2</v>
      </c>
      <c r="I696">
        <v>2</v>
      </c>
      <c r="J696">
        <v>15</v>
      </c>
      <c r="K696">
        <v>22</v>
      </c>
      <c r="L696">
        <v>680</v>
      </c>
      <c r="M696" t="s">
        <v>33</v>
      </c>
      <c r="N696" t="s">
        <v>29</v>
      </c>
      <c r="O696" t="s">
        <v>16</v>
      </c>
      <c r="P696" t="s">
        <v>34</v>
      </c>
      <c r="Q696" t="str">
        <f t="shared" si="81"/>
        <v/>
      </c>
      <c r="R696" s="5">
        <v>46193</v>
      </c>
      <c r="S696" s="8">
        <f t="shared" si="82"/>
        <v>183.8235294117647</v>
      </c>
      <c r="T696">
        <f t="shared" si="83"/>
        <v>1500000</v>
      </c>
      <c r="U696" t="str">
        <f t="shared" si="84"/>
        <v>Luxury</v>
      </c>
      <c r="V696" t="str">
        <f t="shared" si="85"/>
        <v>Medium</v>
      </c>
      <c r="W696" t="str">
        <f>IF(S696 &lt; VLOOKUP(E696, Locality_Tier_Benchmarks!A:B, 2, FALSE) * 0.7, "Below Tier Range", "Normal")</f>
        <v>Normal</v>
      </c>
      <c r="X696" t="str">
        <f t="shared" si="86"/>
        <v>Normal</v>
      </c>
      <c r="Y696" t="str">
        <f t="shared" si="87"/>
        <v>Normal</v>
      </c>
      <c r="Z696" t="str">
        <f t="shared" si="80"/>
        <v>Pass</v>
      </c>
    </row>
    <row r="697" spans="1:26" x14ac:dyDescent="0.25">
      <c r="A697" s="2" t="s">
        <v>1427</v>
      </c>
      <c r="B697" t="s">
        <v>17</v>
      </c>
      <c r="C697" t="s">
        <v>1463</v>
      </c>
      <c r="D697" s="2" t="str">
        <f>VLOOKUP(C697,Locality_Reference!A:C,2,)</f>
        <v>Central Line</v>
      </c>
      <c r="E697" s="2" t="str">
        <f>VLOOKUP(C697,Locality_Reference!A:C,3,)</f>
        <v>Premium/South</v>
      </c>
      <c r="F697" s="2" t="s">
        <v>1483</v>
      </c>
      <c r="G697" s="8">
        <v>100000</v>
      </c>
      <c r="H697">
        <v>2</v>
      </c>
      <c r="I697">
        <v>2</v>
      </c>
      <c r="J697">
        <v>4</v>
      </c>
      <c r="K697">
        <v>15</v>
      </c>
      <c r="L697">
        <v>670</v>
      </c>
      <c r="M697" t="s">
        <v>14</v>
      </c>
      <c r="N697" t="s">
        <v>15</v>
      </c>
      <c r="O697" t="s">
        <v>16</v>
      </c>
      <c r="P697" t="s">
        <v>52</v>
      </c>
      <c r="Q697" t="str">
        <f t="shared" si="81"/>
        <v>7.5</v>
      </c>
      <c r="R697" s="5">
        <v>46202</v>
      </c>
      <c r="S697" s="8">
        <f t="shared" si="82"/>
        <v>149.25373134328359</v>
      </c>
      <c r="T697">
        <f t="shared" si="83"/>
        <v>1200000</v>
      </c>
      <c r="U697" t="str">
        <f t="shared" si="84"/>
        <v>Premium</v>
      </c>
      <c r="V697" t="str">
        <f t="shared" si="85"/>
        <v>Medium</v>
      </c>
      <c r="W697" t="str">
        <f>IF(S697 &lt; VLOOKUP(E697, Locality_Tier_Benchmarks!A:B, 2, FALSE) * 0.7, "Below Tier Range", "Normal")</f>
        <v>Normal</v>
      </c>
      <c r="X697" t="str">
        <f t="shared" si="86"/>
        <v>Normal</v>
      </c>
      <c r="Y697" t="str">
        <f t="shared" si="87"/>
        <v>Normal</v>
      </c>
      <c r="Z697" t="str">
        <f t="shared" si="80"/>
        <v>Pass</v>
      </c>
    </row>
    <row r="698" spans="1:26" x14ac:dyDescent="0.25">
      <c r="A698" s="2" t="s">
        <v>1428</v>
      </c>
      <c r="B698" t="s">
        <v>17</v>
      </c>
      <c r="C698" t="s">
        <v>1463</v>
      </c>
      <c r="D698" s="2" t="str">
        <f>VLOOKUP(C698,Locality_Reference!A:C,2,)</f>
        <v>Central Line</v>
      </c>
      <c r="E698" s="2" t="str">
        <f>VLOOKUP(C698,Locality_Reference!A:C,3,)</f>
        <v>Premium/South</v>
      </c>
      <c r="F698" s="2" t="s">
        <v>1484</v>
      </c>
      <c r="G698" s="8">
        <v>125000</v>
      </c>
      <c r="H698">
        <v>2</v>
      </c>
      <c r="I698">
        <v>2</v>
      </c>
      <c r="J698">
        <v>21</v>
      </c>
      <c r="K698">
        <v>31</v>
      </c>
      <c r="L698">
        <v>711</v>
      </c>
      <c r="M698" t="s">
        <v>36</v>
      </c>
      <c r="N698" t="s">
        <v>29</v>
      </c>
      <c r="O698" t="s">
        <v>16</v>
      </c>
      <c r="P698" t="s">
        <v>47</v>
      </c>
      <c r="Q698" t="str">
        <f t="shared" si="81"/>
        <v>1</v>
      </c>
      <c r="R698" s="5">
        <v>46196</v>
      </c>
      <c r="S698" s="8">
        <f t="shared" si="82"/>
        <v>175.80872011251759</v>
      </c>
      <c r="T698">
        <f t="shared" si="83"/>
        <v>1500000</v>
      </c>
      <c r="U698" t="str">
        <f t="shared" si="84"/>
        <v>Luxury</v>
      </c>
      <c r="V698" t="str">
        <f t="shared" si="85"/>
        <v>Medium</v>
      </c>
      <c r="W698" t="str">
        <f>IF(S698 &lt; VLOOKUP(E698, Locality_Tier_Benchmarks!A:B, 2, FALSE) * 0.7, "Below Tier Range", "Normal")</f>
        <v>Normal</v>
      </c>
      <c r="X698" t="str">
        <f t="shared" si="86"/>
        <v>Normal</v>
      </c>
      <c r="Y698" t="str">
        <f t="shared" si="87"/>
        <v>Normal</v>
      </c>
      <c r="Z698" t="str">
        <f t="shared" si="80"/>
        <v>Pass</v>
      </c>
    </row>
    <row r="699" spans="1:26" x14ac:dyDescent="0.25">
      <c r="A699" s="2" t="s">
        <v>1429</v>
      </c>
      <c r="B699" t="s">
        <v>17</v>
      </c>
      <c r="C699" t="s">
        <v>1463</v>
      </c>
      <c r="D699" s="2" t="str">
        <f>VLOOKUP(C699,Locality_Reference!A:C,2,)</f>
        <v>Central Line</v>
      </c>
      <c r="E699" s="2" t="str">
        <f>VLOOKUP(C699,Locality_Reference!A:C,3,)</f>
        <v>Premium/South</v>
      </c>
      <c r="F699" s="2" t="s">
        <v>1255</v>
      </c>
      <c r="G699" s="8">
        <v>140000</v>
      </c>
      <c r="H699">
        <v>2</v>
      </c>
      <c r="I699">
        <v>2</v>
      </c>
      <c r="J699">
        <v>19</v>
      </c>
      <c r="K699">
        <v>44</v>
      </c>
      <c r="L699">
        <v>761</v>
      </c>
      <c r="M699" t="s">
        <v>36</v>
      </c>
      <c r="N699" t="s">
        <v>29</v>
      </c>
      <c r="O699" t="s">
        <v>16</v>
      </c>
      <c r="P699" t="s">
        <v>31</v>
      </c>
      <c r="Q699" t="str">
        <f t="shared" si="81"/>
        <v>3</v>
      </c>
      <c r="R699" s="5">
        <v>46196</v>
      </c>
      <c r="S699" s="8">
        <f t="shared" si="82"/>
        <v>183.96846254927726</v>
      </c>
      <c r="T699">
        <f t="shared" si="83"/>
        <v>1680000</v>
      </c>
      <c r="U699" t="str">
        <f t="shared" si="84"/>
        <v>Luxury</v>
      </c>
      <c r="V699" t="str">
        <f t="shared" si="85"/>
        <v>Medium</v>
      </c>
      <c r="W699" t="str">
        <f>IF(S699 &lt; VLOOKUP(E699, Locality_Tier_Benchmarks!A:B, 2, FALSE) * 0.7, "Below Tier Range", "Normal")</f>
        <v>Normal</v>
      </c>
      <c r="X699" t="str">
        <f t="shared" si="86"/>
        <v>Normal</v>
      </c>
      <c r="Y699" t="str">
        <f t="shared" si="87"/>
        <v>Normal</v>
      </c>
      <c r="Z699" t="str">
        <f t="shared" si="80"/>
        <v>Pass</v>
      </c>
    </row>
    <row r="700" spans="1:26" x14ac:dyDescent="0.25">
      <c r="A700" s="2" t="s">
        <v>1430</v>
      </c>
      <c r="B700" t="s">
        <v>17</v>
      </c>
      <c r="C700" t="s">
        <v>1463</v>
      </c>
      <c r="D700" s="2" t="str">
        <f>VLOOKUP(C700,Locality_Reference!A:C,2,)</f>
        <v>Central Line</v>
      </c>
      <c r="E700" s="2" t="str">
        <f>VLOOKUP(C700,Locality_Reference!A:C,3,)</f>
        <v>Premium/South</v>
      </c>
      <c r="F700" s="2" t="s">
        <v>1485</v>
      </c>
      <c r="G700" s="8">
        <v>200000</v>
      </c>
      <c r="H700">
        <v>3</v>
      </c>
      <c r="I700">
        <v>3</v>
      </c>
      <c r="J700">
        <v>17</v>
      </c>
      <c r="K700">
        <v>25</v>
      </c>
      <c r="L700">
        <v>1200</v>
      </c>
      <c r="M700" t="s">
        <v>14</v>
      </c>
      <c r="N700" t="s">
        <v>15</v>
      </c>
      <c r="O700" t="s">
        <v>16</v>
      </c>
      <c r="P700" t="s">
        <v>31</v>
      </c>
      <c r="Q700" t="str">
        <f t="shared" si="81"/>
        <v>3</v>
      </c>
      <c r="R700" s="5">
        <v>46185</v>
      </c>
      <c r="S700" s="8">
        <f t="shared" si="82"/>
        <v>166.66666666666666</v>
      </c>
      <c r="T700">
        <f t="shared" si="83"/>
        <v>2400000</v>
      </c>
      <c r="U700" t="str">
        <f t="shared" si="84"/>
        <v>Luxury</v>
      </c>
      <c r="V700" t="str">
        <f t="shared" si="85"/>
        <v>Large</v>
      </c>
      <c r="W700" t="str">
        <f>IF(S700 &lt; VLOOKUP(E700, Locality_Tier_Benchmarks!A:B, 2, FALSE) * 0.7, "Below Tier Range", "Normal")</f>
        <v>Normal</v>
      </c>
      <c r="X700" t="str">
        <f t="shared" si="86"/>
        <v>Normal</v>
      </c>
      <c r="Y700" t="str">
        <f t="shared" si="87"/>
        <v>Normal</v>
      </c>
      <c r="Z700" t="str">
        <f t="shared" si="80"/>
        <v>Pass</v>
      </c>
    </row>
    <row r="701" spans="1:26" x14ac:dyDescent="0.25">
      <c r="A701" s="2" t="s">
        <v>1431</v>
      </c>
      <c r="B701" t="s">
        <v>17</v>
      </c>
      <c r="C701" t="s">
        <v>1463</v>
      </c>
      <c r="D701" s="2" t="str">
        <f>VLOOKUP(C701,Locality_Reference!A:C,2,)</f>
        <v>Central Line</v>
      </c>
      <c r="E701" s="2" t="str">
        <f>VLOOKUP(C701,Locality_Reference!A:C,3,)</f>
        <v>Premium/South</v>
      </c>
      <c r="F701" s="2" t="s">
        <v>1486</v>
      </c>
      <c r="G701" s="8">
        <v>130000</v>
      </c>
      <c r="H701">
        <v>3</v>
      </c>
      <c r="I701">
        <v>3</v>
      </c>
      <c r="J701">
        <v>9</v>
      </c>
      <c r="K701">
        <v>10</v>
      </c>
      <c r="L701">
        <v>950</v>
      </c>
      <c r="M701" t="s">
        <v>14</v>
      </c>
      <c r="N701" t="s">
        <v>29</v>
      </c>
      <c r="O701" t="s">
        <v>16</v>
      </c>
      <c r="P701" t="s">
        <v>52</v>
      </c>
      <c r="Q701" t="str">
        <f t="shared" si="81"/>
        <v>7.5</v>
      </c>
      <c r="R701" s="5">
        <v>46196</v>
      </c>
      <c r="S701" s="8">
        <f t="shared" si="82"/>
        <v>136.84210526315789</v>
      </c>
      <c r="T701">
        <f t="shared" si="83"/>
        <v>1560000</v>
      </c>
      <c r="U701" t="str">
        <f t="shared" si="84"/>
        <v>Luxury</v>
      </c>
      <c r="V701" t="str">
        <f t="shared" si="85"/>
        <v>Large</v>
      </c>
      <c r="W701" t="str">
        <f>IF(S701 &lt; VLOOKUP(E701, Locality_Tier_Benchmarks!A:B, 2, FALSE) * 0.7, "Below Tier Range", "Normal")</f>
        <v>Normal</v>
      </c>
      <c r="X701" t="str">
        <f t="shared" si="86"/>
        <v>Normal</v>
      </c>
      <c r="Y701" t="str">
        <f t="shared" si="87"/>
        <v>Normal</v>
      </c>
      <c r="Z701" t="str">
        <f t="shared" si="80"/>
        <v>Pass</v>
      </c>
    </row>
    <row r="702" spans="1:26" x14ac:dyDescent="0.25">
      <c r="A702" s="2" t="s">
        <v>1432</v>
      </c>
      <c r="B702" t="s">
        <v>17</v>
      </c>
      <c r="C702" t="s">
        <v>1463</v>
      </c>
      <c r="D702" s="2" t="str">
        <f>VLOOKUP(C702,Locality_Reference!A:C,2,)</f>
        <v>Central Line</v>
      </c>
      <c r="E702" s="2" t="str">
        <f>VLOOKUP(C702,Locality_Reference!A:C,3,)</f>
        <v>Premium/South</v>
      </c>
      <c r="F702" s="2" t="s">
        <v>1487</v>
      </c>
      <c r="G702" s="8">
        <v>210000</v>
      </c>
      <c r="H702">
        <v>3</v>
      </c>
      <c r="I702">
        <v>3</v>
      </c>
      <c r="J702">
        <v>9</v>
      </c>
      <c r="K702">
        <v>21</v>
      </c>
      <c r="L702">
        <v>1190</v>
      </c>
      <c r="M702" t="s">
        <v>14</v>
      </c>
      <c r="N702" t="s">
        <v>15</v>
      </c>
      <c r="O702" t="s">
        <v>16</v>
      </c>
      <c r="P702" t="s">
        <v>34</v>
      </c>
      <c r="Q702" t="str">
        <f t="shared" si="81"/>
        <v/>
      </c>
      <c r="R702" s="5">
        <v>46177</v>
      </c>
      <c r="S702" s="8">
        <f t="shared" si="82"/>
        <v>176.47058823529412</v>
      </c>
      <c r="T702">
        <f t="shared" si="83"/>
        <v>2520000</v>
      </c>
      <c r="U702" t="str">
        <f t="shared" si="84"/>
        <v>Luxury</v>
      </c>
      <c r="V702" t="str">
        <f t="shared" si="85"/>
        <v>Large</v>
      </c>
      <c r="W702" t="str">
        <f>IF(S702 &lt; VLOOKUP(E702, Locality_Tier_Benchmarks!A:B, 2, FALSE) * 0.7, "Below Tier Range", "Normal")</f>
        <v>Normal</v>
      </c>
      <c r="X702" t="str">
        <f t="shared" si="86"/>
        <v>Normal</v>
      </c>
      <c r="Y702" t="str">
        <f t="shared" si="87"/>
        <v>Normal</v>
      </c>
      <c r="Z702" t="str">
        <f t="shared" si="80"/>
        <v>Pass</v>
      </c>
    </row>
    <row r="703" spans="1:26" x14ac:dyDescent="0.25">
      <c r="A703" s="2" t="s">
        <v>1433</v>
      </c>
      <c r="B703" t="s">
        <v>17</v>
      </c>
      <c r="C703" t="s">
        <v>1463</v>
      </c>
      <c r="D703" s="2" t="str">
        <f>VLOOKUP(C703,Locality_Reference!A:C,2,)</f>
        <v>Central Line</v>
      </c>
      <c r="E703" s="2" t="str">
        <f>VLOOKUP(C703,Locality_Reference!A:C,3,)</f>
        <v>Premium/South</v>
      </c>
      <c r="F703" s="2" t="s">
        <v>1488</v>
      </c>
      <c r="G703" s="8">
        <v>200000</v>
      </c>
      <c r="H703">
        <v>3</v>
      </c>
      <c r="I703">
        <v>3</v>
      </c>
      <c r="J703">
        <v>6</v>
      </c>
      <c r="K703">
        <v>25</v>
      </c>
      <c r="L703">
        <v>1250</v>
      </c>
      <c r="M703" t="s">
        <v>14</v>
      </c>
      <c r="N703" t="s">
        <v>29</v>
      </c>
      <c r="O703" t="s">
        <v>16</v>
      </c>
      <c r="P703" t="s">
        <v>31</v>
      </c>
      <c r="Q703" t="str">
        <f t="shared" si="81"/>
        <v>3</v>
      </c>
      <c r="R703" s="5">
        <v>46189</v>
      </c>
      <c r="S703" s="8">
        <f t="shared" si="82"/>
        <v>160</v>
      </c>
      <c r="T703">
        <f t="shared" si="83"/>
        <v>2400000</v>
      </c>
      <c r="U703" t="str">
        <f t="shared" si="84"/>
        <v>Luxury</v>
      </c>
      <c r="V703" t="str">
        <f t="shared" si="85"/>
        <v>Spacious</v>
      </c>
      <c r="W703" t="str">
        <f>IF(S703 &lt; VLOOKUP(E703, Locality_Tier_Benchmarks!A:B, 2, FALSE) * 0.7, "Below Tier Range", "Normal")</f>
        <v>Normal</v>
      </c>
      <c r="X703" t="str">
        <f t="shared" si="86"/>
        <v>Normal</v>
      </c>
      <c r="Y703" t="str">
        <f t="shared" si="87"/>
        <v>Normal</v>
      </c>
      <c r="Z703" t="str">
        <f t="shared" si="80"/>
        <v>Pass</v>
      </c>
    </row>
    <row r="704" spans="1:26" x14ac:dyDescent="0.25">
      <c r="A704" s="2" t="s">
        <v>1434</v>
      </c>
      <c r="B704" t="s">
        <v>17</v>
      </c>
      <c r="C704" t="s">
        <v>1463</v>
      </c>
      <c r="D704" s="2" t="str">
        <f>VLOOKUP(C704,Locality_Reference!A:C,2,)</f>
        <v>Central Line</v>
      </c>
      <c r="E704" s="2" t="str">
        <f>VLOOKUP(C704,Locality_Reference!A:C,3,)</f>
        <v>Premium/South</v>
      </c>
      <c r="F704" s="2" t="s">
        <v>1489</v>
      </c>
      <c r="G704" s="8">
        <v>350000</v>
      </c>
      <c r="H704">
        <v>3</v>
      </c>
      <c r="I704">
        <v>3</v>
      </c>
      <c r="J704">
        <v>25</v>
      </c>
      <c r="K704">
        <v>26</v>
      </c>
      <c r="L704">
        <v>1450</v>
      </c>
      <c r="M704" t="s">
        <v>14</v>
      </c>
      <c r="N704" t="s">
        <v>15</v>
      </c>
      <c r="O704" t="s">
        <v>16</v>
      </c>
      <c r="P704" t="s">
        <v>31</v>
      </c>
      <c r="Q704" t="str">
        <f t="shared" si="81"/>
        <v>3</v>
      </c>
      <c r="R704" s="5">
        <v>46191</v>
      </c>
      <c r="S704" s="8">
        <f t="shared" si="82"/>
        <v>241.37931034482759</v>
      </c>
      <c r="T704">
        <f t="shared" si="83"/>
        <v>4200000</v>
      </c>
      <c r="U704" t="str">
        <f t="shared" si="84"/>
        <v>Luxury</v>
      </c>
      <c r="V704" t="str">
        <f t="shared" si="85"/>
        <v>Spacious</v>
      </c>
      <c r="W704" t="str">
        <f>IF(S704 &lt; VLOOKUP(E704, Locality_Tier_Benchmarks!A:B, 2, FALSE) * 0.7, "Below Tier Range", "Normal")</f>
        <v>Normal</v>
      </c>
      <c r="X704" t="str">
        <f t="shared" si="86"/>
        <v>Normal</v>
      </c>
      <c r="Y704" t="str">
        <f t="shared" si="87"/>
        <v>Normal</v>
      </c>
      <c r="Z704" t="str">
        <f t="shared" si="80"/>
        <v>Pass</v>
      </c>
    </row>
    <row r="705" spans="1:26" x14ac:dyDescent="0.25">
      <c r="A705" s="2" t="s">
        <v>1435</v>
      </c>
      <c r="B705" t="s">
        <v>17</v>
      </c>
      <c r="C705" t="s">
        <v>490</v>
      </c>
      <c r="D705" s="2" t="str">
        <f>VLOOKUP(C705,Locality_Reference!A:C,2,)</f>
        <v>Central Line</v>
      </c>
      <c r="E705" s="2" t="str">
        <f>VLOOKUP(C705,Locality_Reference!A:C,3,)</f>
        <v>Mid Suburb</v>
      </c>
      <c r="F705" s="2" t="s">
        <v>1490</v>
      </c>
      <c r="G705" s="8">
        <v>150000</v>
      </c>
      <c r="H705">
        <v>3</v>
      </c>
      <c r="I705">
        <v>3</v>
      </c>
      <c r="J705">
        <v>1</v>
      </c>
      <c r="K705">
        <v>20</v>
      </c>
      <c r="L705">
        <v>930</v>
      </c>
      <c r="M705" t="s">
        <v>33</v>
      </c>
      <c r="N705" t="s">
        <v>15</v>
      </c>
      <c r="O705" t="s">
        <v>16</v>
      </c>
      <c r="P705" t="s">
        <v>47</v>
      </c>
      <c r="Q705" t="str">
        <f t="shared" si="81"/>
        <v>1</v>
      </c>
      <c r="R705" s="5">
        <v>46199</v>
      </c>
      <c r="S705" s="8">
        <f t="shared" si="82"/>
        <v>161.29032258064515</v>
      </c>
      <c r="T705">
        <f t="shared" si="83"/>
        <v>1800000</v>
      </c>
      <c r="U705" t="str">
        <f t="shared" si="84"/>
        <v>Luxury</v>
      </c>
      <c r="V705" t="str">
        <f t="shared" si="85"/>
        <v>Large</v>
      </c>
      <c r="W705" t="str">
        <f>IF(S705 &lt; VLOOKUP(E705, Locality_Tier_Benchmarks!A:B, 2, FALSE) * 0.7, "Below Tier Range", "Normal")</f>
        <v>Normal</v>
      </c>
      <c r="X705" t="str">
        <f t="shared" si="86"/>
        <v>Normal</v>
      </c>
      <c r="Y705" t="str">
        <f t="shared" si="87"/>
        <v>Normal</v>
      </c>
      <c r="Z705" t="str">
        <f t="shared" si="80"/>
        <v>Pass</v>
      </c>
    </row>
    <row r="706" spans="1:26" x14ac:dyDescent="0.25">
      <c r="A706" s="2" t="s">
        <v>1436</v>
      </c>
      <c r="B706" t="s">
        <v>17</v>
      </c>
      <c r="C706" t="s">
        <v>490</v>
      </c>
      <c r="D706" s="2" t="str">
        <f>VLOOKUP(C706,Locality_Reference!A:C,2,)</f>
        <v>Central Line</v>
      </c>
      <c r="E706" s="2" t="str">
        <f>VLOOKUP(C706,Locality_Reference!A:C,3,)</f>
        <v>Mid Suburb</v>
      </c>
      <c r="F706" s="2" t="s">
        <v>1491</v>
      </c>
      <c r="G706" s="8">
        <v>95000</v>
      </c>
      <c r="H706">
        <v>3</v>
      </c>
      <c r="I706">
        <v>2</v>
      </c>
      <c r="J706">
        <v>3</v>
      </c>
      <c r="K706">
        <v>20</v>
      </c>
      <c r="L706">
        <v>780</v>
      </c>
      <c r="M706" t="s">
        <v>33</v>
      </c>
      <c r="N706" t="s">
        <v>29</v>
      </c>
      <c r="O706" t="s">
        <v>16</v>
      </c>
      <c r="P706" t="s">
        <v>47</v>
      </c>
      <c r="Q706" t="str">
        <f t="shared" si="81"/>
        <v>1</v>
      </c>
      <c r="R706" s="5">
        <v>46198</v>
      </c>
      <c r="S706" s="8">
        <f t="shared" si="82"/>
        <v>121.7948717948718</v>
      </c>
      <c r="T706">
        <f t="shared" si="83"/>
        <v>1140000</v>
      </c>
      <c r="U706" t="str">
        <f t="shared" si="84"/>
        <v>Premium</v>
      </c>
      <c r="V706" t="str">
        <f t="shared" si="85"/>
        <v>Medium</v>
      </c>
      <c r="W706" t="str">
        <f>IF(S706 &lt; VLOOKUP(E706, Locality_Tier_Benchmarks!A:B, 2, FALSE) * 0.7, "Below Tier Range", "Normal")</f>
        <v>Normal</v>
      </c>
      <c r="X706" t="str">
        <f t="shared" si="86"/>
        <v>Normal</v>
      </c>
      <c r="Y706" t="str">
        <f t="shared" si="87"/>
        <v>Normal</v>
      </c>
      <c r="Z706" t="str">
        <f t="shared" ref="Z706:Z769" si="88">IF(OR(W706&lt;&gt;"Normal",X706&lt;&gt;"Normal",Y706&lt;&gt;"Normal"),"Review","Pass")</f>
        <v>Pass</v>
      </c>
    </row>
    <row r="707" spans="1:26" x14ac:dyDescent="0.25">
      <c r="A707" s="2" t="s">
        <v>1437</v>
      </c>
      <c r="B707" t="s">
        <v>17</v>
      </c>
      <c r="C707" t="s">
        <v>490</v>
      </c>
      <c r="D707" s="2" t="str">
        <f>VLOOKUP(C707,Locality_Reference!A:C,2,)</f>
        <v>Central Line</v>
      </c>
      <c r="E707" s="2" t="str">
        <f>VLOOKUP(C707,Locality_Reference!A:C,3,)</f>
        <v>Mid Suburb</v>
      </c>
      <c r="F707" s="2" t="s">
        <v>1492</v>
      </c>
      <c r="G707" s="8">
        <v>195000</v>
      </c>
      <c r="H707">
        <v>3</v>
      </c>
      <c r="I707">
        <v>3</v>
      </c>
      <c r="J707">
        <v>11</v>
      </c>
      <c r="K707">
        <v>20</v>
      </c>
      <c r="L707">
        <v>1600</v>
      </c>
      <c r="M707" t="s">
        <v>14</v>
      </c>
      <c r="N707" t="s">
        <v>15</v>
      </c>
      <c r="O707" t="s">
        <v>16</v>
      </c>
      <c r="P707" t="s">
        <v>23</v>
      </c>
      <c r="Q707" t="str">
        <f t="shared" ref="Q707:Q770" si="89">IF(P707="20+ Years","20",IF(P707="15-20 Years","17.5",IF(P707="10+ Years","10",IF(P707="5-10 Years","7.5",IF(P707="1-5 Years","3",IF(P707="0-1 Year","1",""))))))</f>
        <v>10</v>
      </c>
      <c r="R707" s="5">
        <v>46170</v>
      </c>
      <c r="S707" s="8">
        <f t="shared" ref="S707:S770" si="90">G707/L707</f>
        <v>121.875</v>
      </c>
      <c r="T707">
        <f t="shared" ref="T707:T770" si="91">G707*12</f>
        <v>2340000</v>
      </c>
      <c r="U707" t="str">
        <f t="shared" ref="U707:U770" si="92">IF(G707&lt;=30000,"Budget",IF(G707&lt;=60000,"Mid",IF(G707&lt;=100000,"Premium","Luxury")))</f>
        <v>Luxury</v>
      </c>
      <c r="V707" t="str">
        <f t="shared" ref="V707:V770" si="93">IF(L707&lt;=500,"Compact",IF(L707&lt;=800,"Medium",IF(L707&lt;=1200,"Large","Spacious")))</f>
        <v>Spacious</v>
      </c>
      <c r="W707" t="str">
        <f>IF(S707 &lt; VLOOKUP(E707, Locality_Tier_Benchmarks!A:B, 2, FALSE) * 0.7, "Below Tier Range", "Normal")</f>
        <v>Normal</v>
      </c>
      <c r="X707" t="str">
        <f t="shared" ref="X707:X770" si="94">IF(G707&lt;7000,"Below Absolute Floor","Normal")</f>
        <v>Normal</v>
      </c>
      <c r="Y707" t="str">
        <f t="shared" ref="Y707:Y770" si="95">IF(S707&gt;500,"Possible Typo - Check Zero","Normal")</f>
        <v>Normal</v>
      </c>
      <c r="Z707" t="str">
        <f t="shared" si="88"/>
        <v>Pass</v>
      </c>
    </row>
    <row r="708" spans="1:26" x14ac:dyDescent="0.25">
      <c r="A708" s="2" t="s">
        <v>1438</v>
      </c>
      <c r="B708" t="s">
        <v>17</v>
      </c>
      <c r="C708" t="s">
        <v>490</v>
      </c>
      <c r="D708" s="2" t="str">
        <f>VLOOKUP(C708,Locality_Reference!A:C,2,)</f>
        <v>Central Line</v>
      </c>
      <c r="E708" s="2" t="str">
        <f>VLOOKUP(C708,Locality_Reference!A:C,3,)</f>
        <v>Mid Suburb</v>
      </c>
      <c r="F708" s="2" t="s">
        <v>1493</v>
      </c>
      <c r="G708" s="8">
        <v>95000</v>
      </c>
      <c r="H708">
        <v>3</v>
      </c>
      <c r="I708">
        <v>3</v>
      </c>
      <c r="J708">
        <v>5</v>
      </c>
      <c r="K708">
        <v>10</v>
      </c>
      <c r="L708">
        <v>1000</v>
      </c>
      <c r="M708" t="s">
        <v>33</v>
      </c>
      <c r="N708" t="s">
        <v>15</v>
      </c>
      <c r="O708" t="s">
        <v>16</v>
      </c>
      <c r="P708" t="s">
        <v>47</v>
      </c>
      <c r="Q708" t="str">
        <f t="shared" si="89"/>
        <v>1</v>
      </c>
      <c r="R708" s="5">
        <v>46193</v>
      </c>
      <c r="S708" s="8">
        <f t="shared" si="90"/>
        <v>95</v>
      </c>
      <c r="T708">
        <f t="shared" si="91"/>
        <v>1140000</v>
      </c>
      <c r="U708" t="str">
        <f t="shared" si="92"/>
        <v>Premium</v>
      </c>
      <c r="V708" t="str">
        <f t="shared" si="93"/>
        <v>Large</v>
      </c>
      <c r="W708" t="str">
        <f>IF(S708 &lt; VLOOKUP(E708, Locality_Tier_Benchmarks!A:B, 2, FALSE) * 0.7, "Below Tier Range", "Normal")</f>
        <v>Normal</v>
      </c>
      <c r="X708" t="str">
        <f t="shared" si="94"/>
        <v>Normal</v>
      </c>
      <c r="Y708" t="str">
        <f t="shared" si="95"/>
        <v>Normal</v>
      </c>
      <c r="Z708" t="str">
        <f t="shared" si="88"/>
        <v>Pass</v>
      </c>
    </row>
    <row r="709" spans="1:26" x14ac:dyDescent="0.25">
      <c r="A709" s="2" t="s">
        <v>1439</v>
      </c>
      <c r="B709" t="s">
        <v>17</v>
      </c>
      <c r="C709" t="s">
        <v>490</v>
      </c>
      <c r="D709" s="2" t="str">
        <f>VLOOKUP(C709,Locality_Reference!A:C,2,)</f>
        <v>Central Line</v>
      </c>
      <c r="E709" s="2" t="str">
        <f>VLOOKUP(C709,Locality_Reference!A:C,3,)</f>
        <v>Mid Suburb</v>
      </c>
      <c r="F709" s="2" t="s">
        <v>1494</v>
      </c>
      <c r="G709" s="8">
        <v>100000</v>
      </c>
      <c r="H709">
        <v>3</v>
      </c>
      <c r="I709">
        <v>3</v>
      </c>
      <c r="J709">
        <v>1</v>
      </c>
      <c r="K709">
        <v>1</v>
      </c>
      <c r="L709">
        <v>1220</v>
      </c>
      <c r="M709" t="s">
        <v>33</v>
      </c>
      <c r="N709" t="s">
        <v>15</v>
      </c>
      <c r="O709" t="s">
        <v>16</v>
      </c>
      <c r="P709" t="s">
        <v>23</v>
      </c>
      <c r="Q709" t="str">
        <f t="shared" si="89"/>
        <v>10</v>
      </c>
      <c r="R709" s="5">
        <v>46188</v>
      </c>
      <c r="S709" s="8">
        <f t="shared" si="90"/>
        <v>81.967213114754102</v>
      </c>
      <c r="T709">
        <f t="shared" si="91"/>
        <v>1200000</v>
      </c>
      <c r="U709" t="str">
        <f t="shared" si="92"/>
        <v>Premium</v>
      </c>
      <c r="V709" t="str">
        <f t="shared" si="93"/>
        <v>Spacious</v>
      </c>
      <c r="W709" t="str">
        <f>IF(S709 &lt; VLOOKUP(E709, Locality_Tier_Benchmarks!A:B, 2, FALSE) * 0.7, "Below Tier Range", "Normal")</f>
        <v>Normal</v>
      </c>
      <c r="X709" t="str">
        <f t="shared" si="94"/>
        <v>Normal</v>
      </c>
      <c r="Y709" t="str">
        <f t="shared" si="95"/>
        <v>Normal</v>
      </c>
      <c r="Z709" t="str">
        <f t="shared" si="88"/>
        <v>Pass</v>
      </c>
    </row>
    <row r="710" spans="1:26" x14ac:dyDescent="0.25">
      <c r="A710" s="2" t="s">
        <v>1440</v>
      </c>
      <c r="B710" t="s">
        <v>17</v>
      </c>
      <c r="C710" t="s">
        <v>490</v>
      </c>
      <c r="D710" s="2" t="str">
        <f>VLOOKUP(C710,Locality_Reference!A:C,2,)</f>
        <v>Central Line</v>
      </c>
      <c r="E710" s="2" t="str">
        <f>VLOOKUP(C710,Locality_Reference!A:C,3,)</f>
        <v>Mid Suburb</v>
      </c>
      <c r="F710" s="2" t="s">
        <v>1495</v>
      </c>
      <c r="G710" s="8">
        <v>105000</v>
      </c>
      <c r="H710">
        <v>2</v>
      </c>
      <c r="I710">
        <v>2</v>
      </c>
      <c r="J710">
        <v>8</v>
      </c>
      <c r="K710">
        <v>20</v>
      </c>
      <c r="L710">
        <v>740</v>
      </c>
      <c r="M710" t="s">
        <v>36</v>
      </c>
      <c r="N710" t="s">
        <v>15</v>
      </c>
      <c r="O710" t="s">
        <v>16</v>
      </c>
      <c r="P710" t="s">
        <v>34</v>
      </c>
      <c r="Q710" t="str">
        <f t="shared" si="89"/>
        <v/>
      </c>
      <c r="R710" s="5">
        <v>46169</v>
      </c>
      <c r="S710" s="8">
        <f t="shared" si="90"/>
        <v>141.8918918918919</v>
      </c>
      <c r="T710">
        <f t="shared" si="91"/>
        <v>1260000</v>
      </c>
      <c r="U710" t="str">
        <f t="shared" si="92"/>
        <v>Luxury</v>
      </c>
      <c r="V710" t="str">
        <f t="shared" si="93"/>
        <v>Medium</v>
      </c>
      <c r="W710" t="str">
        <f>IF(S710 &lt; VLOOKUP(E710, Locality_Tier_Benchmarks!A:B, 2, FALSE) * 0.7, "Below Tier Range", "Normal")</f>
        <v>Normal</v>
      </c>
      <c r="X710" t="str">
        <f t="shared" si="94"/>
        <v>Normal</v>
      </c>
      <c r="Y710" t="str">
        <f t="shared" si="95"/>
        <v>Normal</v>
      </c>
      <c r="Z710" t="str">
        <f t="shared" si="88"/>
        <v>Pass</v>
      </c>
    </row>
    <row r="711" spans="1:26" x14ac:dyDescent="0.25">
      <c r="A711" s="2" t="s">
        <v>1441</v>
      </c>
      <c r="B711" t="s">
        <v>17</v>
      </c>
      <c r="C711" t="s">
        <v>490</v>
      </c>
      <c r="D711" s="2" t="str">
        <f>VLOOKUP(C711,Locality_Reference!A:C,2,)</f>
        <v>Central Line</v>
      </c>
      <c r="E711" s="2" t="str">
        <f>VLOOKUP(C711,Locality_Reference!A:C,3,)</f>
        <v>Mid Suburb</v>
      </c>
      <c r="F711" s="2" t="s">
        <v>1496</v>
      </c>
      <c r="G711" s="8">
        <v>48000</v>
      </c>
      <c r="H711">
        <v>2</v>
      </c>
      <c r="I711">
        <v>2</v>
      </c>
      <c r="J711">
        <v>3</v>
      </c>
      <c r="K711">
        <v>3</v>
      </c>
      <c r="L711">
        <v>550</v>
      </c>
      <c r="M711" t="s">
        <v>36</v>
      </c>
      <c r="N711" t="s">
        <v>29</v>
      </c>
      <c r="O711" t="s">
        <v>16</v>
      </c>
      <c r="P711" t="s">
        <v>23</v>
      </c>
      <c r="Q711" t="str">
        <f t="shared" si="89"/>
        <v>10</v>
      </c>
      <c r="R711" s="5">
        <v>46199</v>
      </c>
      <c r="S711" s="8">
        <f t="shared" si="90"/>
        <v>87.272727272727266</v>
      </c>
      <c r="T711">
        <f t="shared" si="91"/>
        <v>576000</v>
      </c>
      <c r="U711" t="str">
        <f t="shared" si="92"/>
        <v>Mid</v>
      </c>
      <c r="V711" t="str">
        <f t="shared" si="93"/>
        <v>Medium</v>
      </c>
      <c r="W711" t="str">
        <f>IF(S711 &lt; VLOOKUP(E711, Locality_Tier_Benchmarks!A:B, 2, FALSE) * 0.7, "Below Tier Range", "Normal")</f>
        <v>Normal</v>
      </c>
      <c r="X711" t="str">
        <f t="shared" si="94"/>
        <v>Normal</v>
      </c>
      <c r="Y711" t="str">
        <f t="shared" si="95"/>
        <v>Normal</v>
      </c>
      <c r="Z711" t="str">
        <f t="shared" si="88"/>
        <v>Pass</v>
      </c>
    </row>
    <row r="712" spans="1:26" x14ac:dyDescent="0.25">
      <c r="A712" s="2" t="s">
        <v>1442</v>
      </c>
      <c r="B712" t="s">
        <v>17</v>
      </c>
      <c r="C712" t="s">
        <v>490</v>
      </c>
      <c r="D712" s="2" t="str">
        <f>VLOOKUP(C712,Locality_Reference!A:C,2,)</f>
        <v>Central Line</v>
      </c>
      <c r="E712" s="2" t="str">
        <f>VLOOKUP(C712,Locality_Reference!A:C,3,)</f>
        <v>Mid Suburb</v>
      </c>
      <c r="F712" s="2" t="s">
        <v>1497</v>
      </c>
      <c r="G712" s="8">
        <v>46000</v>
      </c>
      <c r="H712">
        <v>2</v>
      </c>
      <c r="I712">
        <v>2</v>
      </c>
      <c r="J712">
        <v>5</v>
      </c>
      <c r="K712">
        <v>7</v>
      </c>
      <c r="L712">
        <v>571</v>
      </c>
      <c r="M712" t="s">
        <v>33</v>
      </c>
      <c r="N712" t="s">
        <v>29</v>
      </c>
      <c r="O712" t="s">
        <v>16</v>
      </c>
      <c r="P712" t="s">
        <v>52</v>
      </c>
      <c r="Q712" t="str">
        <f t="shared" si="89"/>
        <v>7.5</v>
      </c>
      <c r="R712" s="5">
        <v>46193</v>
      </c>
      <c r="S712" s="8">
        <f t="shared" si="90"/>
        <v>80.560420315236428</v>
      </c>
      <c r="T712">
        <f t="shared" si="91"/>
        <v>552000</v>
      </c>
      <c r="U712" t="str">
        <f t="shared" si="92"/>
        <v>Mid</v>
      </c>
      <c r="V712" t="str">
        <f t="shared" si="93"/>
        <v>Medium</v>
      </c>
      <c r="W712" t="str">
        <f>IF(S712 &lt; VLOOKUP(E712, Locality_Tier_Benchmarks!A:B, 2, FALSE) * 0.7, "Below Tier Range", "Normal")</f>
        <v>Normal</v>
      </c>
      <c r="X712" t="str">
        <f t="shared" si="94"/>
        <v>Normal</v>
      </c>
      <c r="Y712" t="str">
        <f t="shared" si="95"/>
        <v>Normal</v>
      </c>
      <c r="Z712" t="str">
        <f t="shared" si="88"/>
        <v>Pass</v>
      </c>
    </row>
    <row r="713" spans="1:26" x14ac:dyDescent="0.25">
      <c r="A713" s="2" t="s">
        <v>1443</v>
      </c>
      <c r="B713" t="s">
        <v>17</v>
      </c>
      <c r="C713" t="s">
        <v>490</v>
      </c>
      <c r="D713" s="2" t="str">
        <f>VLOOKUP(C713,Locality_Reference!A:C,2,)</f>
        <v>Central Line</v>
      </c>
      <c r="E713" s="2" t="str">
        <f>VLOOKUP(C713,Locality_Reference!A:C,3,)</f>
        <v>Mid Suburb</v>
      </c>
      <c r="F713" s="2" t="s">
        <v>1498</v>
      </c>
      <c r="G713" s="8">
        <v>65000</v>
      </c>
      <c r="H713">
        <v>2</v>
      </c>
      <c r="I713">
        <v>2</v>
      </c>
      <c r="J713">
        <v>2</v>
      </c>
      <c r="K713">
        <v>9</v>
      </c>
      <c r="L713">
        <v>650</v>
      </c>
      <c r="M713" t="s">
        <v>33</v>
      </c>
      <c r="N713" t="s">
        <v>29</v>
      </c>
      <c r="O713" t="s">
        <v>16</v>
      </c>
      <c r="P713" t="s">
        <v>47</v>
      </c>
      <c r="Q713" t="str">
        <f t="shared" si="89"/>
        <v>1</v>
      </c>
      <c r="R713" s="5">
        <v>46183</v>
      </c>
      <c r="S713" s="8">
        <f t="shared" si="90"/>
        <v>100</v>
      </c>
      <c r="T713">
        <f t="shared" si="91"/>
        <v>780000</v>
      </c>
      <c r="U713" t="str">
        <f t="shared" si="92"/>
        <v>Premium</v>
      </c>
      <c r="V713" t="str">
        <f t="shared" si="93"/>
        <v>Medium</v>
      </c>
      <c r="W713" t="str">
        <f>IF(S713 &lt; VLOOKUP(E713, Locality_Tier_Benchmarks!A:B, 2, FALSE) * 0.7, "Below Tier Range", "Normal")</f>
        <v>Normal</v>
      </c>
      <c r="X713" t="str">
        <f t="shared" si="94"/>
        <v>Normal</v>
      </c>
      <c r="Y713" t="str">
        <f t="shared" si="95"/>
        <v>Normal</v>
      </c>
      <c r="Z713" t="str">
        <f t="shared" si="88"/>
        <v>Pass</v>
      </c>
    </row>
    <row r="714" spans="1:26" x14ac:dyDescent="0.25">
      <c r="A714" s="2" t="s">
        <v>1444</v>
      </c>
      <c r="B714" t="s">
        <v>17</v>
      </c>
      <c r="C714" t="s">
        <v>490</v>
      </c>
      <c r="D714" s="2" t="str">
        <f>VLOOKUP(C714,Locality_Reference!A:C,2,)</f>
        <v>Central Line</v>
      </c>
      <c r="E714" s="2" t="str">
        <f>VLOOKUP(C714,Locality_Reference!A:C,3,)</f>
        <v>Mid Suburb</v>
      </c>
      <c r="F714" s="2" t="s">
        <v>1499</v>
      </c>
      <c r="G714" s="8">
        <v>80000</v>
      </c>
      <c r="H714">
        <v>2</v>
      </c>
      <c r="I714">
        <v>2</v>
      </c>
      <c r="J714">
        <v>7</v>
      </c>
      <c r="K714">
        <v>12</v>
      </c>
      <c r="L714">
        <v>650</v>
      </c>
      <c r="M714" t="s">
        <v>36</v>
      </c>
      <c r="N714" t="s">
        <v>29</v>
      </c>
      <c r="O714" t="s">
        <v>16</v>
      </c>
      <c r="P714" t="s">
        <v>34</v>
      </c>
      <c r="Q714" t="str">
        <f t="shared" si="89"/>
        <v/>
      </c>
      <c r="R714" s="5">
        <v>46200</v>
      </c>
      <c r="S714" s="8">
        <f t="shared" si="90"/>
        <v>123.07692307692308</v>
      </c>
      <c r="T714">
        <f t="shared" si="91"/>
        <v>960000</v>
      </c>
      <c r="U714" t="str">
        <f t="shared" si="92"/>
        <v>Premium</v>
      </c>
      <c r="V714" t="str">
        <f t="shared" si="93"/>
        <v>Medium</v>
      </c>
      <c r="W714" t="str">
        <f>IF(S714 &lt; VLOOKUP(E714, Locality_Tier_Benchmarks!A:B, 2, FALSE) * 0.7, "Below Tier Range", "Normal")</f>
        <v>Normal</v>
      </c>
      <c r="X714" t="str">
        <f t="shared" si="94"/>
        <v>Normal</v>
      </c>
      <c r="Y714" t="str">
        <f t="shared" si="95"/>
        <v>Normal</v>
      </c>
      <c r="Z714" t="str">
        <f t="shared" si="88"/>
        <v>Pass</v>
      </c>
    </row>
    <row r="715" spans="1:26" x14ac:dyDescent="0.25">
      <c r="A715" s="2" t="s">
        <v>1445</v>
      </c>
      <c r="B715" t="s">
        <v>17</v>
      </c>
      <c r="C715" t="s">
        <v>490</v>
      </c>
      <c r="D715" s="2" t="str">
        <f>VLOOKUP(C715,Locality_Reference!A:C,2,)</f>
        <v>Central Line</v>
      </c>
      <c r="E715" s="2" t="str">
        <f>VLOOKUP(C715,Locality_Reference!A:C,3,)</f>
        <v>Mid Suburb</v>
      </c>
      <c r="F715" s="2" t="s">
        <v>1500</v>
      </c>
      <c r="G715" s="8">
        <v>42000</v>
      </c>
      <c r="H715">
        <v>1</v>
      </c>
      <c r="I715">
        <v>1</v>
      </c>
      <c r="J715">
        <v>1</v>
      </c>
      <c r="K715">
        <v>4</v>
      </c>
      <c r="L715">
        <v>400</v>
      </c>
      <c r="M715" t="s">
        <v>36</v>
      </c>
      <c r="N715" t="s">
        <v>29</v>
      </c>
      <c r="O715" t="s">
        <v>16</v>
      </c>
      <c r="P715" t="s">
        <v>23</v>
      </c>
      <c r="Q715" t="str">
        <f t="shared" si="89"/>
        <v>10</v>
      </c>
      <c r="R715" s="5">
        <v>46194</v>
      </c>
      <c r="S715" s="8">
        <f t="shared" si="90"/>
        <v>105</v>
      </c>
      <c r="T715">
        <f t="shared" si="91"/>
        <v>504000</v>
      </c>
      <c r="U715" t="str">
        <f t="shared" si="92"/>
        <v>Mid</v>
      </c>
      <c r="V715" t="str">
        <f t="shared" si="93"/>
        <v>Compact</v>
      </c>
      <c r="W715" t="str">
        <f>IF(S715 &lt; VLOOKUP(E715, Locality_Tier_Benchmarks!A:B, 2, FALSE) * 0.7, "Below Tier Range", "Normal")</f>
        <v>Normal</v>
      </c>
      <c r="X715" t="str">
        <f t="shared" si="94"/>
        <v>Normal</v>
      </c>
      <c r="Y715" t="str">
        <f t="shared" si="95"/>
        <v>Normal</v>
      </c>
      <c r="Z715" t="str">
        <f t="shared" si="88"/>
        <v>Pass</v>
      </c>
    </row>
    <row r="716" spans="1:26" x14ac:dyDescent="0.25">
      <c r="A716" s="2" t="s">
        <v>1446</v>
      </c>
      <c r="B716" t="s">
        <v>17</v>
      </c>
      <c r="C716" t="s">
        <v>490</v>
      </c>
      <c r="D716" s="2" t="str">
        <f>VLOOKUP(C716,Locality_Reference!A:C,2,)</f>
        <v>Central Line</v>
      </c>
      <c r="E716" s="2" t="str">
        <f>VLOOKUP(C716,Locality_Reference!A:C,3,)</f>
        <v>Mid Suburb</v>
      </c>
      <c r="F716" s="2" t="s">
        <v>1501</v>
      </c>
      <c r="G716" s="8">
        <v>30000</v>
      </c>
      <c r="H716">
        <v>1</v>
      </c>
      <c r="I716">
        <v>1</v>
      </c>
      <c r="J716">
        <v>4</v>
      </c>
      <c r="K716">
        <v>7</v>
      </c>
      <c r="L716">
        <v>320</v>
      </c>
      <c r="M716" t="s">
        <v>33</v>
      </c>
      <c r="N716" t="s">
        <v>29</v>
      </c>
      <c r="O716" t="s">
        <v>16</v>
      </c>
      <c r="P716" t="s">
        <v>52</v>
      </c>
      <c r="Q716" t="str">
        <f t="shared" si="89"/>
        <v>7.5</v>
      </c>
      <c r="R716" s="5">
        <v>46194</v>
      </c>
      <c r="S716" s="8">
        <f t="shared" si="90"/>
        <v>93.75</v>
      </c>
      <c r="T716">
        <f t="shared" si="91"/>
        <v>360000</v>
      </c>
      <c r="U716" t="str">
        <f t="shared" si="92"/>
        <v>Budget</v>
      </c>
      <c r="V716" t="str">
        <f t="shared" si="93"/>
        <v>Compact</v>
      </c>
      <c r="W716" t="str">
        <f>IF(S716 &lt; VLOOKUP(E716, Locality_Tier_Benchmarks!A:B, 2, FALSE) * 0.7, "Below Tier Range", "Normal")</f>
        <v>Normal</v>
      </c>
      <c r="X716" t="str">
        <f t="shared" si="94"/>
        <v>Normal</v>
      </c>
      <c r="Y716" t="str">
        <f t="shared" si="95"/>
        <v>Normal</v>
      </c>
      <c r="Z716" t="str">
        <f t="shared" si="88"/>
        <v>Pass</v>
      </c>
    </row>
    <row r="717" spans="1:26" x14ac:dyDescent="0.25">
      <c r="A717" s="2" t="s">
        <v>1447</v>
      </c>
      <c r="B717" t="s">
        <v>17</v>
      </c>
      <c r="C717" t="s">
        <v>490</v>
      </c>
      <c r="D717" s="2" t="str">
        <f>VLOOKUP(C717,Locality_Reference!A:C,2,)</f>
        <v>Central Line</v>
      </c>
      <c r="E717" s="2" t="str">
        <f>VLOOKUP(C717,Locality_Reference!A:C,3,)</f>
        <v>Mid Suburb</v>
      </c>
      <c r="F717" s="2" t="s">
        <v>1491</v>
      </c>
      <c r="G717" s="8">
        <v>49000</v>
      </c>
      <c r="H717">
        <v>1</v>
      </c>
      <c r="I717">
        <v>2</v>
      </c>
      <c r="J717">
        <v>7</v>
      </c>
      <c r="K717">
        <v>20</v>
      </c>
      <c r="L717">
        <v>440</v>
      </c>
      <c r="M717" t="s">
        <v>33</v>
      </c>
      <c r="N717" t="s">
        <v>15</v>
      </c>
      <c r="O717" t="s">
        <v>16</v>
      </c>
      <c r="P717" t="s">
        <v>47</v>
      </c>
      <c r="Q717" t="str">
        <f t="shared" si="89"/>
        <v>1</v>
      </c>
      <c r="R717" s="5">
        <v>46176</v>
      </c>
      <c r="S717" s="8">
        <f t="shared" si="90"/>
        <v>111.36363636363636</v>
      </c>
      <c r="T717">
        <f t="shared" si="91"/>
        <v>588000</v>
      </c>
      <c r="U717" t="str">
        <f t="shared" si="92"/>
        <v>Mid</v>
      </c>
      <c r="V717" t="str">
        <f t="shared" si="93"/>
        <v>Compact</v>
      </c>
      <c r="W717" t="str">
        <f>IF(S717 &lt; VLOOKUP(E717, Locality_Tier_Benchmarks!A:B, 2, FALSE) * 0.7, "Below Tier Range", "Normal")</f>
        <v>Normal</v>
      </c>
      <c r="X717" t="str">
        <f t="shared" si="94"/>
        <v>Normal</v>
      </c>
      <c r="Y717" t="str">
        <f t="shared" si="95"/>
        <v>Normal</v>
      </c>
      <c r="Z717" t="str">
        <f t="shared" si="88"/>
        <v>Pass</v>
      </c>
    </row>
    <row r="718" spans="1:26" x14ac:dyDescent="0.25">
      <c r="A718" s="2" t="s">
        <v>1448</v>
      </c>
      <c r="B718" t="s">
        <v>17</v>
      </c>
      <c r="C718" t="s">
        <v>490</v>
      </c>
      <c r="D718" s="2" t="str">
        <f>VLOOKUP(C718,Locality_Reference!A:C,2,)</f>
        <v>Central Line</v>
      </c>
      <c r="E718" s="2" t="str">
        <f>VLOOKUP(C718,Locality_Reference!A:C,3,)</f>
        <v>Mid Suburb</v>
      </c>
      <c r="F718" s="2" t="s">
        <v>1502</v>
      </c>
      <c r="G718" s="8">
        <v>36000</v>
      </c>
      <c r="H718">
        <v>1</v>
      </c>
      <c r="I718">
        <v>1</v>
      </c>
      <c r="J718">
        <v>4</v>
      </c>
      <c r="K718">
        <v>7</v>
      </c>
      <c r="L718">
        <v>440</v>
      </c>
      <c r="M718" t="s">
        <v>36</v>
      </c>
      <c r="N718" t="s">
        <v>29</v>
      </c>
      <c r="O718" t="s">
        <v>16</v>
      </c>
      <c r="P718" t="s">
        <v>52</v>
      </c>
      <c r="Q718" t="str">
        <f t="shared" si="89"/>
        <v>7.5</v>
      </c>
      <c r="R718" s="5">
        <v>46189</v>
      </c>
      <c r="S718" s="8">
        <f t="shared" si="90"/>
        <v>81.818181818181813</v>
      </c>
      <c r="T718">
        <f t="shared" si="91"/>
        <v>432000</v>
      </c>
      <c r="U718" t="str">
        <f t="shared" si="92"/>
        <v>Mid</v>
      </c>
      <c r="V718" t="str">
        <f t="shared" si="93"/>
        <v>Compact</v>
      </c>
      <c r="W718" t="str">
        <f>IF(S718 &lt; VLOOKUP(E718, Locality_Tier_Benchmarks!A:B, 2, FALSE) * 0.7, "Below Tier Range", "Normal")</f>
        <v>Normal</v>
      </c>
      <c r="X718" t="str">
        <f t="shared" si="94"/>
        <v>Normal</v>
      </c>
      <c r="Y718" t="str">
        <f t="shared" si="95"/>
        <v>Normal</v>
      </c>
      <c r="Z718" t="str">
        <f t="shared" si="88"/>
        <v>Pass</v>
      </c>
    </row>
    <row r="719" spans="1:26" x14ac:dyDescent="0.25">
      <c r="A719" s="2" t="s">
        <v>1449</v>
      </c>
      <c r="B719" t="s">
        <v>17</v>
      </c>
      <c r="C719" t="s">
        <v>490</v>
      </c>
      <c r="D719" s="2" t="str">
        <f>VLOOKUP(C719,Locality_Reference!A:C,2,)</f>
        <v>Central Line</v>
      </c>
      <c r="E719" s="2" t="str">
        <f>VLOOKUP(C719,Locality_Reference!A:C,3,)</f>
        <v>Mid Suburb</v>
      </c>
      <c r="F719" s="2" t="s">
        <v>1503</v>
      </c>
      <c r="G719" s="8">
        <v>35000</v>
      </c>
      <c r="H719">
        <v>1</v>
      </c>
      <c r="I719">
        <v>1</v>
      </c>
      <c r="J719">
        <v>4</v>
      </c>
      <c r="K719">
        <v>7</v>
      </c>
      <c r="L719">
        <v>350</v>
      </c>
      <c r="M719" t="s">
        <v>36</v>
      </c>
      <c r="N719" t="s">
        <v>29</v>
      </c>
      <c r="O719" t="s">
        <v>16</v>
      </c>
      <c r="P719" t="s">
        <v>52</v>
      </c>
      <c r="Q719" t="str">
        <f t="shared" si="89"/>
        <v>7.5</v>
      </c>
      <c r="R719" s="5">
        <v>46152</v>
      </c>
      <c r="S719" s="8">
        <f t="shared" si="90"/>
        <v>100</v>
      </c>
      <c r="T719">
        <f t="shared" si="91"/>
        <v>420000</v>
      </c>
      <c r="U719" t="str">
        <f t="shared" si="92"/>
        <v>Mid</v>
      </c>
      <c r="V719" t="str">
        <f t="shared" si="93"/>
        <v>Compact</v>
      </c>
      <c r="W719" t="str">
        <f>IF(S719 &lt; VLOOKUP(E719, Locality_Tier_Benchmarks!A:B, 2, FALSE) * 0.7, "Below Tier Range", "Normal")</f>
        <v>Normal</v>
      </c>
      <c r="X719" t="str">
        <f t="shared" si="94"/>
        <v>Normal</v>
      </c>
      <c r="Y719" t="str">
        <f t="shared" si="95"/>
        <v>Normal</v>
      </c>
      <c r="Z719" t="str">
        <f t="shared" si="88"/>
        <v>Pass</v>
      </c>
    </row>
    <row r="720" spans="1:26" x14ac:dyDescent="0.25">
      <c r="A720" s="2" t="s">
        <v>1450</v>
      </c>
      <c r="B720" t="s">
        <v>17</v>
      </c>
      <c r="C720" t="s">
        <v>1504</v>
      </c>
      <c r="D720" s="2" t="str">
        <f>VLOOKUP(C720,Locality_Reference!A:C,2,)</f>
        <v>Central Line</v>
      </c>
      <c r="E720" s="2" t="str">
        <f>VLOOKUP(C720,Locality_Reference!A:C,3,)</f>
        <v>Mid Suburb</v>
      </c>
      <c r="F720" s="2" t="s">
        <v>1585</v>
      </c>
      <c r="G720" s="8">
        <v>48000</v>
      </c>
      <c r="H720">
        <v>1</v>
      </c>
      <c r="I720">
        <v>2</v>
      </c>
      <c r="J720">
        <v>10</v>
      </c>
      <c r="K720">
        <v>15</v>
      </c>
      <c r="L720">
        <v>434</v>
      </c>
      <c r="M720" t="s">
        <v>36</v>
      </c>
      <c r="N720" t="s">
        <v>29</v>
      </c>
      <c r="O720" t="s">
        <v>16</v>
      </c>
      <c r="P720" t="s">
        <v>34</v>
      </c>
      <c r="Q720" t="str">
        <f t="shared" si="89"/>
        <v/>
      </c>
      <c r="R720" s="5">
        <v>46183</v>
      </c>
      <c r="S720" s="8">
        <f t="shared" si="90"/>
        <v>110.59907834101382</v>
      </c>
      <c r="T720">
        <f t="shared" si="91"/>
        <v>576000</v>
      </c>
      <c r="U720" t="str">
        <f t="shared" si="92"/>
        <v>Mid</v>
      </c>
      <c r="V720" t="str">
        <f t="shared" si="93"/>
        <v>Compact</v>
      </c>
      <c r="W720" t="str">
        <f>IF(S720 &lt; VLOOKUP(E720, Locality_Tier_Benchmarks!A:B, 2, FALSE) * 0.7, "Below Tier Range", "Normal")</f>
        <v>Normal</v>
      </c>
      <c r="X720" t="str">
        <f t="shared" si="94"/>
        <v>Normal</v>
      </c>
      <c r="Y720" t="str">
        <f t="shared" si="95"/>
        <v>Normal</v>
      </c>
      <c r="Z720" t="str">
        <f t="shared" si="88"/>
        <v>Pass</v>
      </c>
    </row>
    <row r="721" spans="1:26" x14ac:dyDescent="0.25">
      <c r="A721" s="2" t="s">
        <v>1451</v>
      </c>
      <c r="B721" t="s">
        <v>17</v>
      </c>
      <c r="C721" t="s">
        <v>1504</v>
      </c>
      <c r="D721" s="2" t="str">
        <f>VLOOKUP(C721,Locality_Reference!A:C,2,)</f>
        <v>Central Line</v>
      </c>
      <c r="E721" s="2" t="str">
        <f>VLOOKUP(C721,Locality_Reference!A:C,3,)</f>
        <v>Mid Suburb</v>
      </c>
      <c r="F721" s="2" t="s">
        <v>1586</v>
      </c>
      <c r="G721" s="8">
        <v>40000</v>
      </c>
      <c r="H721">
        <v>1</v>
      </c>
      <c r="I721">
        <v>2</v>
      </c>
      <c r="J721">
        <v>8</v>
      </c>
      <c r="K721">
        <v>19</v>
      </c>
      <c r="L721">
        <v>464</v>
      </c>
      <c r="M721" t="s">
        <v>36</v>
      </c>
      <c r="N721" t="s">
        <v>15</v>
      </c>
      <c r="O721" t="s">
        <v>16</v>
      </c>
      <c r="P721" t="s">
        <v>47</v>
      </c>
      <c r="Q721" t="str">
        <f t="shared" si="89"/>
        <v>1</v>
      </c>
      <c r="R721" s="5">
        <v>46165</v>
      </c>
      <c r="S721" s="8">
        <f t="shared" si="90"/>
        <v>86.206896551724142</v>
      </c>
      <c r="T721">
        <f t="shared" si="91"/>
        <v>480000</v>
      </c>
      <c r="U721" t="str">
        <f t="shared" si="92"/>
        <v>Mid</v>
      </c>
      <c r="V721" t="str">
        <f t="shared" si="93"/>
        <v>Compact</v>
      </c>
      <c r="W721" t="str">
        <f>IF(S721 &lt; VLOOKUP(E721, Locality_Tier_Benchmarks!A:B, 2, FALSE) * 0.7, "Below Tier Range", "Normal")</f>
        <v>Normal</v>
      </c>
      <c r="X721" t="str">
        <f t="shared" si="94"/>
        <v>Normal</v>
      </c>
      <c r="Y721" t="str">
        <f t="shared" si="95"/>
        <v>Normal</v>
      </c>
      <c r="Z721" t="str">
        <f t="shared" si="88"/>
        <v>Pass</v>
      </c>
    </row>
    <row r="722" spans="1:26" x14ac:dyDescent="0.25">
      <c r="A722" s="2" t="s">
        <v>1506</v>
      </c>
      <c r="B722" t="s">
        <v>17</v>
      </c>
      <c r="C722" t="s">
        <v>1504</v>
      </c>
      <c r="D722" s="2" t="str">
        <f>VLOOKUP(C722,Locality_Reference!A:C,2,)</f>
        <v>Central Line</v>
      </c>
      <c r="E722" s="2" t="str">
        <f>VLOOKUP(C722,Locality_Reference!A:C,3,)</f>
        <v>Mid Suburb</v>
      </c>
      <c r="F722" s="2" t="s">
        <v>1587</v>
      </c>
      <c r="G722" s="8">
        <v>45000</v>
      </c>
      <c r="H722">
        <v>1</v>
      </c>
      <c r="I722">
        <v>2</v>
      </c>
      <c r="J722">
        <v>8</v>
      </c>
      <c r="K722">
        <v>17</v>
      </c>
      <c r="L722">
        <v>400</v>
      </c>
      <c r="M722" t="s">
        <v>33</v>
      </c>
      <c r="N722" t="s">
        <v>29</v>
      </c>
      <c r="O722" t="s">
        <v>16</v>
      </c>
      <c r="P722" t="s">
        <v>34</v>
      </c>
      <c r="Q722" t="str">
        <f t="shared" si="89"/>
        <v/>
      </c>
      <c r="R722" s="5">
        <v>46196</v>
      </c>
      <c r="S722" s="8">
        <f t="shared" si="90"/>
        <v>112.5</v>
      </c>
      <c r="T722">
        <f t="shared" si="91"/>
        <v>540000</v>
      </c>
      <c r="U722" t="str">
        <f t="shared" si="92"/>
        <v>Mid</v>
      </c>
      <c r="V722" t="str">
        <f t="shared" si="93"/>
        <v>Compact</v>
      </c>
      <c r="W722" t="str">
        <f>IF(S722 &lt; VLOOKUP(E722, Locality_Tier_Benchmarks!A:B, 2, FALSE) * 0.7, "Below Tier Range", "Normal")</f>
        <v>Normal</v>
      </c>
      <c r="X722" t="str">
        <f t="shared" si="94"/>
        <v>Normal</v>
      </c>
      <c r="Y722" t="str">
        <f t="shared" si="95"/>
        <v>Normal</v>
      </c>
      <c r="Z722" t="str">
        <f t="shared" si="88"/>
        <v>Pass</v>
      </c>
    </row>
    <row r="723" spans="1:26" x14ac:dyDescent="0.25">
      <c r="A723" s="2" t="s">
        <v>1507</v>
      </c>
      <c r="B723" t="s">
        <v>17</v>
      </c>
      <c r="C723" t="s">
        <v>1504</v>
      </c>
      <c r="D723" s="2" t="str">
        <f>VLOOKUP(C723,Locality_Reference!A:C,2,)</f>
        <v>Central Line</v>
      </c>
      <c r="E723" s="2" t="str">
        <f>VLOOKUP(C723,Locality_Reference!A:C,3,)</f>
        <v>Mid Suburb</v>
      </c>
      <c r="F723" s="2" t="s">
        <v>1588</v>
      </c>
      <c r="G723" s="8">
        <v>40000</v>
      </c>
      <c r="H723">
        <v>1</v>
      </c>
      <c r="I723">
        <v>2</v>
      </c>
      <c r="J723">
        <v>15</v>
      </c>
      <c r="K723">
        <v>19</v>
      </c>
      <c r="L723">
        <v>484.6</v>
      </c>
      <c r="M723" t="s">
        <v>33</v>
      </c>
      <c r="N723" t="s">
        <v>15</v>
      </c>
      <c r="O723" t="s">
        <v>16</v>
      </c>
      <c r="P723" t="s">
        <v>47</v>
      </c>
      <c r="Q723" t="str">
        <f t="shared" si="89"/>
        <v>1</v>
      </c>
      <c r="R723" s="5">
        <v>46196</v>
      </c>
      <c r="S723" s="8">
        <f t="shared" si="90"/>
        <v>82.542302930251751</v>
      </c>
      <c r="T723">
        <f t="shared" si="91"/>
        <v>480000</v>
      </c>
      <c r="U723" t="str">
        <f t="shared" si="92"/>
        <v>Mid</v>
      </c>
      <c r="V723" t="str">
        <f t="shared" si="93"/>
        <v>Compact</v>
      </c>
      <c r="W723" t="str">
        <f>IF(S723 &lt; VLOOKUP(E723, Locality_Tier_Benchmarks!A:B, 2, FALSE) * 0.7, "Below Tier Range", "Normal")</f>
        <v>Normal</v>
      </c>
      <c r="X723" t="str">
        <f t="shared" si="94"/>
        <v>Normal</v>
      </c>
      <c r="Y723" t="str">
        <f t="shared" si="95"/>
        <v>Normal</v>
      </c>
      <c r="Z723" t="str">
        <f t="shared" si="88"/>
        <v>Pass</v>
      </c>
    </row>
    <row r="724" spans="1:26" x14ac:dyDescent="0.25">
      <c r="A724" s="2" t="s">
        <v>1508</v>
      </c>
      <c r="B724" t="s">
        <v>17</v>
      </c>
      <c r="C724" t="s">
        <v>1504</v>
      </c>
      <c r="D724" s="2" t="str">
        <f>VLOOKUP(C724,Locality_Reference!A:C,2,)</f>
        <v>Central Line</v>
      </c>
      <c r="E724" s="2" t="str">
        <f>VLOOKUP(C724,Locality_Reference!A:C,3,)</f>
        <v>Mid Suburb</v>
      </c>
      <c r="F724" s="2" t="s">
        <v>1589</v>
      </c>
      <c r="G724" s="8">
        <v>18000</v>
      </c>
      <c r="H724">
        <v>1</v>
      </c>
      <c r="I724">
        <v>1</v>
      </c>
      <c r="J724">
        <v>2</v>
      </c>
      <c r="K724">
        <v>2</v>
      </c>
      <c r="L724">
        <v>160</v>
      </c>
      <c r="M724" t="s">
        <v>36</v>
      </c>
      <c r="N724" t="s">
        <v>15</v>
      </c>
      <c r="O724" t="s">
        <v>16</v>
      </c>
      <c r="P724" t="s">
        <v>31</v>
      </c>
      <c r="Q724" t="str">
        <f t="shared" si="89"/>
        <v>3</v>
      </c>
      <c r="R724" s="5">
        <v>46192</v>
      </c>
      <c r="S724" s="8">
        <f t="shared" si="90"/>
        <v>112.5</v>
      </c>
      <c r="T724">
        <f t="shared" si="91"/>
        <v>216000</v>
      </c>
      <c r="U724" t="str">
        <f t="shared" si="92"/>
        <v>Budget</v>
      </c>
      <c r="V724" t="str">
        <f t="shared" si="93"/>
        <v>Compact</v>
      </c>
      <c r="W724" t="str">
        <f>IF(S724 &lt; VLOOKUP(E724, Locality_Tier_Benchmarks!A:B, 2, FALSE) * 0.7, "Below Tier Range", "Normal")</f>
        <v>Normal</v>
      </c>
      <c r="X724" t="str">
        <f t="shared" si="94"/>
        <v>Normal</v>
      </c>
      <c r="Y724" t="str">
        <f t="shared" si="95"/>
        <v>Normal</v>
      </c>
      <c r="Z724" t="str">
        <f t="shared" si="88"/>
        <v>Pass</v>
      </c>
    </row>
    <row r="725" spans="1:26" x14ac:dyDescent="0.25">
      <c r="A725" s="2" t="s">
        <v>1509</v>
      </c>
      <c r="B725" t="s">
        <v>17</v>
      </c>
      <c r="C725" t="s">
        <v>1504</v>
      </c>
      <c r="D725" s="2" t="str">
        <f>VLOOKUP(C725,Locality_Reference!A:C,2,)</f>
        <v>Central Line</v>
      </c>
      <c r="E725" s="2" t="str">
        <f>VLOOKUP(C725,Locality_Reference!A:C,3,)</f>
        <v>Mid Suburb</v>
      </c>
      <c r="F725" s="2" t="s">
        <v>1590</v>
      </c>
      <c r="G725" s="8">
        <v>65000</v>
      </c>
      <c r="H725">
        <v>2</v>
      </c>
      <c r="I725">
        <v>2</v>
      </c>
      <c r="J725">
        <v>15</v>
      </c>
      <c r="K725">
        <v>17</v>
      </c>
      <c r="L725">
        <v>600</v>
      </c>
      <c r="M725" t="s">
        <v>33</v>
      </c>
      <c r="N725" t="s">
        <v>29</v>
      </c>
      <c r="O725" t="s">
        <v>16</v>
      </c>
      <c r="P725" t="s">
        <v>31</v>
      </c>
      <c r="Q725" t="str">
        <f t="shared" si="89"/>
        <v>3</v>
      </c>
      <c r="R725" s="5">
        <v>46164</v>
      </c>
      <c r="S725" s="8">
        <f t="shared" si="90"/>
        <v>108.33333333333333</v>
      </c>
      <c r="T725">
        <f t="shared" si="91"/>
        <v>780000</v>
      </c>
      <c r="U725" t="str">
        <f t="shared" si="92"/>
        <v>Premium</v>
      </c>
      <c r="V725" t="str">
        <f t="shared" si="93"/>
        <v>Medium</v>
      </c>
      <c r="W725" t="str">
        <f>IF(S725 &lt; VLOOKUP(E725, Locality_Tier_Benchmarks!A:B, 2, FALSE) * 0.7, "Below Tier Range", "Normal")</f>
        <v>Normal</v>
      </c>
      <c r="X725" t="str">
        <f t="shared" si="94"/>
        <v>Normal</v>
      </c>
      <c r="Y725" t="str">
        <f t="shared" si="95"/>
        <v>Normal</v>
      </c>
      <c r="Z725" t="str">
        <f t="shared" si="88"/>
        <v>Pass</v>
      </c>
    </row>
    <row r="726" spans="1:26" x14ac:dyDescent="0.25">
      <c r="A726" s="2" t="s">
        <v>1510</v>
      </c>
      <c r="B726" t="s">
        <v>17</v>
      </c>
      <c r="C726" t="s">
        <v>1504</v>
      </c>
      <c r="D726" s="2" t="str">
        <f>VLOOKUP(C726,Locality_Reference!A:C,2,)</f>
        <v>Central Line</v>
      </c>
      <c r="E726" s="2" t="str">
        <f>VLOOKUP(C726,Locality_Reference!A:C,3,)</f>
        <v>Mid Suburb</v>
      </c>
      <c r="F726" s="2" t="s">
        <v>1591</v>
      </c>
      <c r="G726" s="8">
        <v>60000</v>
      </c>
      <c r="H726">
        <v>2</v>
      </c>
      <c r="I726">
        <v>2</v>
      </c>
      <c r="J726">
        <v>11</v>
      </c>
      <c r="K726">
        <v>16</v>
      </c>
      <c r="L726">
        <v>600</v>
      </c>
      <c r="M726" t="s">
        <v>36</v>
      </c>
      <c r="N726" t="s">
        <v>15</v>
      </c>
      <c r="O726" t="s">
        <v>16</v>
      </c>
      <c r="P726" t="s">
        <v>34</v>
      </c>
      <c r="Q726" t="str">
        <f t="shared" si="89"/>
        <v/>
      </c>
      <c r="R726" s="5">
        <v>46181</v>
      </c>
      <c r="S726" s="8">
        <f t="shared" si="90"/>
        <v>100</v>
      </c>
      <c r="T726">
        <f t="shared" si="91"/>
        <v>720000</v>
      </c>
      <c r="U726" t="str">
        <f t="shared" si="92"/>
        <v>Mid</v>
      </c>
      <c r="V726" t="str">
        <f t="shared" si="93"/>
        <v>Medium</v>
      </c>
      <c r="W726" t="str">
        <f>IF(S726 &lt; VLOOKUP(E726, Locality_Tier_Benchmarks!A:B, 2, FALSE) * 0.7, "Below Tier Range", "Normal")</f>
        <v>Normal</v>
      </c>
      <c r="X726" t="str">
        <f t="shared" si="94"/>
        <v>Normal</v>
      </c>
      <c r="Y726" t="str">
        <f t="shared" si="95"/>
        <v>Normal</v>
      </c>
      <c r="Z726" t="str">
        <f t="shared" si="88"/>
        <v>Pass</v>
      </c>
    </row>
    <row r="727" spans="1:26" x14ac:dyDescent="0.25">
      <c r="A727" s="2" t="s">
        <v>1511</v>
      </c>
      <c r="B727" t="s">
        <v>17</v>
      </c>
      <c r="C727" t="s">
        <v>1504</v>
      </c>
      <c r="D727" s="2" t="str">
        <f>VLOOKUP(C727,Locality_Reference!A:C,2,)</f>
        <v>Central Line</v>
      </c>
      <c r="E727" s="2" t="str">
        <f>VLOOKUP(C727,Locality_Reference!A:C,3,)</f>
        <v>Mid Suburb</v>
      </c>
      <c r="F727" s="2" t="s">
        <v>1592</v>
      </c>
      <c r="G727" s="8">
        <v>45000</v>
      </c>
      <c r="H727">
        <v>2</v>
      </c>
      <c r="I727">
        <v>2</v>
      </c>
      <c r="J727">
        <v>10</v>
      </c>
      <c r="K727">
        <v>11</v>
      </c>
      <c r="L727">
        <v>535</v>
      </c>
      <c r="M727" t="s">
        <v>36</v>
      </c>
      <c r="N727" t="s">
        <v>29</v>
      </c>
      <c r="O727" t="s">
        <v>16</v>
      </c>
      <c r="P727" t="s">
        <v>47</v>
      </c>
      <c r="Q727" t="str">
        <f t="shared" si="89"/>
        <v>1</v>
      </c>
      <c r="R727" s="5">
        <v>46202</v>
      </c>
      <c r="S727" s="8">
        <f t="shared" si="90"/>
        <v>84.112149532710276</v>
      </c>
      <c r="T727">
        <f t="shared" si="91"/>
        <v>540000</v>
      </c>
      <c r="U727" t="str">
        <f t="shared" si="92"/>
        <v>Mid</v>
      </c>
      <c r="V727" t="str">
        <f t="shared" si="93"/>
        <v>Medium</v>
      </c>
      <c r="W727" t="str">
        <f>IF(S727 &lt; VLOOKUP(E727, Locality_Tier_Benchmarks!A:B, 2, FALSE) * 0.7, "Below Tier Range", "Normal")</f>
        <v>Normal</v>
      </c>
      <c r="X727" t="str">
        <f t="shared" si="94"/>
        <v>Normal</v>
      </c>
      <c r="Y727" t="str">
        <f t="shared" si="95"/>
        <v>Normal</v>
      </c>
      <c r="Z727" t="str">
        <f t="shared" si="88"/>
        <v>Pass</v>
      </c>
    </row>
    <row r="728" spans="1:26" x14ac:dyDescent="0.25">
      <c r="A728" s="2" t="s">
        <v>1512</v>
      </c>
      <c r="B728" t="s">
        <v>17</v>
      </c>
      <c r="C728" t="s">
        <v>1504</v>
      </c>
      <c r="D728" s="2" t="str">
        <f>VLOOKUP(C728,Locality_Reference!A:C,2,)</f>
        <v>Central Line</v>
      </c>
      <c r="E728" s="2" t="str">
        <f>VLOOKUP(C728,Locality_Reference!A:C,3,)</f>
        <v>Mid Suburb</v>
      </c>
      <c r="F728" s="2" t="s">
        <v>1593</v>
      </c>
      <c r="G728" s="8">
        <v>52000</v>
      </c>
      <c r="H728">
        <v>2</v>
      </c>
      <c r="I728">
        <v>2</v>
      </c>
      <c r="J728">
        <v>7</v>
      </c>
      <c r="K728">
        <v>17</v>
      </c>
      <c r="L728">
        <v>560</v>
      </c>
      <c r="M728" t="s">
        <v>36</v>
      </c>
      <c r="N728" t="s">
        <v>29</v>
      </c>
      <c r="O728" t="s">
        <v>16</v>
      </c>
      <c r="P728" t="s">
        <v>34</v>
      </c>
      <c r="Q728" t="str">
        <f t="shared" si="89"/>
        <v/>
      </c>
      <c r="R728" s="5">
        <v>46195</v>
      </c>
      <c r="S728" s="8">
        <f t="shared" si="90"/>
        <v>92.857142857142861</v>
      </c>
      <c r="T728">
        <f t="shared" si="91"/>
        <v>624000</v>
      </c>
      <c r="U728" t="str">
        <f t="shared" si="92"/>
        <v>Mid</v>
      </c>
      <c r="V728" t="str">
        <f t="shared" si="93"/>
        <v>Medium</v>
      </c>
      <c r="W728" t="str">
        <f>IF(S728 &lt; VLOOKUP(E728, Locality_Tier_Benchmarks!A:B, 2, FALSE) * 0.7, "Below Tier Range", "Normal")</f>
        <v>Normal</v>
      </c>
      <c r="X728" t="str">
        <f t="shared" si="94"/>
        <v>Normal</v>
      </c>
      <c r="Y728" t="str">
        <f t="shared" si="95"/>
        <v>Normal</v>
      </c>
      <c r="Z728" t="str">
        <f t="shared" si="88"/>
        <v>Pass</v>
      </c>
    </row>
    <row r="729" spans="1:26" x14ac:dyDescent="0.25">
      <c r="A729" s="2" t="s">
        <v>1513</v>
      </c>
      <c r="B729" t="s">
        <v>17</v>
      </c>
      <c r="C729" t="s">
        <v>1504</v>
      </c>
      <c r="D729" s="2" t="str">
        <f>VLOOKUP(C729,Locality_Reference!A:C,2,)</f>
        <v>Central Line</v>
      </c>
      <c r="E729" s="2" t="str">
        <f>VLOOKUP(C729,Locality_Reference!A:C,3,)</f>
        <v>Mid Suburb</v>
      </c>
      <c r="F729" s="2" t="s">
        <v>1585</v>
      </c>
      <c r="G729" s="8">
        <v>65000</v>
      </c>
      <c r="H729">
        <v>2</v>
      </c>
      <c r="I729">
        <v>2</v>
      </c>
      <c r="J729">
        <v>10</v>
      </c>
      <c r="K729">
        <v>15</v>
      </c>
      <c r="L729">
        <v>691</v>
      </c>
      <c r="M729" t="s">
        <v>14</v>
      </c>
      <c r="N729" t="s">
        <v>29</v>
      </c>
      <c r="O729" t="s">
        <v>16</v>
      </c>
      <c r="P729" t="s">
        <v>34</v>
      </c>
      <c r="Q729" t="str">
        <f t="shared" si="89"/>
        <v/>
      </c>
      <c r="R729" s="5">
        <v>46150</v>
      </c>
      <c r="S729" s="8">
        <f t="shared" si="90"/>
        <v>94.066570188133142</v>
      </c>
      <c r="T729">
        <f t="shared" si="91"/>
        <v>780000</v>
      </c>
      <c r="U729" t="str">
        <f t="shared" si="92"/>
        <v>Premium</v>
      </c>
      <c r="V729" t="str">
        <f t="shared" si="93"/>
        <v>Medium</v>
      </c>
      <c r="W729" t="str">
        <f>IF(S729 &lt; VLOOKUP(E729, Locality_Tier_Benchmarks!A:B, 2, FALSE) * 0.7, "Below Tier Range", "Normal")</f>
        <v>Normal</v>
      </c>
      <c r="X729" t="str">
        <f t="shared" si="94"/>
        <v>Normal</v>
      </c>
      <c r="Y729" t="str">
        <f t="shared" si="95"/>
        <v>Normal</v>
      </c>
      <c r="Z729" t="str">
        <f t="shared" si="88"/>
        <v>Pass</v>
      </c>
    </row>
    <row r="730" spans="1:26" x14ac:dyDescent="0.25">
      <c r="A730" s="2" t="s">
        <v>1514</v>
      </c>
      <c r="B730" t="s">
        <v>17</v>
      </c>
      <c r="C730" t="s">
        <v>1504</v>
      </c>
      <c r="D730" s="2" t="str">
        <f>VLOOKUP(C730,Locality_Reference!A:C,2,)</f>
        <v>Central Line</v>
      </c>
      <c r="E730" s="2" t="str">
        <f>VLOOKUP(C730,Locality_Reference!A:C,3,)</f>
        <v>Mid Suburb</v>
      </c>
      <c r="F730" s="2" t="s">
        <v>1594</v>
      </c>
      <c r="G730" s="8">
        <v>89000</v>
      </c>
      <c r="H730">
        <v>3</v>
      </c>
      <c r="I730">
        <v>3</v>
      </c>
      <c r="J730">
        <v>2</v>
      </c>
      <c r="K730">
        <v>4</v>
      </c>
      <c r="L730">
        <v>800</v>
      </c>
      <c r="M730" t="s">
        <v>36</v>
      </c>
      <c r="N730" t="s">
        <v>29</v>
      </c>
      <c r="O730" t="s">
        <v>16</v>
      </c>
      <c r="P730" t="s">
        <v>52</v>
      </c>
      <c r="Q730" t="str">
        <f t="shared" si="89"/>
        <v>7.5</v>
      </c>
      <c r="R730" s="5">
        <v>46191</v>
      </c>
      <c r="S730" s="8">
        <f t="shared" si="90"/>
        <v>111.25</v>
      </c>
      <c r="T730">
        <f t="shared" si="91"/>
        <v>1068000</v>
      </c>
      <c r="U730" t="str">
        <f t="shared" si="92"/>
        <v>Premium</v>
      </c>
      <c r="V730" t="str">
        <f t="shared" si="93"/>
        <v>Medium</v>
      </c>
      <c r="W730" t="str">
        <f>IF(S730 &lt; VLOOKUP(E730, Locality_Tier_Benchmarks!A:B, 2, FALSE) * 0.7, "Below Tier Range", "Normal")</f>
        <v>Normal</v>
      </c>
      <c r="X730" t="str">
        <f t="shared" si="94"/>
        <v>Normal</v>
      </c>
      <c r="Y730" t="str">
        <f t="shared" si="95"/>
        <v>Normal</v>
      </c>
      <c r="Z730" t="str">
        <f t="shared" si="88"/>
        <v>Pass</v>
      </c>
    </row>
    <row r="731" spans="1:26" x14ac:dyDescent="0.25">
      <c r="A731" s="2" t="s">
        <v>1515</v>
      </c>
      <c r="B731" t="s">
        <v>17</v>
      </c>
      <c r="C731" t="s">
        <v>1504</v>
      </c>
      <c r="D731" s="2" t="str">
        <f>VLOOKUP(C731,Locality_Reference!A:C,2,)</f>
        <v>Central Line</v>
      </c>
      <c r="E731" s="2" t="str">
        <f>VLOOKUP(C731,Locality_Reference!A:C,3,)</f>
        <v>Mid Suburb</v>
      </c>
      <c r="F731" s="2" t="s">
        <v>1588</v>
      </c>
      <c r="G731" s="8">
        <v>90000</v>
      </c>
      <c r="H731">
        <v>3</v>
      </c>
      <c r="I731">
        <v>3</v>
      </c>
      <c r="J731">
        <v>4</v>
      </c>
      <c r="K731">
        <v>15</v>
      </c>
      <c r="L731">
        <v>850</v>
      </c>
      <c r="M731" t="s">
        <v>36</v>
      </c>
      <c r="N731" t="s">
        <v>29</v>
      </c>
      <c r="O731" t="s">
        <v>16</v>
      </c>
      <c r="P731" t="s">
        <v>31</v>
      </c>
      <c r="Q731" t="str">
        <f t="shared" si="89"/>
        <v>3</v>
      </c>
      <c r="R731" s="5">
        <v>46172</v>
      </c>
      <c r="S731" s="8">
        <f t="shared" si="90"/>
        <v>105.88235294117646</v>
      </c>
      <c r="T731">
        <f t="shared" si="91"/>
        <v>1080000</v>
      </c>
      <c r="U731" t="str">
        <f t="shared" si="92"/>
        <v>Premium</v>
      </c>
      <c r="V731" t="str">
        <f t="shared" si="93"/>
        <v>Large</v>
      </c>
      <c r="W731" t="str">
        <f>IF(S731 &lt; VLOOKUP(E731, Locality_Tier_Benchmarks!A:B, 2, FALSE) * 0.7, "Below Tier Range", "Normal")</f>
        <v>Normal</v>
      </c>
      <c r="X731" t="str">
        <f t="shared" si="94"/>
        <v>Normal</v>
      </c>
      <c r="Y731" t="str">
        <f t="shared" si="95"/>
        <v>Normal</v>
      </c>
      <c r="Z731" t="str">
        <f t="shared" si="88"/>
        <v>Pass</v>
      </c>
    </row>
    <row r="732" spans="1:26" x14ac:dyDescent="0.25">
      <c r="A732" s="2" t="s">
        <v>1516</v>
      </c>
      <c r="B732" t="s">
        <v>366</v>
      </c>
      <c r="C732" t="s">
        <v>1504</v>
      </c>
      <c r="D732" s="2" t="str">
        <f>VLOOKUP(C732,Locality_Reference!A:C,2,)</f>
        <v>Central Line</v>
      </c>
      <c r="E732" s="2" t="str">
        <f>VLOOKUP(C732,Locality_Reference!A:C,3,)</f>
        <v>Mid Suburb</v>
      </c>
      <c r="F732" s="2" t="s">
        <v>1595</v>
      </c>
      <c r="G732" s="8">
        <v>85000</v>
      </c>
      <c r="H732">
        <v>3</v>
      </c>
      <c r="I732">
        <v>3</v>
      </c>
      <c r="J732">
        <v>8</v>
      </c>
      <c r="K732">
        <v>16</v>
      </c>
      <c r="L732">
        <v>830</v>
      </c>
      <c r="M732" t="s">
        <v>33</v>
      </c>
      <c r="N732" t="s">
        <v>34</v>
      </c>
      <c r="O732" t="s">
        <v>16</v>
      </c>
      <c r="P732" t="s">
        <v>31</v>
      </c>
      <c r="Q732" t="str">
        <f t="shared" si="89"/>
        <v>3</v>
      </c>
      <c r="R732" s="5">
        <v>46162</v>
      </c>
      <c r="S732" s="8">
        <f t="shared" si="90"/>
        <v>102.40963855421687</v>
      </c>
      <c r="T732">
        <f t="shared" si="91"/>
        <v>1020000</v>
      </c>
      <c r="U732" t="str">
        <f t="shared" si="92"/>
        <v>Premium</v>
      </c>
      <c r="V732" t="str">
        <f t="shared" si="93"/>
        <v>Large</v>
      </c>
      <c r="W732" t="str">
        <f>IF(S732 &lt; VLOOKUP(E732, Locality_Tier_Benchmarks!A:B, 2, FALSE) * 0.7, "Below Tier Range", "Normal")</f>
        <v>Normal</v>
      </c>
      <c r="X732" t="str">
        <f t="shared" si="94"/>
        <v>Normal</v>
      </c>
      <c r="Y732" t="str">
        <f t="shared" si="95"/>
        <v>Normal</v>
      </c>
      <c r="Z732" t="str">
        <f t="shared" si="88"/>
        <v>Pass</v>
      </c>
    </row>
    <row r="733" spans="1:26" x14ac:dyDescent="0.25">
      <c r="A733" s="2" t="s">
        <v>1517</v>
      </c>
      <c r="B733" t="s">
        <v>366</v>
      </c>
      <c r="C733" t="s">
        <v>1504</v>
      </c>
      <c r="D733" s="2" t="str">
        <f>VLOOKUP(C733,Locality_Reference!A:C,2,)</f>
        <v>Central Line</v>
      </c>
      <c r="E733" s="2" t="str">
        <f>VLOOKUP(C733,Locality_Reference!A:C,3,)</f>
        <v>Mid Suburb</v>
      </c>
      <c r="F733" s="2" t="s">
        <v>1596</v>
      </c>
      <c r="G733" s="8">
        <v>75000</v>
      </c>
      <c r="H733">
        <v>3</v>
      </c>
      <c r="I733">
        <v>3</v>
      </c>
      <c r="J733">
        <v>2</v>
      </c>
      <c r="K733">
        <v>15</v>
      </c>
      <c r="L733">
        <v>840</v>
      </c>
      <c r="M733" t="s">
        <v>36</v>
      </c>
      <c r="N733" t="s">
        <v>29</v>
      </c>
      <c r="O733" t="s">
        <v>16</v>
      </c>
      <c r="P733" t="s">
        <v>47</v>
      </c>
      <c r="Q733" t="str">
        <f t="shared" si="89"/>
        <v>1</v>
      </c>
      <c r="R733" s="5">
        <v>46150</v>
      </c>
      <c r="S733" s="8">
        <f t="shared" si="90"/>
        <v>89.285714285714292</v>
      </c>
      <c r="T733">
        <f t="shared" si="91"/>
        <v>900000</v>
      </c>
      <c r="U733" t="str">
        <f t="shared" si="92"/>
        <v>Premium</v>
      </c>
      <c r="V733" t="str">
        <f t="shared" si="93"/>
        <v>Large</v>
      </c>
      <c r="W733" t="str">
        <f>IF(S733 &lt; VLOOKUP(E733, Locality_Tier_Benchmarks!A:B, 2, FALSE) * 0.7, "Below Tier Range", "Normal")</f>
        <v>Normal</v>
      </c>
      <c r="X733" t="str">
        <f t="shared" si="94"/>
        <v>Normal</v>
      </c>
      <c r="Y733" t="str">
        <f t="shared" si="95"/>
        <v>Normal</v>
      </c>
      <c r="Z733" t="str">
        <f t="shared" si="88"/>
        <v>Pass</v>
      </c>
    </row>
    <row r="734" spans="1:26" x14ac:dyDescent="0.25">
      <c r="A734" s="2" t="s">
        <v>1518</v>
      </c>
      <c r="B734" t="s">
        <v>17</v>
      </c>
      <c r="C734" t="s">
        <v>1505</v>
      </c>
      <c r="D734" s="2" t="str">
        <f>VLOOKUP(C734,Locality_Reference!A:C,2,)</f>
        <v>Central Line</v>
      </c>
      <c r="E734" s="2" t="str">
        <f>VLOOKUP(C734,Locality_Reference!A:C,3,)</f>
        <v>Mid Suburb</v>
      </c>
      <c r="F734" s="2" t="s">
        <v>1597</v>
      </c>
      <c r="G734" s="8">
        <v>62500</v>
      </c>
      <c r="H734">
        <v>1</v>
      </c>
      <c r="I734">
        <v>2</v>
      </c>
      <c r="J734">
        <v>11</v>
      </c>
      <c r="K734">
        <v>12</v>
      </c>
      <c r="L734">
        <v>468</v>
      </c>
      <c r="M734" t="s">
        <v>36</v>
      </c>
      <c r="N734" t="s">
        <v>29</v>
      </c>
      <c r="O734" t="s">
        <v>16</v>
      </c>
      <c r="P734" t="s">
        <v>34</v>
      </c>
      <c r="Q734" t="str">
        <f t="shared" si="89"/>
        <v/>
      </c>
      <c r="R734" s="5">
        <v>46182</v>
      </c>
      <c r="S734" s="8">
        <f t="shared" si="90"/>
        <v>133.54700854700855</v>
      </c>
      <c r="T734">
        <f t="shared" si="91"/>
        <v>750000</v>
      </c>
      <c r="U734" t="str">
        <f t="shared" si="92"/>
        <v>Premium</v>
      </c>
      <c r="V734" t="str">
        <f t="shared" si="93"/>
        <v>Compact</v>
      </c>
      <c r="W734" t="str">
        <f>IF(S734 &lt; VLOOKUP(E734, Locality_Tier_Benchmarks!A:B, 2, FALSE) * 0.7, "Below Tier Range", "Normal")</f>
        <v>Normal</v>
      </c>
      <c r="X734" t="str">
        <f t="shared" si="94"/>
        <v>Normal</v>
      </c>
      <c r="Y734" t="str">
        <f t="shared" si="95"/>
        <v>Normal</v>
      </c>
      <c r="Z734" t="str">
        <f t="shared" si="88"/>
        <v>Pass</v>
      </c>
    </row>
    <row r="735" spans="1:26" x14ac:dyDescent="0.25">
      <c r="A735" s="2" t="s">
        <v>1519</v>
      </c>
      <c r="B735" t="s">
        <v>17</v>
      </c>
      <c r="C735" t="s">
        <v>1505</v>
      </c>
      <c r="D735" s="2" t="str">
        <f>VLOOKUP(C735,Locality_Reference!A:C,2,)</f>
        <v>Central Line</v>
      </c>
      <c r="E735" s="2" t="str">
        <f>VLOOKUP(C735,Locality_Reference!A:C,3,)</f>
        <v>Mid Suburb</v>
      </c>
      <c r="F735" s="2" t="s">
        <v>1598</v>
      </c>
      <c r="G735" s="8">
        <v>75000</v>
      </c>
      <c r="H735">
        <v>1</v>
      </c>
      <c r="I735">
        <v>1</v>
      </c>
      <c r="J735">
        <v>12</v>
      </c>
      <c r="K735">
        <v>14</v>
      </c>
      <c r="L735">
        <v>400</v>
      </c>
      <c r="M735" t="s">
        <v>14</v>
      </c>
      <c r="N735" t="s">
        <v>15</v>
      </c>
      <c r="O735" t="s">
        <v>16</v>
      </c>
      <c r="P735" t="s">
        <v>34</v>
      </c>
      <c r="Q735" t="str">
        <f t="shared" si="89"/>
        <v/>
      </c>
      <c r="R735" s="5">
        <v>46175</v>
      </c>
      <c r="S735" s="8">
        <f t="shared" si="90"/>
        <v>187.5</v>
      </c>
      <c r="T735">
        <f t="shared" si="91"/>
        <v>900000</v>
      </c>
      <c r="U735" t="str">
        <f t="shared" si="92"/>
        <v>Premium</v>
      </c>
      <c r="V735" t="str">
        <f t="shared" si="93"/>
        <v>Compact</v>
      </c>
      <c r="W735" t="str">
        <f>IF(S735 &lt; VLOOKUP(E735, Locality_Tier_Benchmarks!A:B, 2, FALSE) * 0.7, "Below Tier Range", "Normal")</f>
        <v>Normal</v>
      </c>
      <c r="X735" t="str">
        <f t="shared" si="94"/>
        <v>Normal</v>
      </c>
      <c r="Y735" t="str">
        <f t="shared" si="95"/>
        <v>Normal</v>
      </c>
      <c r="Z735" t="str">
        <f t="shared" si="88"/>
        <v>Pass</v>
      </c>
    </row>
    <row r="736" spans="1:26" x14ac:dyDescent="0.25">
      <c r="A736" s="2" t="s">
        <v>1520</v>
      </c>
      <c r="B736" t="s">
        <v>17</v>
      </c>
      <c r="C736" t="s">
        <v>1505</v>
      </c>
      <c r="D736" s="2" t="str">
        <f>VLOOKUP(C736,Locality_Reference!A:C,2,)</f>
        <v>Central Line</v>
      </c>
      <c r="E736" s="2" t="str">
        <f>VLOOKUP(C736,Locality_Reference!A:C,3,)</f>
        <v>Mid Suburb</v>
      </c>
      <c r="F736" s="2" t="s">
        <v>1599</v>
      </c>
      <c r="G736" s="8">
        <v>23000</v>
      </c>
      <c r="H736">
        <v>1</v>
      </c>
      <c r="I736">
        <v>1</v>
      </c>
      <c r="J736">
        <v>2</v>
      </c>
      <c r="K736">
        <v>11</v>
      </c>
      <c r="L736">
        <v>225</v>
      </c>
      <c r="M736" t="s">
        <v>33</v>
      </c>
      <c r="N736" t="s">
        <v>29</v>
      </c>
      <c r="O736" t="s">
        <v>16</v>
      </c>
      <c r="P736" t="s">
        <v>52</v>
      </c>
      <c r="Q736" t="str">
        <f t="shared" si="89"/>
        <v>7.5</v>
      </c>
      <c r="R736" s="5">
        <v>46201</v>
      </c>
      <c r="S736" s="8">
        <f t="shared" si="90"/>
        <v>102.22222222222223</v>
      </c>
      <c r="T736">
        <f t="shared" si="91"/>
        <v>276000</v>
      </c>
      <c r="U736" t="str">
        <f t="shared" si="92"/>
        <v>Budget</v>
      </c>
      <c r="V736" t="str">
        <f t="shared" si="93"/>
        <v>Compact</v>
      </c>
      <c r="W736" t="str">
        <f>IF(S736 &lt; VLOOKUP(E736, Locality_Tier_Benchmarks!A:B, 2, FALSE) * 0.7, "Below Tier Range", "Normal")</f>
        <v>Normal</v>
      </c>
      <c r="X736" t="str">
        <f t="shared" si="94"/>
        <v>Normal</v>
      </c>
      <c r="Y736" t="str">
        <f t="shared" si="95"/>
        <v>Normal</v>
      </c>
      <c r="Z736" t="str">
        <f t="shared" si="88"/>
        <v>Pass</v>
      </c>
    </row>
    <row r="737" spans="1:26" x14ac:dyDescent="0.25">
      <c r="A737" s="2" t="s">
        <v>1521</v>
      </c>
      <c r="B737" t="s">
        <v>17</v>
      </c>
      <c r="C737" t="s">
        <v>1505</v>
      </c>
      <c r="D737" s="2" t="str">
        <f>VLOOKUP(C737,Locality_Reference!A:C,2,)</f>
        <v>Central Line</v>
      </c>
      <c r="E737" s="2" t="str">
        <f>VLOOKUP(C737,Locality_Reference!A:C,3,)</f>
        <v>Mid Suburb</v>
      </c>
      <c r="F737" s="2" t="s">
        <v>1600</v>
      </c>
      <c r="G737" s="8">
        <v>50000</v>
      </c>
      <c r="H737">
        <v>1</v>
      </c>
      <c r="I737">
        <v>1</v>
      </c>
      <c r="J737">
        <v>1</v>
      </c>
      <c r="K737">
        <v>4</v>
      </c>
      <c r="L737">
        <v>350</v>
      </c>
      <c r="M737" t="s">
        <v>33</v>
      </c>
      <c r="N737" t="s">
        <v>1289</v>
      </c>
      <c r="O737" t="s">
        <v>16</v>
      </c>
      <c r="P737" t="s">
        <v>34</v>
      </c>
      <c r="Q737" t="str">
        <f t="shared" si="89"/>
        <v/>
      </c>
      <c r="R737" s="5">
        <v>46194</v>
      </c>
      <c r="S737" s="8">
        <f t="shared" si="90"/>
        <v>142.85714285714286</v>
      </c>
      <c r="T737">
        <f t="shared" si="91"/>
        <v>600000</v>
      </c>
      <c r="U737" t="str">
        <f t="shared" si="92"/>
        <v>Mid</v>
      </c>
      <c r="V737" t="str">
        <f t="shared" si="93"/>
        <v>Compact</v>
      </c>
      <c r="W737" t="str">
        <f>IF(S737 &lt; VLOOKUP(E737, Locality_Tier_Benchmarks!A:B, 2, FALSE) * 0.7, "Below Tier Range", "Normal")</f>
        <v>Normal</v>
      </c>
      <c r="X737" t="str">
        <f t="shared" si="94"/>
        <v>Normal</v>
      </c>
      <c r="Y737" t="str">
        <f t="shared" si="95"/>
        <v>Normal</v>
      </c>
      <c r="Z737" t="str">
        <f t="shared" si="88"/>
        <v>Pass</v>
      </c>
    </row>
    <row r="738" spans="1:26" x14ac:dyDescent="0.25">
      <c r="A738" s="2" t="s">
        <v>1522</v>
      </c>
      <c r="B738" t="s">
        <v>17</v>
      </c>
      <c r="C738" t="s">
        <v>1505</v>
      </c>
      <c r="D738" s="2" t="str">
        <f>VLOOKUP(C738,Locality_Reference!A:C,2,)</f>
        <v>Central Line</v>
      </c>
      <c r="E738" s="2" t="str">
        <f>VLOOKUP(C738,Locality_Reference!A:C,3,)</f>
        <v>Mid Suburb</v>
      </c>
      <c r="F738" s="2" t="s">
        <v>1601</v>
      </c>
      <c r="G738" s="8">
        <v>47999</v>
      </c>
      <c r="H738">
        <v>1</v>
      </c>
      <c r="I738">
        <v>2</v>
      </c>
      <c r="J738">
        <v>10</v>
      </c>
      <c r="K738">
        <v>18</v>
      </c>
      <c r="L738">
        <v>447</v>
      </c>
      <c r="M738" t="s">
        <v>36</v>
      </c>
      <c r="N738" t="s">
        <v>29</v>
      </c>
      <c r="O738" t="s">
        <v>16</v>
      </c>
      <c r="P738" t="s">
        <v>47</v>
      </c>
      <c r="Q738" t="str">
        <f t="shared" si="89"/>
        <v>1</v>
      </c>
      <c r="R738" s="5">
        <v>46173</v>
      </c>
      <c r="S738" s="8">
        <f t="shared" si="90"/>
        <v>107.38031319910515</v>
      </c>
      <c r="T738">
        <f t="shared" si="91"/>
        <v>575988</v>
      </c>
      <c r="U738" t="str">
        <f t="shared" si="92"/>
        <v>Mid</v>
      </c>
      <c r="V738" t="str">
        <f t="shared" si="93"/>
        <v>Compact</v>
      </c>
      <c r="W738" t="str">
        <f>IF(S738 &lt; VLOOKUP(E738, Locality_Tier_Benchmarks!A:B, 2, FALSE) * 0.7, "Below Tier Range", "Normal")</f>
        <v>Normal</v>
      </c>
      <c r="X738" t="str">
        <f t="shared" si="94"/>
        <v>Normal</v>
      </c>
      <c r="Y738" t="str">
        <f t="shared" si="95"/>
        <v>Normal</v>
      </c>
      <c r="Z738" t="str">
        <f t="shared" si="88"/>
        <v>Pass</v>
      </c>
    </row>
    <row r="739" spans="1:26" x14ac:dyDescent="0.25">
      <c r="A739" s="2" t="s">
        <v>1523</v>
      </c>
      <c r="B739" t="s">
        <v>17</v>
      </c>
      <c r="C739" t="s">
        <v>1505</v>
      </c>
      <c r="D739" s="2" t="str">
        <f>VLOOKUP(C739,Locality_Reference!A:C,2,)</f>
        <v>Central Line</v>
      </c>
      <c r="E739" s="2" t="str">
        <f>VLOOKUP(C739,Locality_Reference!A:C,3,)</f>
        <v>Mid Suburb</v>
      </c>
      <c r="F739" s="2" t="s">
        <v>1597</v>
      </c>
      <c r="G739" s="8">
        <v>85000</v>
      </c>
      <c r="H739">
        <v>2</v>
      </c>
      <c r="I739">
        <v>2</v>
      </c>
      <c r="J739">
        <v>11</v>
      </c>
      <c r="K739">
        <v>12</v>
      </c>
      <c r="L739">
        <v>657</v>
      </c>
      <c r="M739" t="s">
        <v>36</v>
      </c>
      <c r="N739" t="s">
        <v>29</v>
      </c>
      <c r="O739" t="s">
        <v>16</v>
      </c>
      <c r="P739" t="s">
        <v>34</v>
      </c>
      <c r="Q739" t="str">
        <f t="shared" si="89"/>
        <v/>
      </c>
      <c r="R739" s="5">
        <v>46182</v>
      </c>
      <c r="S739" s="8">
        <f t="shared" si="90"/>
        <v>129.3759512937595</v>
      </c>
      <c r="T739">
        <f t="shared" si="91"/>
        <v>1020000</v>
      </c>
      <c r="U739" t="str">
        <f t="shared" si="92"/>
        <v>Premium</v>
      </c>
      <c r="V739" t="str">
        <f t="shared" si="93"/>
        <v>Medium</v>
      </c>
      <c r="W739" t="str">
        <f>IF(S739 &lt; VLOOKUP(E739, Locality_Tier_Benchmarks!A:B, 2, FALSE) * 0.7, "Below Tier Range", "Normal")</f>
        <v>Normal</v>
      </c>
      <c r="X739" t="str">
        <f t="shared" si="94"/>
        <v>Normal</v>
      </c>
      <c r="Y739" t="str">
        <f t="shared" si="95"/>
        <v>Normal</v>
      </c>
      <c r="Z739" t="str">
        <f t="shared" si="88"/>
        <v>Pass</v>
      </c>
    </row>
    <row r="740" spans="1:26" x14ac:dyDescent="0.25">
      <c r="A740" s="2" t="s">
        <v>1524</v>
      </c>
      <c r="B740" t="s">
        <v>17</v>
      </c>
      <c r="C740" t="s">
        <v>1505</v>
      </c>
      <c r="D740" s="2" t="str">
        <f>VLOOKUP(C740,Locality_Reference!A:C,2,)</f>
        <v>Central Line</v>
      </c>
      <c r="E740" s="2" t="str">
        <f>VLOOKUP(C740,Locality_Reference!A:C,3,)</f>
        <v>Mid Suburb</v>
      </c>
      <c r="F740" s="2" t="s">
        <v>1600</v>
      </c>
      <c r="G740" s="8">
        <v>115000</v>
      </c>
      <c r="H740">
        <v>2</v>
      </c>
      <c r="I740">
        <v>2</v>
      </c>
      <c r="J740">
        <v>11</v>
      </c>
      <c r="K740">
        <v>14</v>
      </c>
      <c r="L740">
        <v>777</v>
      </c>
      <c r="M740" t="s">
        <v>14</v>
      </c>
      <c r="N740" t="s">
        <v>29</v>
      </c>
      <c r="O740" t="s">
        <v>16</v>
      </c>
      <c r="P740" t="s">
        <v>31</v>
      </c>
      <c r="Q740" t="str">
        <f t="shared" si="89"/>
        <v>3</v>
      </c>
      <c r="R740" s="5">
        <v>46195</v>
      </c>
      <c r="S740" s="8">
        <f t="shared" si="90"/>
        <v>148.00514800514802</v>
      </c>
      <c r="T740">
        <f t="shared" si="91"/>
        <v>1380000</v>
      </c>
      <c r="U740" t="str">
        <f t="shared" si="92"/>
        <v>Luxury</v>
      </c>
      <c r="V740" t="str">
        <f t="shared" si="93"/>
        <v>Medium</v>
      </c>
      <c r="W740" t="str">
        <f>IF(S740 &lt; VLOOKUP(E740, Locality_Tier_Benchmarks!A:B, 2, FALSE) * 0.7, "Below Tier Range", "Normal")</f>
        <v>Normal</v>
      </c>
      <c r="X740" t="str">
        <f t="shared" si="94"/>
        <v>Normal</v>
      </c>
      <c r="Y740" t="str">
        <f t="shared" si="95"/>
        <v>Normal</v>
      </c>
      <c r="Z740" t="str">
        <f t="shared" si="88"/>
        <v>Pass</v>
      </c>
    </row>
    <row r="741" spans="1:26" x14ac:dyDescent="0.25">
      <c r="A741" s="2" t="s">
        <v>1525</v>
      </c>
      <c r="B741" t="s">
        <v>17</v>
      </c>
      <c r="C741" t="s">
        <v>1505</v>
      </c>
      <c r="D741" s="2" t="str">
        <f>VLOOKUP(C741,Locality_Reference!A:C,2,)</f>
        <v>Central Line</v>
      </c>
      <c r="E741" s="2" t="str">
        <f>VLOOKUP(C741,Locality_Reference!A:C,3,)</f>
        <v>Mid Suburb</v>
      </c>
      <c r="F741" s="2" t="s">
        <v>1602</v>
      </c>
      <c r="G741" s="8">
        <v>40000</v>
      </c>
      <c r="H741">
        <v>2</v>
      </c>
      <c r="I741">
        <v>1</v>
      </c>
      <c r="J741">
        <v>0</v>
      </c>
      <c r="K741">
        <v>2</v>
      </c>
      <c r="L741">
        <v>450</v>
      </c>
      <c r="M741" t="s">
        <v>36</v>
      </c>
      <c r="N741" t="s">
        <v>29</v>
      </c>
      <c r="O741" t="s">
        <v>16</v>
      </c>
      <c r="P741" t="s">
        <v>23</v>
      </c>
      <c r="Q741" t="str">
        <f t="shared" si="89"/>
        <v>10</v>
      </c>
      <c r="R741" s="5">
        <v>46198</v>
      </c>
      <c r="S741" s="8">
        <f t="shared" si="90"/>
        <v>88.888888888888886</v>
      </c>
      <c r="T741">
        <f t="shared" si="91"/>
        <v>480000</v>
      </c>
      <c r="U741" t="str">
        <f t="shared" si="92"/>
        <v>Mid</v>
      </c>
      <c r="V741" t="str">
        <f t="shared" si="93"/>
        <v>Compact</v>
      </c>
      <c r="W741" t="str">
        <f>IF(S741 &lt; VLOOKUP(E741, Locality_Tier_Benchmarks!A:B, 2, FALSE) * 0.7, "Below Tier Range", "Normal")</f>
        <v>Normal</v>
      </c>
      <c r="X741" t="str">
        <f t="shared" si="94"/>
        <v>Normal</v>
      </c>
      <c r="Y741" t="str">
        <f t="shared" si="95"/>
        <v>Normal</v>
      </c>
      <c r="Z741" t="str">
        <f t="shared" si="88"/>
        <v>Pass</v>
      </c>
    </row>
    <row r="742" spans="1:26" x14ac:dyDescent="0.25">
      <c r="A742" s="2" t="s">
        <v>1526</v>
      </c>
      <c r="B742" t="s">
        <v>17</v>
      </c>
      <c r="C742" t="s">
        <v>1505</v>
      </c>
      <c r="D742" s="2" t="str">
        <f>VLOOKUP(C742,Locality_Reference!A:C,2,)</f>
        <v>Central Line</v>
      </c>
      <c r="E742" s="2" t="str">
        <f>VLOOKUP(C742,Locality_Reference!A:C,3,)</f>
        <v>Mid Suburb</v>
      </c>
      <c r="F742" s="2" t="s">
        <v>1599</v>
      </c>
      <c r="G742" s="8">
        <v>75000</v>
      </c>
      <c r="H742">
        <v>2</v>
      </c>
      <c r="I742">
        <v>2</v>
      </c>
      <c r="J742">
        <v>10</v>
      </c>
      <c r="K742">
        <v>10</v>
      </c>
      <c r="L742">
        <v>850</v>
      </c>
      <c r="M742" t="s">
        <v>36</v>
      </c>
      <c r="N742" t="s">
        <v>29</v>
      </c>
      <c r="O742" t="s">
        <v>16</v>
      </c>
      <c r="P742" t="s">
        <v>34</v>
      </c>
      <c r="Q742" t="str">
        <f t="shared" si="89"/>
        <v/>
      </c>
      <c r="R742" s="5">
        <v>46178</v>
      </c>
      <c r="S742" s="8">
        <f t="shared" si="90"/>
        <v>88.235294117647058</v>
      </c>
      <c r="T742">
        <f t="shared" si="91"/>
        <v>900000</v>
      </c>
      <c r="U742" t="str">
        <f t="shared" si="92"/>
        <v>Premium</v>
      </c>
      <c r="V742" t="str">
        <f t="shared" si="93"/>
        <v>Large</v>
      </c>
      <c r="W742" t="str">
        <f>IF(S742 &lt; VLOOKUP(E742, Locality_Tier_Benchmarks!A:B, 2, FALSE) * 0.7, "Below Tier Range", "Normal")</f>
        <v>Normal</v>
      </c>
      <c r="X742" t="str">
        <f t="shared" si="94"/>
        <v>Normal</v>
      </c>
      <c r="Y742" t="str">
        <f t="shared" si="95"/>
        <v>Normal</v>
      </c>
      <c r="Z742" t="str">
        <f t="shared" si="88"/>
        <v>Pass</v>
      </c>
    </row>
    <row r="743" spans="1:26" x14ac:dyDescent="0.25">
      <c r="A743" s="2" t="s">
        <v>1527</v>
      </c>
      <c r="B743" t="s">
        <v>17</v>
      </c>
      <c r="C743" t="s">
        <v>1505</v>
      </c>
      <c r="D743" s="2" t="str">
        <f>VLOOKUP(C743,Locality_Reference!A:C,2,)</f>
        <v>Central Line</v>
      </c>
      <c r="E743" s="2" t="str">
        <f>VLOOKUP(C743,Locality_Reference!A:C,3,)</f>
        <v>Mid Suburb</v>
      </c>
      <c r="F743" s="2" t="s">
        <v>1598</v>
      </c>
      <c r="G743" s="8">
        <v>79999</v>
      </c>
      <c r="H743">
        <v>2</v>
      </c>
      <c r="I743">
        <v>1</v>
      </c>
      <c r="J743">
        <v>10</v>
      </c>
      <c r="K743">
        <v>14</v>
      </c>
      <c r="L743">
        <v>474</v>
      </c>
      <c r="M743" t="s">
        <v>14</v>
      </c>
      <c r="N743" t="s">
        <v>29</v>
      </c>
      <c r="O743" t="s">
        <v>16</v>
      </c>
      <c r="P743" t="s">
        <v>31</v>
      </c>
      <c r="Q743" t="str">
        <f t="shared" si="89"/>
        <v>3</v>
      </c>
      <c r="R743" s="5">
        <v>46150</v>
      </c>
      <c r="S743" s="8">
        <f t="shared" si="90"/>
        <v>168.77426160337552</v>
      </c>
      <c r="T743">
        <f t="shared" si="91"/>
        <v>959988</v>
      </c>
      <c r="U743" t="str">
        <f t="shared" si="92"/>
        <v>Premium</v>
      </c>
      <c r="V743" t="str">
        <f t="shared" si="93"/>
        <v>Compact</v>
      </c>
      <c r="W743" t="str">
        <f>IF(S743 &lt; VLOOKUP(E743, Locality_Tier_Benchmarks!A:B, 2, FALSE) * 0.7, "Below Tier Range", "Normal")</f>
        <v>Normal</v>
      </c>
      <c r="X743" t="str">
        <f t="shared" si="94"/>
        <v>Normal</v>
      </c>
      <c r="Y743" t="str">
        <f t="shared" si="95"/>
        <v>Normal</v>
      </c>
      <c r="Z743" t="str">
        <f t="shared" si="88"/>
        <v>Pass</v>
      </c>
    </row>
    <row r="744" spans="1:26" x14ac:dyDescent="0.25">
      <c r="A744" s="2" t="s">
        <v>1528</v>
      </c>
      <c r="B744" t="s">
        <v>17</v>
      </c>
      <c r="C744" t="s">
        <v>1505</v>
      </c>
      <c r="D744" s="2" t="str">
        <f>VLOOKUP(C744,Locality_Reference!A:C,2,)</f>
        <v>Central Line</v>
      </c>
      <c r="E744" s="2" t="str">
        <f>VLOOKUP(C744,Locality_Reference!A:C,3,)</f>
        <v>Mid Suburb</v>
      </c>
      <c r="F744" s="2" t="s">
        <v>1603</v>
      </c>
      <c r="G744" s="8">
        <v>85000</v>
      </c>
      <c r="H744">
        <v>3</v>
      </c>
      <c r="I744">
        <v>3</v>
      </c>
      <c r="J744">
        <v>7</v>
      </c>
      <c r="K744">
        <v>13</v>
      </c>
      <c r="L744">
        <v>1040</v>
      </c>
      <c r="M744" t="s">
        <v>36</v>
      </c>
      <c r="N744" t="s">
        <v>29</v>
      </c>
      <c r="O744" t="s">
        <v>16</v>
      </c>
      <c r="P744" t="s">
        <v>34</v>
      </c>
      <c r="Q744" t="str">
        <f t="shared" si="89"/>
        <v/>
      </c>
      <c r="R744" s="5">
        <v>46199</v>
      </c>
      <c r="S744" s="8">
        <f t="shared" si="90"/>
        <v>81.730769230769226</v>
      </c>
      <c r="T744">
        <f t="shared" si="91"/>
        <v>1020000</v>
      </c>
      <c r="U744" t="str">
        <f t="shared" si="92"/>
        <v>Premium</v>
      </c>
      <c r="V744" t="str">
        <f t="shared" si="93"/>
        <v>Large</v>
      </c>
      <c r="W744" t="str">
        <f>IF(S744 &lt; VLOOKUP(E744, Locality_Tier_Benchmarks!A:B, 2, FALSE) * 0.7, "Below Tier Range", "Normal")</f>
        <v>Normal</v>
      </c>
      <c r="X744" t="str">
        <f t="shared" si="94"/>
        <v>Normal</v>
      </c>
      <c r="Y744" t="str">
        <f t="shared" si="95"/>
        <v>Normal</v>
      </c>
      <c r="Z744" t="str">
        <f t="shared" si="88"/>
        <v>Pass</v>
      </c>
    </row>
    <row r="745" spans="1:26" x14ac:dyDescent="0.25">
      <c r="A745" s="2" t="s">
        <v>1529</v>
      </c>
      <c r="B745" t="s">
        <v>17</v>
      </c>
      <c r="C745" t="s">
        <v>1505</v>
      </c>
      <c r="D745" s="2" t="str">
        <f>VLOOKUP(C745,Locality_Reference!A:C,2,)</f>
        <v>Central Line</v>
      </c>
      <c r="E745" s="2" t="str">
        <f>VLOOKUP(C745,Locality_Reference!A:C,3,)</f>
        <v>Mid Suburb</v>
      </c>
      <c r="F745" s="2" t="s">
        <v>1600</v>
      </c>
      <c r="G745" s="8">
        <v>110000</v>
      </c>
      <c r="H745">
        <v>3</v>
      </c>
      <c r="I745">
        <v>3</v>
      </c>
      <c r="J745">
        <v>11</v>
      </c>
      <c r="K745">
        <v>14</v>
      </c>
      <c r="L745">
        <v>1009</v>
      </c>
      <c r="M745" t="s">
        <v>36</v>
      </c>
      <c r="N745" t="s">
        <v>29</v>
      </c>
      <c r="O745" t="s">
        <v>16</v>
      </c>
      <c r="P745" t="s">
        <v>31</v>
      </c>
      <c r="Q745" t="str">
        <f t="shared" si="89"/>
        <v>3</v>
      </c>
      <c r="R745" s="5">
        <v>46150</v>
      </c>
      <c r="S745" s="8">
        <f t="shared" si="90"/>
        <v>109.01883052527255</v>
      </c>
      <c r="T745">
        <f t="shared" si="91"/>
        <v>1320000</v>
      </c>
      <c r="U745" t="str">
        <f t="shared" si="92"/>
        <v>Luxury</v>
      </c>
      <c r="V745" t="str">
        <f t="shared" si="93"/>
        <v>Large</v>
      </c>
      <c r="W745" t="str">
        <f>IF(S745 &lt; VLOOKUP(E745, Locality_Tier_Benchmarks!A:B, 2, FALSE) * 0.7, "Below Tier Range", "Normal")</f>
        <v>Normal</v>
      </c>
      <c r="X745" t="str">
        <f t="shared" si="94"/>
        <v>Normal</v>
      </c>
      <c r="Y745" t="str">
        <f t="shared" si="95"/>
        <v>Normal</v>
      </c>
      <c r="Z745" t="str">
        <f t="shared" si="88"/>
        <v>Pass</v>
      </c>
    </row>
    <row r="746" spans="1:26" x14ac:dyDescent="0.25">
      <c r="A746" s="2" t="s">
        <v>1530</v>
      </c>
      <c r="B746" t="s">
        <v>17</v>
      </c>
      <c r="C746" t="s">
        <v>1505</v>
      </c>
      <c r="D746" s="2" t="str">
        <f>VLOOKUP(C746,Locality_Reference!A:C,2,)</f>
        <v>Central Line</v>
      </c>
      <c r="E746" s="2" t="str">
        <f>VLOOKUP(C746,Locality_Reference!A:C,3,)</f>
        <v>Mid Suburb</v>
      </c>
      <c r="F746" s="2" t="s">
        <v>1604</v>
      </c>
      <c r="G746" s="8">
        <v>71999</v>
      </c>
      <c r="H746">
        <v>3</v>
      </c>
      <c r="I746">
        <v>2</v>
      </c>
      <c r="J746">
        <v>5</v>
      </c>
      <c r="K746">
        <v>7</v>
      </c>
      <c r="L746">
        <v>899</v>
      </c>
      <c r="M746" t="s">
        <v>36</v>
      </c>
      <c r="N746" t="s">
        <v>29</v>
      </c>
      <c r="O746" t="s">
        <v>16</v>
      </c>
      <c r="P746" t="s">
        <v>23</v>
      </c>
      <c r="Q746" t="str">
        <f t="shared" si="89"/>
        <v>10</v>
      </c>
      <c r="R746" s="5">
        <v>46200</v>
      </c>
      <c r="S746" s="8">
        <f t="shared" si="90"/>
        <v>80.087875417130149</v>
      </c>
      <c r="T746">
        <f t="shared" si="91"/>
        <v>863988</v>
      </c>
      <c r="U746" t="str">
        <f t="shared" si="92"/>
        <v>Premium</v>
      </c>
      <c r="V746" t="str">
        <f t="shared" si="93"/>
        <v>Large</v>
      </c>
      <c r="W746" t="str">
        <f>IF(S746 &lt; VLOOKUP(E746, Locality_Tier_Benchmarks!A:B, 2, FALSE) * 0.7, "Below Tier Range", "Normal")</f>
        <v>Normal</v>
      </c>
      <c r="X746" t="str">
        <f t="shared" si="94"/>
        <v>Normal</v>
      </c>
      <c r="Y746" t="str">
        <f t="shared" si="95"/>
        <v>Normal</v>
      </c>
      <c r="Z746" t="str">
        <f t="shared" si="88"/>
        <v>Pass</v>
      </c>
    </row>
    <row r="747" spans="1:26" x14ac:dyDescent="0.25">
      <c r="A747" s="2" t="s">
        <v>1531</v>
      </c>
      <c r="B747" t="s">
        <v>17</v>
      </c>
      <c r="C747" t="s">
        <v>1505</v>
      </c>
      <c r="D747" s="2" t="str">
        <f>VLOOKUP(C747,Locality_Reference!A:C,2,)</f>
        <v>Central Line</v>
      </c>
      <c r="E747" s="2" t="str">
        <f>VLOOKUP(C747,Locality_Reference!A:C,3,)</f>
        <v>Mid Suburb</v>
      </c>
      <c r="F747" s="2" t="s">
        <v>1605</v>
      </c>
      <c r="G747" s="8">
        <v>60000</v>
      </c>
      <c r="H747">
        <v>3</v>
      </c>
      <c r="I747">
        <v>2</v>
      </c>
      <c r="J747">
        <v>2</v>
      </c>
      <c r="K747">
        <v>3</v>
      </c>
      <c r="L747">
        <v>600</v>
      </c>
      <c r="M747" t="s">
        <v>14</v>
      </c>
      <c r="N747" t="s">
        <v>29</v>
      </c>
      <c r="O747" t="s">
        <v>16</v>
      </c>
      <c r="P747" t="s">
        <v>34</v>
      </c>
      <c r="Q747" t="str">
        <f t="shared" si="89"/>
        <v/>
      </c>
      <c r="R747" s="5">
        <v>46183</v>
      </c>
      <c r="S747" s="8">
        <f t="shared" si="90"/>
        <v>100</v>
      </c>
      <c r="T747">
        <f t="shared" si="91"/>
        <v>720000</v>
      </c>
      <c r="U747" t="str">
        <f t="shared" si="92"/>
        <v>Mid</v>
      </c>
      <c r="V747" t="str">
        <f t="shared" si="93"/>
        <v>Medium</v>
      </c>
      <c r="W747" t="str">
        <f>IF(S747 &lt; VLOOKUP(E747, Locality_Tier_Benchmarks!A:B, 2, FALSE) * 0.7, "Below Tier Range", "Normal")</f>
        <v>Normal</v>
      </c>
      <c r="X747" t="str">
        <f t="shared" si="94"/>
        <v>Normal</v>
      </c>
      <c r="Y747" t="str">
        <f t="shared" si="95"/>
        <v>Normal</v>
      </c>
      <c r="Z747" t="str">
        <f t="shared" si="88"/>
        <v>Pass</v>
      </c>
    </row>
    <row r="748" spans="1:26" x14ac:dyDescent="0.25">
      <c r="A748" s="2" t="s">
        <v>1532</v>
      </c>
      <c r="B748" t="s">
        <v>17</v>
      </c>
      <c r="C748" t="s">
        <v>1606</v>
      </c>
      <c r="D748" s="2" t="str">
        <f>VLOOKUP(C748,Locality_Reference!A:C,2,)</f>
        <v>Central Line</v>
      </c>
      <c r="E748" s="2" t="str">
        <f>VLOOKUP(C748,Locality_Reference!A:C,3,)</f>
        <v>Mid Suburb</v>
      </c>
      <c r="F748" s="2" t="s">
        <v>1608</v>
      </c>
      <c r="G748" s="8">
        <v>45000</v>
      </c>
      <c r="H748">
        <v>1</v>
      </c>
      <c r="I748">
        <v>2</v>
      </c>
      <c r="J748">
        <v>0</v>
      </c>
      <c r="K748">
        <v>3</v>
      </c>
      <c r="L748">
        <v>600</v>
      </c>
      <c r="M748" t="s">
        <v>33</v>
      </c>
      <c r="N748" t="s">
        <v>29</v>
      </c>
      <c r="O748" t="s">
        <v>16</v>
      </c>
      <c r="P748" t="s">
        <v>23</v>
      </c>
      <c r="Q748" t="str">
        <f t="shared" si="89"/>
        <v>10</v>
      </c>
      <c r="R748" s="5">
        <v>46171</v>
      </c>
      <c r="S748" s="8">
        <f t="shared" si="90"/>
        <v>75</v>
      </c>
      <c r="T748">
        <f t="shared" si="91"/>
        <v>540000</v>
      </c>
      <c r="U748" t="str">
        <f t="shared" si="92"/>
        <v>Mid</v>
      </c>
      <c r="V748" t="str">
        <f t="shared" si="93"/>
        <v>Medium</v>
      </c>
      <c r="W748" t="str">
        <f>IF(S748 &lt; VLOOKUP(E748, Locality_Tier_Benchmarks!A:B, 2, FALSE) * 0.7, "Below Tier Range", "Normal")</f>
        <v>Normal</v>
      </c>
      <c r="X748" t="str">
        <f t="shared" si="94"/>
        <v>Normal</v>
      </c>
      <c r="Y748" t="str">
        <f t="shared" si="95"/>
        <v>Normal</v>
      </c>
      <c r="Z748" t="str">
        <f t="shared" si="88"/>
        <v>Pass</v>
      </c>
    </row>
    <row r="749" spans="1:26" x14ac:dyDescent="0.25">
      <c r="A749" s="2" t="s">
        <v>1533</v>
      </c>
      <c r="B749" t="s">
        <v>17</v>
      </c>
      <c r="C749" t="s">
        <v>1606</v>
      </c>
      <c r="D749" s="2" t="str">
        <f>VLOOKUP(C749,Locality_Reference!A:C,2,)</f>
        <v>Central Line</v>
      </c>
      <c r="E749" s="2" t="str">
        <f>VLOOKUP(C749,Locality_Reference!A:C,3,)</f>
        <v>Mid Suburb</v>
      </c>
      <c r="F749" s="2" t="s">
        <v>1609</v>
      </c>
      <c r="G749" s="8">
        <v>30000</v>
      </c>
      <c r="H749">
        <v>1</v>
      </c>
      <c r="I749">
        <v>1</v>
      </c>
      <c r="J749">
        <v>13</v>
      </c>
      <c r="K749">
        <v>15</v>
      </c>
      <c r="L749">
        <v>330</v>
      </c>
      <c r="M749" t="s">
        <v>36</v>
      </c>
      <c r="N749" t="s">
        <v>29</v>
      </c>
      <c r="O749" t="s">
        <v>16</v>
      </c>
      <c r="P749" t="s">
        <v>47</v>
      </c>
      <c r="Q749" t="str">
        <f t="shared" si="89"/>
        <v>1</v>
      </c>
      <c r="R749" s="5">
        <v>46182</v>
      </c>
      <c r="S749" s="8">
        <f t="shared" si="90"/>
        <v>90.909090909090907</v>
      </c>
      <c r="T749">
        <f t="shared" si="91"/>
        <v>360000</v>
      </c>
      <c r="U749" t="str">
        <f t="shared" si="92"/>
        <v>Budget</v>
      </c>
      <c r="V749" t="str">
        <f t="shared" si="93"/>
        <v>Compact</v>
      </c>
      <c r="W749" t="str">
        <f>IF(S749 &lt; VLOOKUP(E749, Locality_Tier_Benchmarks!A:B, 2, FALSE) * 0.7, "Below Tier Range", "Normal")</f>
        <v>Normal</v>
      </c>
      <c r="X749" t="str">
        <f t="shared" si="94"/>
        <v>Normal</v>
      </c>
      <c r="Y749" t="str">
        <f t="shared" si="95"/>
        <v>Normal</v>
      </c>
      <c r="Z749" t="str">
        <f t="shared" si="88"/>
        <v>Pass</v>
      </c>
    </row>
    <row r="750" spans="1:26" x14ac:dyDescent="0.25">
      <c r="A750" s="2" t="s">
        <v>1534</v>
      </c>
      <c r="B750" t="s">
        <v>17</v>
      </c>
      <c r="C750" t="s">
        <v>1606</v>
      </c>
      <c r="D750" s="2" t="str">
        <f>VLOOKUP(C750,Locality_Reference!A:C,2,)</f>
        <v>Central Line</v>
      </c>
      <c r="E750" s="2" t="str">
        <f>VLOOKUP(C750,Locality_Reference!A:C,3,)</f>
        <v>Mid Suburb</v>
      </c>
      <c r="F750" s="2" t="s">
        <v>1610</v>
      </c>
      <c r="G750" s="8">
        <v>38000</v>
      </c>
      <c r="H750">
        <v>1</v>
      </c>
      <c r="I750">
        <v>2</v>
      </c>
      <c r="J750">
        <v>2</v>
      </c>
      <c r="K750">
        <v>10</v>
      </c>
      <c r="L750">
        <v>450</v>
      </c>
      <c r="M750" t="s">
        <v>36</v>
      </c>
      <c r="N750" t="s">
        <v>15</v>
      </c>
      <c r="O750" t="s">
        <v>16</v>
      </c>
      <c r="P750" t="s">
        <v>47</v>
      </c>
      <c r="Q750" t="str">
        <f t="shared" si="89"/>
        <v>1</v>
      </c>
      <c r="R750" s="5">
        <v>46178</v>
      </c>
      <c r="S750" s="8">
        <f t="shared" si="90"/>
        <v>84.444444444444443</v>
      </c>
      <c r="T750">
        <f t="shared" si="91"/>
        <v>456000</v>
      </c>
      <c r="U750" t="str">
        <f t="shared" si="92"/>
        <v>Mid</v>
      </c>
      <c r="V750" t="str">
        <f t="shared" si="93"/>
        <v>Compact</v>
      </c>
      <c r="W750" t="str">
        <f>IF(S750 &lt; VLOOKUP(E750, Locality_Tier_Benchmarks!A:B, 2, FALSE) * 0.7, "Below Tier Range", "Normal")</f>
        <v>Normal</v>
      </c>
      <c r="X750" t="str">
        <f t="shared" si="94"/>
        <v>Normal</v>
      </c>
      <c r="Y750" t="str">
        <f t="shared" si="95"/>
        <v>Normal</v>
      </c>
      <c r="Z750" t="str">
        <f t="shared" si="88"/>
        <v>Pass</v>
      </c>
    </row>
    <row r="751" spans="1:26" x14ac:dyDescent="0.25">
      <c r="A751" s="2" t="s">
        <v>1535</v>
      </c>
      <c r="B751" t="s">
        <v>17</v>
      </c>
      <c r="C751" t="s">
        <v>1606</v>
      </c>
      <c r="D751" s="2" t="str">
        <f>VLOOKUP(C751,Locality_Reference!A:C,2,)</f>
        <v>Central Line</v>
      </c>
      <c r="E751" s="2" t="str">
        <f>VLOOKUP(C751,Locality_Reference!A:C,3,)</f>
        <v>Mid Suburb</v>
      </c>
      <c r="F751" s="2" t="s">
        <v>1611</v>
      </c>
      <c r="G751" s="8">
        <v>40000</v>
      </c>
      <c r="H751">
        <v>1</v>
      </c>
      <c r="I751">
        <v>2</v>
      </c>
      <c r="J751">
        <v>9</v>
      </c>
      <c r="K751">
        <v>16</v>
      </c>
      <c r="L751">
        <v>420</v>
      </c>
      <c r="M751" t="s">
        <v>33</v>
      </c>
      <c r="N751" t="s">
        <v>15</v>
      </c>
      <c r="O751" t="s">
        <v>16</v>
      </c>
      <c r="P751" t="s">
        <v>47</v>
      </c>
      <c r="Q751" t="str">
        <f t="shared" si="89"/>
        <v>1</v>
      </c>
      <c r="R751" s="5">
        <v>46159</v>
      </c>
      <c r="S751" s="8">
        <f t="shared" si="90"/>
        <v>95.238095238095241</v>
      </c>
      <c r="T751">
        <f t="shared" si="91"/>
        <v>480000</v>
      </c>
      <c r="U751" t="str">
        <f t="shared" si="92"/>
        <v>Mid</v>
      </c>
      <c r="V751" t="str">
        <f t="shared" si="93"/>
        <v>Compact</v>
      </c>
      <c r="W751" t="str">
        <f>IF(S751 &lt; VLOOKUP(E751, Locality_Tier_Benchmarks!A:B, 2, FALSE) * 0.7, "Below Tier Range", "Normal")</f>
        <v>Normal</v>
      </c>
      <c r="X751" t="str">
        <f t="shared" si="94"/>
        <v>Normal</v>
      </c>
      <c r="Y751" t="str">
        <f t="shared" si="95"/>
        <v>Normal</v>
      </c>
      <c r="Z751" t="str">
        <f t="shared" si="88"/>
        <v>Pass</v>
      </c>
    </row>
    <row r="752" spans="1:26" x14ac:dyDescent="0.25">
      <c r="A752" s="2" t="s">
        <v>1536</v>
      </c>
      <c r="B752" t="s">
        <v>17</v>
      </c>
      <c r="C752" t="s">
        <v>1606</v>
      </c>
      <c r="D752" s="2" t="str">
        <f>VLOOKUP(C752,Locality_Reference!A:C,2,)</f>
        <v>Central Line</v>
      </c>
      <c r="E752" s="2" t="str">
        <f>VLOOKUP(C752,Locality_Reference!A:C,3,)</f>
        <v>Mid Suburb</v>
      </c>
      <c r="F752" s="2" t="s">
        <v>1612</v>
      </c>
      <c r="G752" s="8">
        <v>48000</v>
      </c>
      <c r="H752">
        <v>1</v>
      </c>
      <c r="I752">
        <v>2</v>
      </c>
      <c r="J752">
        <v>4</v>
      </c>
      <c r="K752">
        <v>15</v>
      </c>
      <c r="L752">
        <v>475</v>
      </c>
      <c r="M752" t="s">
        <v>14</v>
      </c>
      <c r="N752" t="s">
        <v>15</v>
      </c>
      <c r="O752" t="s">
        <v>16</v>
      </c>
      <c r="P752" t="s">
        <v>34</v>
      </c>
      <c r="Q752" t="str">
        <f t="shared" si="89"/>
        <v/>
      </c>
      <c r="R752" s="5">
        <v>46154</v>
      </c>
      <c r="S752" s="8">
        <f t="shared" si="90"/>
        <v>101.05263157894737</v>
      </c>
      <c r="T752">
        <f t="shared" si="91"/>
        <v>576000</v>
      </c>
      <c r="U752" t="str">
        <f t="shared" si="92"/>
        <v>Mid</v>
      </c>
      <c r="V752" t="str">
        <f t="shared" si="93"/>
        <v>Compact</v>
      </c>
      <c r="W752" t="str">
        <f>IF(S752 &lt; VLOOKUP(E752, Locality_Tier_Benchmarks!A:B, 2, FALSE) * 0.7, "Below Tier Range", "Normal")</f>
        <v>Normal</v>
      </c>
      <c r="X752" t="str">
        <f t="shared" si="94"/>
        <v>Normal</v>
      </c>
      <c r="Y752" t="str">
        <f t="shared" si="95"/>
        <v>Normal</v>
      </c>
      <c r="Z752" t="str">
        <f t="shared" si="88"/>
        <v>Pass</v>
      </c>
    </row>
    <row r="753" spans="1:26" x14ac:dyDescent="0.25">
      <c r="A753" s="2" t="s">
        <v>1537</v>
      </c>
      <c r="B753" t="s">
        <v>17</v>
      </c>
      <c r="C753" t="s">
        <v>1606</v>
      </c>
      <c r="D753" s="2" t="str">
        <f>VLOOKUP(C753,Locality_Reference!A:C,2,)</f>
        <v>Central Line</v>
      </c>
      <c r="E753" s="2" t="str">
        <f>VLOOKUP(C753,Locality_Reference!A:C,3,)</f>
        <v>Mid Suburb</v>
      </c>
      <c r="F753" s="2" t="s">
        <v>1613</v>
      </c>
      <c r="G753" s="8">
        <v>65000</v>
      </c>
      <c r="H753">
        <v>2</v>
      </c>
      <c r="I753">
        <v>2</v>
      </c>
      <c r="J753">
        <v>3</v>
      </c>
      <c r="K753">
        <v>15</v>
      </c>
      <c r="L753">
        <v>680</v>
      </c>
      <c r="M753" t="s">
        <v>36</v>
      </c>
      <c r="N753" t="s">
        <v>29</v>
      </c>
      <c r="O753" t="s">
        <v>16</v>
      </c>
      <c r="P753" t="s">
        <v>47</v>
      </c>
      <c r="Q753" t="str">
        <f t="shared" si="89"/>
        <v>1</v>
      </c>
      <c r="R753" s="5">
        <v>46149</v>
      </c>
      <c r="S753" s="8">
        <f t="shared" si="90"/>
        <v>95.588235294117652</v>
      </c>
      <c r="T753">
        <f t="shared" si="91"/>
        <v>780000</v>
      </c>
      <c r="U753" t="str">
        <f t="shared" si="92"/>
        <v>Premium</v>
      </c>
      <c r="V753" t="str">
        <f t="shared" si="93"/>
        <v>Medium</v>
      </c>
      <c r="W753" t="str">
        <f>IF(S753 &lt; VLOOKUP(E753, Locality_Tier_Benchmarks!A:B, 2, FALSE) * 0.7, "Below Tier Range", "Normal")</f>
        <v>Normal</v>
      </c>
      <c r="X753" t="str">
        <f t="shared" si="94"/>
        <v>Normal</v>
      </c>
      <c r="Y753" t="str">
        <f t="shared" si="95"/>
        <v>Normal</v>
      </c>
      <c r="Z753" t="str">
        <f t="shared" si="88"/>
        <v>Pass</v>
      </c>
    </row>
    <row r="754" spans="1:26" x14ac:dyDescent="0.25">
      <c r="A754" s="2" t="s">
        <v>1538</v>
      </c>
      <c r="B754" t="s">
        <v>17</v>
      </c>
      <c r="C754" t="s">
        <v>1606</v>
      </c>
      <c r="D754" s="2" t="str">
        <f>VLOOKUP(C754,Locality_Reference!A:C,2,)</f>
        <v>Central Line</v>
      </c>
      <c r="E754" s="2" t="str">
        <f>VLOOKUP(C754,Locality_Reference!A:C,3,)</f>
        <v>Mid Suburb</v>
      </c>
      <c r="F754" s="2" t="s">
        <v>1611</v>
      </c>
      <c r="G754" s="8">
        <v>70000</v>
      </c>
      <c r="H754">
        <v>2</v>
      </c>
      <c r="I754">
        <v>2</v>
      </c>
      <c r="J754">
        <v>5</v>
      </c>
      <c r="K754">
        <v>10</v>
      </c>
      <c r="L754">
        <v>610</v>
      </c>
      <c r="M754" t="s">
        <v>36</v>
      </c>
      <c r="N754" t="s">
        <v>15</v>
      </c>
      <c r="O754" t="s">
        <v>16</v>
      </c>
      <c r="P754" t="s">
        <v>34</v>
      </c>
      <c r="Q754" t="str">
        <f t="shared" si="89"/>
        <v/>
      </c>
      <c r="R754" s="5">
        <v>46194</v>
      </c>
      <c r="S754" s="8">
        <f t="shared" si="90"/>
        <v>114.75409836065573</v>
      </c>
      <c r="T754">
        <f t="shared" si="91"/>
        <v>840000</v>
      </c>
      <c r="U754" t="str">
        <f t="shared" si="92"/>
        <v>Premium</v>
      </c>
      <c r="V754" t="str">
        <f t="shared" si="93"/>
        <v>Medium</v>
      </c>
      <c r="W754" t="str">
        <f>IF(S754 &lt; VLOOKUP(E754, Locality_Tier_Benchmarks!A:B, 2, FALSE) * 0.7, "Below Tier Range", "Normal")</f>
        <v>Normal</v>
      </c>
      <c r="X754" t="str">
        <f t="shared" si="94"/>
        <v>Normal</v>
      </c>
      <c r="Y754" t="str">
        <f t="shared" si="95"/>
        <v>Normal</v>
      </c>
      <c r="Z754" t="str">
        <f t="shared" si="88"/>
        <v>Pass</v>
      </c>
    </row>
    <row r="755" spans="1:26" x14ac:dyDescent="0.25">
      <c r="A755" s="2" t="s">
        <v>1539</v>
      </c>
      <c r="B755" t="s">
        <v>17</v>
      </c>
      <c r="C755" t="s">
        <v>1606</v>
      </c>
      <c r="D755" s="2" t="str">
        <f>VLOOKUP(C755,Locality_Reference!A:C,2,)</f>
        <v>Central Line</v>
      </c>
      <c r="E755" s="2" t="str">
        <f>VLOOKUP(C755,Locality_Reference!A:C,3,)</f>
        <v>Mid Suburb</v>
      </c>
      <c r="F755" s="2" t="s">
        <v>1614</v>
      </c>
      <c r="G755" s="8">
        <v>65000</v>
      </c>
      <c r="H755">
        <v>2</v>
      </c>
      <c r="I755">
        <v>2</v>
      </c>
      <c r="J755">
        <v>3</v>
      </c>
      <c r="K755">
        <v>5</v>
      </c>
      <c r="L755">
        <v>840</v>
      </c>
      <c r="M755" t="s">
        <v>14</v>
      </c>
      <c r="N755" t="s">
        <v>29</v>
      </c>
      <c r="O755" t="s">
        <v>16</v>
      </c>
      <c r="P755" t="s">
        <v>31</v>
      </c>
      <c r="Q755" t="str">
        <f t="shared" si="89"/>
        <v>3</v>
      </c>
      <c r="R755" s="5">
        <v>46159</v>
      </c>
      <c r="S755" s="8">
        <f t="shared" si="90"/>
        <v>77.38095238095238</v>
      </c>
      <c r="T755">
        <f t="shared" si="91"/>
        <v>780000</v>
      </c>
      <c r="U755" t="str">
        <f t="shared" si="92"/>
        <v>Premium</v>
      </c>
      <c r="V755" t="str">
        <f t="shared" si="93"/>
        <v>Large</v>
      </c>
      <c r="W755" t="str">
        <f>IF(S755 &lt; VLOOKUP(E755, Locality_Tier_Benchmarks!A:B, 2, FALSE) * 0.7, "Below Tier Range", "Normal")</f>
        <v>Normal</v>
      </c>
      <c r="X755" t="str">
        <f t="shared" si="94"/>
        <v>Normal</v>
      </c>
      <c r="Y755" t="str">
        <f t="shared" si="95"/>
        <v>Normal</v>
      </c>
      <c r="Z755" t="str">
        <f t="shared" si="88"/>
        <v>Pass</v>
      </c>
    </row>
    <row r="756" spans="1:26" x14ac:dyDescent="0.25">
      <c r="A756" s="2" t="s">
        <v>1540</v>
      </c>
      <c r="B756" t="s">
        <v>17</v>
      </c>
      <c r="C756" t="s">
        <v>1606</v>
      </c>
      <c r="D756" s="2" t="str">
        <f>VLOOKUP(C756,Locality_Reference!A:C,2,)</f>
        <v>Central Line</v>
      </c>
      <c r="E756" s="2" t="str">
        <f>VLOOKUP(C756,Locality_Reference!A:C,3,)</f>
        <v>Mid Suburb</v>
      </c>
      <c r="F756" s="2" t="s">
        <v>1608</v>
      </c>
      <c r="G756" s="8">
        <v>65000</v>
      </c>
      <c r="H756">
        <v>2</v>
      </c>
      <c r="I756">
        <v>2</v>
      </c>
      <c r="J756">
        <v>1</v>
      </c>
      <c r="K756">
        <v>3</v>
      </c>
      <c r="L756">
        <v>800</v>
      </c>
      <c r="M756" t="s">
        <v>36</v>
      </c>
      <c r="N756" t="s">
        <v>29</v>
      </c>
      <c r="O756" t="s">
        <v>16</v>
      </c>
      <c r="P756" t="s">
        <v>23</v>
      </c>
      <c r="Q756" t="str">
        <f t="shared" si="89"/>
        <v>10</v>
      </c>
      <c r="R756" s="5">
        <v>46171</v>
      </c>
      <c r="S756" s="8">
        <f t="shared" si="90"/>
        <v>81.25</v>
      </c>
      <c r="T756">
        <f t="shared" si="91"/>
        <v>780000</v>
      </c>
      <c r="U756" t="str">
        <f t="shared" si="92"/>
        <v>Premium</v>
      </c>
      <c r="V756" t="str">
        <f t="shared" si="93"/>
        <v>Medium</v>
      </c>
      <c r="W756" t="str">
        <f>IF(S756 &lt; VLOOKUP(E756, Locality_Tier_Benchmarks!A:B, 2, FALSE) * 0.7, "Below Tier Range", "Normal")</f>
        <v>Normal</v>
      </c>
      <c r="X756" t="str">
        <f t="shared" si="94"/>
        <v>Normal</v>
      </c>
      <c r="Y756" t="str">
        <f t="shared" si="95"/>
        <v>Normal</v>
      </c>
      <c r="Z756" t="str">
        <f t="shared" si="88"/>
        <v>Pass</v>
      </c>
    </row>
    <row r="757" spans="1:26" x14ac:dyDescent="0.25">
      <c r="A757" s="2" t="s">
        <v>1541</v>
      </c>
      <c r="B757" t="s">
        <v>17</v>
      </c>
      <c r="C757" t="s">
        <v>1606</v>
      </c>
      <c r="D757" s="2" t="str">
        <f>VLOOKUP(C757,Locality_Reference!A:C,2,)</f>
        <v>Central Line</v>
      </c>
      <c r="E757" s="2" t="str">
        <f>VLOOKUP(C757,Locality_Reference!A:C,3,)</f>
        <v>Mid Suburb</v>
      </c>
      <c r="F757" s="2" t="s">
        <v>1615</v>
      </c>
      <c r="G757" s="8">
        <v>55000</v>
      </c>
      <c r="H757">
        <v>2</v>
      </c>
      <c r="I757">
        <v>2</v>
      </c>
      <c r="J757">
        <v>5</v>
      </c>
      <c r="K757">
        <v>7</v>
      </c>
      <c r="L757">
        <v>690</v>
      </c>
      <c r="M757" t="s">
        <v>36</v>
      </c>
      <c r="N757" t="s">
        <v>15</v>
      </c>
      <c r="O757" t="s">
        <v>16</v>
      </c>
      <c r="P757" t="s">
        <v>52</v>
      </c>
      <c r="Q757" t="str">
        <f t="shared" si="89"/>
        <v>7.5</v>
      </c>
      <c r="R757" s="5">
        <v>46178</v>
      </c>
      <c r="S757" s="8">
        <f t="shared" si="90"/>
        <v>79.710144927536234</v>
      </c>
      <c r="T757">
        <f t="shared" si="91"/>
        <v>660000</v>
      </c>
      <c r="U757" t="str">
        <f t="shared" si="92"/>
        <v>Mid</v>
      </c>
      <c r="V757" t="str">
        <f t="shared" si="93"/>
        <v>Medium</v>
      </c>
      <c r="W757" t="str">
        <f>IF(S757 &lt; VLOOKUP(E757, Locality_Tier_Benchmarks!A:B, 2, FALSE) * 0.7, "Below Tier Range", "Normal")</f>
        <v>Normal</v>
      </c>
      <c r="X757" t="str">
        <f t="shared" si="94"/>
        <v>Normal</v>
      </c>
      <c r="Y757" t="str">
        <f t="shared" si="95"/>
        <v>Normal</v>
      </c>
      <c r="Z757" t="str">
        <f t="shared" si="88"/>
        <v>Pass</v>
      </c>
    </row>
    <row r="758" spans="1:26" x14ac:dyDescent="0.25">
      <c r="A758" s="2" t="s">
        <v>1542</v>
      </c>
      <c r="B758" t="s">
        <v>17</v>
      </c>
      <c r="C758" t="s">
        <v>1606</v>
      </c>
      <c r="D758" s="2" t="str">
        <f>VLOOKUP(C758,Locality_Reference!A:C,2,)</f>
        <v>Central Line</v>
      </c>
      <c r="E758" s="2" t="str">
        <f>VLOOKUP(C758,Locality_Reference!A:C,3,)</f>
        <v>Mid Suburb</v>
      </c>
      <c r="F758" s="2" t="s">
        <v>1616</v>
      </c>
      <c r="G758" s="8">
        <v>55000</v>
      </c>
      <c r="H758">
        <v>3</v>
      </c>
      <c r="I758">
        <v>2</v>
      </c>
      <c r="J758">
        <v>3</v>
      </c>
      <c r="K758">
        <v>7</v>
      </c>
      <c r="L758">
        <v>720</v>
      </c>
      <c r="M758" t="s">
        <v>33</v>
      </c>
      <c r="N758" t="s">
        <v>29</v>
      </c>
      <c r="O758" t="s">
        <v>16</v>
      </c>
      <c r="P758" t="s">
        <v>31</v>
      </c>
      <c r="Q758" t="str">
        <f t="shared" si="89"/>
        <v>3</v>
      </c>
      <c r="R758" s="5">
        <v>46185</v>
      </c>
      <c r="S758" s="8">
        <f t="shared" si="90"/>
        <v>76.388888888888886</v>
      </c>
      <c r="T758">
        <f t="shared" si="91"/>
        <v>660000</v>
      </c>
      <c r="U758" t="str">
        <f t="shared" si="92"/>
        <v>Mid</v>
      </c>
      <c r="V758" t="str">
        <f t="shared" si="93"/>
        <v>Medium</v>
      </c>
      <c r="W758" t="str">
        <f>IF(S758 &lt; VLOOKUP(E758, Locality_Tier_Benchmarks!A:B, 2, FALSE) * 0.7, "Below Tier Range", "Normal")</f>
        <v>Normal</v>
      </c>
      <c r="X758" t="str">
        <f t="shared" si="94"/>
        <v>Normal</v>
      </c>
      <c r="Y758" t="str">
        <f t="shared" si="95"/>
        <v>Normal</v>
      </c>
      <c r="Z758" t="str">
        <f t="shared" si="88"/>
        <v>Pass</v>
      </c>
    </row>
    <row r="759" spans="1:26" x14ac:dyDescent="0.25">
      <c r="A759" s="2" t="s">
        <v>1543</v>
      </c>
      <c r="B759" t="s">
        <v>17</v>
      </c>
      <c r="C759" t="s">
        <v>1606</v>
      </c>
      <c r="D759" s="2" t="str">
        <f>VLOOKUP(C759,Locality_Reference!A:C,2,)</f>
        <v>Central Line</v>
      </c>
      <c r="E759" s="2" t="str">
        <f>VLOOKUP(C759,Locality_Reference!A:C,3,)</f>
        <v>Mid Suburb</v>
      </c>
      <c r="F759" s="2" t="s">
        <v>1617</v>
      </c>
      <c r="G759" s="8">
        <v>111000</v>
      </c>
      <c r="H759">
        <v>3</v>
      </c>
      <c r="I759">
        <v>3</v>
      </c>
      <c r="J759">
        <v>4</v>
      </c>
      <c r="K759">
        <v>10</v>
      </c>
      <c r="L759">
        <v>1100</v>
      </c>
      <c r="M759" t="s">
        <v>14</v>
      </c>
      <c r="N759" t="s">
        <v>15</v>
      </c>
      <c r="O759" t="s">
        <v>16</v>
      </c>
      <c r="P759" t="s">
        <v>23</v>
      </c>
      <c r="Q759" t="str">
        <f t="shared" si="89"/>
        <v>10</v>
      </c>
      <c r="R759" s="5">
        <v>46179</v>
      </c>
      <c r="S759" s="8">
        <f t="shared" si="90"/>
        <v>100.90909090909091</v>
      </c>
      <c r="T759">
        <f t="shared" si="91"/>
        <v>1332000</v>
      </c>
      <c r="U759" t="str">
        <f t="shared" si="92"/>
        <v>Luxury</v>
      </c>
      <c r="V759" t="str">
        <f t="shared" si="93"/>
        <v>Large</v>
      </c>
      <c r="W759" t="str">
        <f>IF(S759 &lt; VLOOKUP(E759, Locality_Tier_Benchmarks!A:B, 2, FALSE) * 0.7, "Below Tier Range", "Normal")</f>
        <v>Normal</v>
      </c>
      <c r="X759" t="str">
        <f t="shared" si="94"/>
        <v>Normal</v>
      </c>
      <c r="Y759" t="str">
        <f t="shared" si="95"/>
        <v>Normal</v>
      </c>
      <c r="Z759" t="str">
        <f t="shared" si="88"/>
        <v>Pass</v>
      </c>
    </row>
    <row r="760" spans="1:26" x14ac:dyDescent="0.25">
      <c r="A760" s="2" t="s">
        <v>1544</v>
      </c>
      <c r="B760" t="s">
        <v>17</v>
      </c>
      <c r="C760" t="s">
        <v>1606</v>
      </c>
      <c r="D760" s="2" t="str">
        <f>VLOOKUP(C760,Locality_Reference!A:C,2,)</f>
        <v>Central Line</v>
      </c>
      <c r="E760" s="2" t="str">
        <f>VLOOKUP(C760,Locality_Reference!A:C,3,)</f>
        <v>Mid Suburb</v>
      </c>
      <c r="F760" s="2" t="s">
        <v>1618</v>
      </c>
      <c r="G760" s="8">
        <v>48000</v>
      </c>
      <c r="H760">
        <v>3</v>
      </c>
      <c r="I760">
        <v>2</v>
      </c>
      <c r="J760">
        <v>4</v>
      </c>
      <c r="K760">
        <v>10</v>
      </c>
      <c r="L760">
        <v>720</v>
      </c>
      <c r="M760" t="s">
        <v>33</v>
      </c>
      <c r="N760" t="s">
        <v>29</v>
      </c>
      <c r="O760" t="s">
        <v>16</v>
      </c>
      <c r="P760" t="s">
        <v>47</v>
      </c>
      <c r="Q760" t="str">
        <f t="shared" si="89"/>
        <v>1</v>
      </c>
      <c r="R760" s="5">
        <v>46164</v>
      </c>
      <c r="S760" s="8">
        <f t="shared" si="90"/>
        <v>66.666666666666671</v>
      </c>
      <c r="T760">
        <f t="shared" si="91"/>
        <v>576000</v>
      </c>
      <c r="U760" t="str">
        <f t="shared" si="92"/>
        <v>Mid</v>
      </c>
      <c r="V760" t="str">
        <f t="shared" si="93"/>
        <v>Medium</v>
      </c>
      <c r="W760" t="str">
        <f>IF(S760 &lt; VLOOKUP(E760, Locality_Tier_Benchmarks!A:B, 2, FALSE) * 0.7, "Below Tier Range", "Normal")</f>
        <v>Normal</v>
      </c>
      <c r="X760" t="str">
        <f t="shared" si="94"/>
        <v>Normal</v>
      </c>
      <c r="Y760" t="str">
        <f t="shared" si="95"/>
        <v>Normal</v>
      </c>
      <c r="Z760" t="str">
        <f t="shared" si="88"/>
        <v>Pass</v>
      </c>
    </row>
    <row r="761" spans="1:26" x14ac:dyDescent="0.25">
      <c r="A761" s="2" t="s">
        <v>1545</v>
      </c>
      <c r="B761" t="s">
        <v>17</v>
      </c>
      <c r="C761" t="s">
        <v>1607</v>
      </c>
      <c r="D761" s="2" t="str">
        <f>VLOOKUP(C761,Locality_Reference!A:C,2,)</f>
        <v>Central Line</v>
      </c>
      <c r="E761" s="2" t="str">
        <f>VLOOKUP(C761,Locality_Reference!A:C,3,)</f>
        <v>Mid Suburb</v>
      </c>
      <c r="F761" s="2" t="s">
        <v>1619</v>
      </c>
      <c r="G761" s="8">
        <v>50000</v>
      </c>
      <c r="H761">
        <v>1</v>
      </c>
      <c r="I761">
        <v>2</v>
      </c>
      <c r="J761">
        <v>12</v>
      </c>
      <c r="K761">
        <v>13</v>
      </c>
      <c r="L761">
        <v>500</v>
      </c>
      <c r="M761" t="s">
        <v>14</v>
      </c>
      <c r="N761" t="s">
        <v>29</v>
      </c>
      <c r="O761" t="s">
        <v>16</v>
      </c>
      <c r="P761" t="s">
        <v>47</v>
      </c>
      <c r="Q761" t="str">
        <f t="shared" si="89"/>
        <v>1</v>
      </c>
      <c r="R761" s="5">
        <v>46196</v>
      </c>
      <c r="S761" s="8">
        <f t="shared" si="90"/>
        <v>100</v>
      </c>
      <c r="T761">
        <f t="shared" si="91"/>
        <v>600000</v>
      </c>
      <c r="U761" t="str">
        <f t="shared" si="92"/>
        <v>Mid</v>
      </c>
      <c r="V761" t="str">
        <f t="shared" si="93"/>
        <v>Compact</v>
      </c>
      <c r="W761" t="str">
        <f>IF(S761 &lt; VLOOKUP(E761, Locality_Tier_Benchmarks!A:B, 2, FALSE) * 0.7, "Below Tier Range", "Normal")</f>
        <v>Normal</v>
      </c>
      <c r="X761" t="str">
        <f t="shared" si="94"/>
        <v>Normal</v>
      </c>
      <c r="Y761" t="str">
        <f t="shared" si="95"/>
        <v>Normal</v>
      </c>
      <c r="Z761" t="str">
        <f t="shared" si="88"/>
        <v>Pass</v>
      </c>
    </row>
    <row r="762" spans="1:26" x14ac:dyDescent="0.25">
      <c r="A762" s="2" t="s">
        <v>1546</v>
      </c>
      <c r="B762" t="s">
        <v>17</v>
      </c>
      <c r="C762" t="s">
        <v>1607</v>
      </c>
      <c r="D762" s="2" t="str">
        <f>VLOOKUP(C762,Locality_Reference!A:C,2,)</f>
        <v>Central Line</v>
      </c>
      <c r="E762" s="2" t="str">
        <f>VLOOKUP(C762,Locality_Reference!A:C,3,)</f>
        <v>Mid Suburb</v>
      </c>
      <c r="F762" s="2" t="s">
        <v>1620</v>
      </c>
      <c r="G762" s="8">
        <v>35000</v>
      </c>
      <c r="H762">
        <v>1</v>
      </c>
      <c r="I762">
        <v>2</v>
      </c>
      <c r="J762">
        <v>3</v>
      </c>
      <c r="K762">
        <v>3</v>
      </c>
      <c r="L762">
        <v>500</v>
      </c>
      <c r="M762" t="s">
        <v>14</v>
      </c>
      <c r="N762" t="s">
        <v>29</v>
      </c>
      <c r="O762" t="s">
        <v>16</v>
      </c>
      <c r="P762" t="s">
        <v>23</v>
      </c>
      <c r="Q762" t="str">
        <f t="shared" si="89"/>
        <v>10</v>
      </c>
      <c r="R762" s="5">
        <v>46168</v>
      </c>
      <c r="S762" s="8">
        <f t="shared" si="90"/>
        <v>70</v>
      </c>
      <c r="T762">
        <f t="shared" si="91"/>
        <v>420000</v>
      </c>
      <c r="U762" t="str">
        <f t="shared" si="92"/>
        <v>Mid</v>
      </c>
      <c r="V762" t="str">
        <f t="shared" si="93"/>
        <v>Compact</v>
      </c>
      <c r="W762" t="str">
        <f>IF(S762 &lt; VLOOKUP(E762, Locality_Tier_Benchmarks!A:B, 2, FALSE) * 0.7, "Below Tier Range", "Normal")</f>
        <v>Normal</v>
      </c>
      <c r="X762" t="str">
        <f t="shared" si="94"/>
        <v>Normal</v>
      </c>
      <c r="Y762" t="str">
        <f t="shared" si="95"/>
        <v>Normal</v>
      </c>
      <c r="Z762" t="str">
        <f t="shared" si="88"/>
        <v>Pass</v>
      </c>
    </row>
    <row r="763" spans="1:26" x14ac:dyDescent="0.25">
      <c r="A763" s="2" t="s">
        <v>1547</v>
      </c>
      <c r="B763" t="s">
        <v>17</v>
      </c>
      <c r="C763" t="s">
        <v>1607</v>
      </c>
      <c r="D763" s="2" t="str">
        <f>VLOOKUP(C763,Locality_Reference!A:C,2,)</f>
        <v>Central Line</v>
      </c>
      <c r="E763" s="2" t="str">
        <f>VLOOKUP(C763,Locality_Reference!A:C,3,)</f>
        <v>Mid Suburb</v>
      </c>
      <c r="F763" s="2" t="s">
        <v>1621</v>
      </c>
      <c r="G763" s="8">
        <v>52999</v>
      </c>
      <c r="H763">
        <v>2</v>
      </c>
      <c r="I763">
        <v>3</v>
      </c>
      <c r="J763">
        <v>6</v>
      </c>
      <c r="K763">
        <v>13</v>
      </c>
      <c r="L763">
        <v>810</v>
      </c>
      <c r="M763" t="s">
        <v>36</v>
      </c>
      <c r="N763" t="s">
        <v>29</v>
      </c>
      <c r="O763" t="s">
        <v>16</v>
      </c>
      <c r="P763" t="s">
        <v>47</v>
      </c>
      <c r="Q763" t="str">
        <f t="shared" si="89"/>
        <v>1</v>
      </c>
      <c r="R763" s="5">
        <v>46167</v>
      </c>
      <c r="S763" s="8">
        <f t="shared" si="90"/>
        <v>65.430864197530866</v>
      </c>
      <c r="T763">
        <f t="shared" si="91"/>
        <v>635988</v>
      </c>
      <c r="U763" t="str">
        <f t="shared" si="92"/>
        <v>Mid</v>
      </c>
      <c r="V763" t="str">
        <f t="shared" si="93"/>
        <v>Large</v>
      </c>
      <c r="W763" t="str">
        <f>IF(S763 &lt; VLOOKUP(E763, Locality_Tier_Benchmarks!A:B, 2, FALSE) * 0.7, "Below Tier Range", "Normal")</f>
        <v>Normal</v>
      </c>
      <c r="X763" t="str">
        <f t="shared" si="94"/>
        <v>Normal</v>
      </c>
      <c r="Y763" t="str">
        <f t="shared" si="95"/>
        <v>Normal</v>
      </c>
      <c r="Z763" t="str">
        <f t="shared" si="88"/>
        <v>Pass</v>
      </c>
    </row>
    <row r="764" spans="1:26" x14ac:dyDescent="0.25">
      <c r="A764" s="2" t="s">
        <v>1548</v>
      </c>
      <c r="B764" t="s">
        <v>17</v>
      </c>
      <c r="C764" t="s">
        <v>1607</v>
      </c>
      <c r="D764" s="2" t="str">
        <f>VLOOKUP(C764,Locality_Reference!A:C,2,)</f>
        <v>Central Line</v>
      </c>
      <c r="E764" s="2" t="str">
        <f>VLOOKUP(C764,Locality_Reference!A:C,3,)</f>
        <v>Mid Suburb</v>
      </c>
      <c r="F764" s="2" t="s">
        <v>1622</v>
      </c>
      <c r="G764" s="8">
        <v>60000</v>
      </c>
      <c r="H764">
        <v>2</v>
      </c>
      <c r="I764">
        <v>2</v>
      </c>
      <c r="J764">
        <v>14</v>
      </c>
      <c r="K764">
        <v>15</v>
      </c>
      <c r="L764">
        <v>600</v>
      </c>
      <c r="M764" t="s">
        <v>33</v>
      </c>
      <c r="N764" t="s">
        <v>29</v>
      </c>
      <c r="O764" t="s">
        <v>16</v>
      </c>
      <c r="P764" t="s">
        <v>34</v>
      </c>
      <c r="Q764" t="str">
        <f t="shared" si="89"/>
        <v/>
      </c>
      <c r="R764" s="5">
        <v>46187</v>
      </c>
      <c r="S764" s="8">
        <f t="shared" si="90"/>
        <v>100</v>
      </c>
      <c r="T764">
        <f t="shared" si="91"/>
        <v>720000</v>
      </c>
      <c r="U764" t="str">
        <f t="shared" si="92"/>
        <v>Mid</v>
      </c>
      <c r="V764" t="str">
        <f t="shared" si="93"/>
        <v>Medium</v>
      </c>
      <c r="W764" t="str">
        <f>IF(S764 &lt; VLOOKUP(E764, Locality_Tier_Benchmarks!A:B, 2, FALSE) * 0.7, "Below Tier Range", "Normal")</f>
        <v>Normal</v>
      </c>
      <c r="X764" t="str">
        <f t="shared" si="94"/>
        <v>Normal</v>
      </c>
      <c r="Y764" t="str">
        <f t="shared" si="95"/>
        <v>Normal</v>
      </c>
      <c r="Z764" t="str">
        <f t="shared" si="88"/>
        <v>Pass</v>
      </c>
    </row>
    <row r="765" spans="1:26" x14ac:dyDescent="0.25">
      <c r="A765" s="2" t="s">
        <v>1549</v>
      </c>
      <c r="B765" t="s">
        <v>17</v>
      </c>
      <c r="C765" t="s">
        <v>1607</v>
      </c>
      <c r="D765" s="2" t="str">
        <f>VLOOKUP(C765,Locality_Reference!A:C,2,)</f>
        <v>Central Line</v>
      </c>
      <c r="E765" s="2" t="str">
        <f>VLOOKUP(C765,Locality_Reference!A:C,3,)</f>
        <v>Mid Suburb</v>
      </c>
      <c r="F765" s="2" t="s">
        <v>1623</v>
      </c>
      <c r="G765" s="8">
        <v>60000</v>
      </c>
      <c r="H765">
        <v>2</v>
      </c>
      <c r="I765">
        <v>2</v>
      </c>
      <c r="J765">
        <v>2</v>
      </c>
      <c r="K765">
        <v>14</v>
      </c>
      <c r="L765">
        <v>681</v>
      </c>
      <c r="M765" t="s">
        <v>33</v>
      </c>
      <c r="N765" t="s">
        <v>29</v>
      </c>
      <c r="O765" t="s">
        <v>16</v>
      </c>
      <c r="P765" t="s">
        <v>23</v>
      </c>
      <c r="Q765" t="str">
        <f t="shared" si="89"/>
        <v>10</v>
      </c>
      <c r="R765" s="5">
        <v>46127</v>
      </c>
      <c r="S765" s="8">
        <f t="shared" si="90"/>
        <v>88.105726872246692</v>
      </c>
      <c r="T765">
        <f t="shared" si="91"/>
        <v>720000</v>
      </c>
      <c r="U765" t="str">
        <f t="shared" si="92"/>
        <v>Mid</v>
      </c>
      <c r="V765" t="str">
        <f t="shared" si="93"/>
        <v>Medium</v>
      </c>
      <c r="W765" t="str">
        <f>IF(S765 &lt; VLOOKUP(E765, Locality_Tier_Benchmarks!A:B, 2, FALSE) * 0.7, "Below Tier Range", "Normal")</f>
        <v>Normal</v>
      </c>
      <c r="X765" t="str">
        <f t="shared" si="94"/>
        <v>Normal</v>
      </c>
      <c r="Y765" t="str">
        <f t="shared" si="95"/>
        <v>Normal</v>
      </c>
      <c r="Z765" t="str">
        <f t="shared" si="88"/>
        <v>Pass</v>
      </c>
    </row>
    <row r="766" spans="1:26" x14ac:dyDescent="0.25">
      <c r="A766" s="2" t="s">
        <v>1550</v>
      </c>
      <c r="B766" t="s">
        <v>17</v>
      </c>
      <c r="C766" t="s">
        <v>1607</v>
      </c>
      <c r="D766" s="2" t="str">
        <f>VLOOKUP(C766,Locality_Reference!A:C,2,)</f>
        <v>Central Line</v>
      </c>
      <c r="E766" s="2" t="str">
        <f>VLOOKUP(C766,Locality_Reference!A:C,3,)</f>
        <v>Mid Suburb</v>
      </c>
      <c r="F766" s="2" t="s">
        <v>1624</v>
      </c>
      <c r="G766" s="8">
        <v>70000</v>
      </c>
      <c r="H766">
        <v>2</v>
      </c>
      <c r="I766">
        <v>2</v>
      </c>
      <c r="J766">
        <v>6</v>
      </c>
      <c r="K766">
        <v>12</v>
      </c>
      <c r="L766">
        <v>702</v>
      </c>
      <c r="M766" t="s">
        <v>33</v>
      </c>
      <c r="N766" t="s">
        <v>15</v>
      </c>
      <c r="O766" t="s">
        <v>16</v>
      </c>
      <c r="P766" t="s">
        <v>31</v>
      </c>
      <c r="Q766" t="str">
        <f t="shared" si="89"/>
        <v>3</v>
      </c>
      <c r="R766" s="5">
        <v>46125</v>
      </c>
      <c r="S766" s="8">
        <f t="shared" si="90"/>
        <v>99.715099715099711</v>
      </c>
      <c r="T766">
        <f t="shared" si="91"/>
        <v>840000</v>
      </c>
      <c r="U766" t="str">
        <f t="shared" si="92"/>
        <v>Premium</v>
      </c>
      <c r="V766" t="str">
        <f t="shared" si="93"/>
        <v>Medium</v>
      </c>
      <c r="W766" t="str">
        <f>IF(S766 &lt; VLOOKUP(E766, Locality_Tier_Benchmarks!A:B, 2, FALSE) * 0.7, "Below Tier Range", "Normal")</f>
        <v>Normal</v>
      </c>
      <c r="X766" t="str">
        <f t="shared" si="94"/>
        <v>Normal</v>
      </c>
      <c r="Y766" t="str">
        <f t="shared" si="95"/>
        <v>Normal</v>
      </c>
      <c r="Z766" t="str">
        <f t="shared" si="88"/>
        <v>Pass</v>
      </c>
    </row>
    <row r="767" spans="1:26" x14ac:dyDescent="0.25">
      <c r="A767" s="2" t="s">
        <v>1551</v>
      </c>
      <c r="B767" t="s">
        <v>366</v>
      </c>
      <c r="C767" t="s">
        <v>1607</v>
      </c>
      <c r="D767" s="2" t="str">
        <f>VLOOKUP(C767,Locality_Reference!A:C,2,)</f>
        <v>Central Line</v>
      </c>
      <c r="E767" s="2" t="str">
        <f>VLOOKUP(C767,Locality_Reference!A:C,3,)</f>
        <v>Mid Suburb</v>
      </c>
      <c r="F767" s="2" t="s">
        <v>1625</v>
      </c>
      <c r="G767" s="8">
        <v>65000</v>
      </c>
      <c r="H767">
        <v>2</v>
      </c>
      <c r="I767">
        <v>2</v>
      </c>
      <c r="J767">
        <v>1</v>
      </c>
      <c r="K767">
        <v>10</v>
      </c>
      <c r="L767">
        <v>700</v>
      </c>
      <c r="M767" t="s">
        <v>14</v>
      </c>
      <c r="N767" t="s">
        <v>1289</v>
      </c>
      <c r="O767" t="s">
        <v>16</v>
      </c>
      <c r="P767" t="s">
        <v>47</v>
      </c>
      <c r="Q767" t="str">
        <f t="shared" si="89"/>
        <v>1</v>
      </c>
      <c r="R767" s="5">
        <v>46160</v>
      </c>
      <c r="S767" s="8">
        <f t="shared" si="90"/>
        <v>92.857142857142861</v>
      </c>
      <c r="T767">
        <f t="shared" si="91"/>
        <v>780000</v>
      </c>
      <c r="U767" t="str">
        <f t="shared" si="92"/>
        <v>Premium</v>
      </c>
      <c r="V767" t="str">
        <f t="shared" si="93"/>
        <v>Medium</v>
      </c>
      <c r="W767" t="str">
        <f>IF(S767 &lt; VLOOKUP(E767, Locality_Tier_Benchmarks!A:B, 2, FALSE) * 0.7, "Below Tier Range", "Normal")</f>
        <v>Normal</v>
      </c>
      <c r="X767" t="str">
        <f t="shared" si="94"/>
        <v>Normal</v>
      </c>
      <c r="Y767" t="str">
        <f t="shared" si="95"/>
        <v>Normal</v>
      </c>
      <c r="Z767" t="str">
        <f t="shared" si="88"/>
        <v>Pass</v>
      </c>
    </row>
    <row r="768" spans="1:26" x14ac:dyDescent="0.25">
      <c r="A768" s="2" t="s">
        <v>1552</v>
      </c>
      <c r="B768" t="s">
        <v>17</v>
      </c>
      <c r="C768" t="s">
        <v>1626</v>
      </c>
      <c r="D768" s="2" t="str">
        <f>VLOOKUP(C768,Locality_Reference!A:C,2,)</f>
        <v>Central Line</v>
      </c>
      <c r="E768" s="2" t="str">
        <f>VLOOKUP(C768,Locality_Reference!A:C,3,)</f>
        <v>Mid Suburb</v>
      </c>
      <c r="F768" s="2" t="s">
        <v>1628</v>
      </c>
      <c r="G768" s="8">
        <v>45000</v>
      </c>
      <c r="H768">
        <v>1</v>
      </c>
      <c r="I768">
        <v>1</v>
      </c>
      <c r="J768">
        <v>11</v>
      </c>
      <c r="K768">
        <v>16</v>
      </c>
      <c r="L768">
        <v>430</v>
      </c>
      <c r="M768" t="s">
        <v>36</v>
      </c>
      <c r="N768" t="s">
        <v>15</v>
      </c>
      <c r="O768" t="s">
        <v>16</v>
      </c>
      <c r="P768" t="s">
        <v>47</v>
      </c>
      <c r="Q768" t="str">
        <f t="shared" si="89"/>
        <v>1</v>
      </c>
      <c r="R768" s="5">
        <v>46200</v>
      </c>
      <c r="S768" s="8">
        <f t="shared" si="90"/>
        <v>104.65116279069767</v>
      </c>
      <c r="T768">
        <f t="shared" si="91"/>
        <v>540000</v>
      </c>
      <c r="U768" t="str">
        <f t="shared" si="92"/>
        <v>Mid</v>
      </c>
      <c r="V768" t="str">
        <f t="shared" si="93"/>
        <v>Compact</v>
      </c>
      <c r="W768" t="str">
        <f>IF(S768 &lt; VLOOKUP(E768, Locality_Tier_Benchmarks!A:B, 2, FALSE) * 0.7, "Below Tier Range", "Normal")</f>
        <v>Normal</v>
      </c>
      <c r="X768" t="str">
        <f t="shared" si="94"/>
        <v>Normal</v>
      </c>
      <c r="Y768" t="str">
        <f t="shared" si="95"/>
        <v>Normal</v>
      </c>
      <c r="Z768" t="str">
        <f t="shared" si="88"/>
        <v>Pass</v>
      </c>
    </row>
    <row r="769" spans="1:26" x14ac:dyDescent="0.25">
      <c r="A769" s="2" t="s">
        <v>1553</v>
      </c>
      <c r="B769" t="s">
        <v>17</v>
      </c>
      <c r="C769" t="s">
        <v>1626</v>
      </c>
      <c r="D769" s="2" t="str">
        <f>VLOOKUP(C769,Locality_Reference!A:C,2,)</f>
        <v>Central Line</v>
      </c>
      <c r="E769" s="2" t="str">
        <f>VLOOKUP(C769,Locality_Reference!A:C,3,)</f>
        <v>Mid Suburb</v>
      </c>
      <c r="F769" s="2" t="s">
        <v>1629</v>
      </c>
      <c r="G769" s="8">
        <v>45000</v>
      </c>
      <c r="H769">
        <v>1</v>
      </c>
      <c r="I769">
        <v>2</v>
      </c>
      <c r="J769">
        <v>14</v>
      </c>
      <c r="K769">
        <v>17</v>
      </c>
      <c r="L769">
        <v>530</v>
      </c>
      <c r="M769" t="s">
        <v>36</v>
      </c>
      <c r="N769" t="s">
        <v>29</v>
      </c>
      <c r="O769" t="s">
        <v>16</v>
      </c>
      <c r="P769" t="s">
        <v>34</v>
      </c>
      <c r="Q769" t="str">
        <f t="shared" si="89"/>
        <v/>
      </c>
      <c r="R769" s="5">
        <v>46175</v>
      </c>
      <c r="S769" s="8">
        <f t="shared" si="90"/>
        <v>84.905660377358487</v>
      </c>
      <c r="T769">
        <f t="shared" si="91"/>
        <v>540000</v>
      </c>
      <c r="U769" t="str">
        <f t="shared" si="92"/>
        <v>Mid</v>
      </c>
      <c r="V769" t="str">
        <f t="shared" si="93"/>
        <v>Medium</v>
      </c>
      <c r="W769" t="str">
        <f>IF(S769 &lt; VLOOKUP(E769, Locality_Tier_Benchmarks!A:B, 2, FALSE) * 0.7, "Below Tier Range", "Normal")</f>
        <v>Normal</v>
      </c>
      <c r="X769" t="str">
        <f t="shared" si="94"/>
        <v>Normal</v>
      </c>
      <c r="Y769" t="str">
        <f t="shared" si="95"/>
        <v>Normal</v>
      </c>
      <c r="Z769" t="str">
        <f t="shared" si="88"/>
        <v>Pass</v>
      </c>
    </row>
    <row r="770" spans="1:26" x14ac:dyDescent="0.25">
      <c r="A770" s="2" t="s">
        <v>1554</v>
      </c>
      <c r="B770" t="s">
        <v>17</v>
      </c>
      <c r="C770" t="s">
        <v>1626</v>
      </c>
      <c r="D770" s="2" t="str">
        <f>VLOOKUP(C770,Locality_Reference!A:C,2,)</f>
        <v>Central Line</v>
      </c>
      <c r="E770" s="2" t="str">
        <f>VLOOKUP(C770,Locality_Reference!A:C,3,)</f>
        <v>Mid Suburb</v>
      </c>
      <c r="F770" s="2" t="s">
        <v>1630</v>
      </c>
      <c r="G770" s="8">
        <v>45000</v>
      </c>
      <c r="H770">
        <v>1</v>
      </c>
      <c r="I770">
        <v>2</v>
      </c>
      <c r="J770">
        <v>12</v>
      </c>
      <c r="K770">
        <v>16</v>
      </c>
      <c r="L770">
        <v>464</v>
      </c>
      <c r="M770" t="s">
        <v>36</v>
      </c>
      <c r="N770" t="s">
        <v>29</v>
      </c>
      <c r="O770" t="s">
        <v>16</v>
      </c>
      <c r="P770" t="s">
        <v>34</v>
      </c>
      <c r="Q770" t="str">
        <f t="shared" si="89"/>
        <v/>
      </c>
      <c r="R770" s="5">
        <v>46196</v>
      </c>
      <c r="S770" s="8">
        <f t="shared" si="90"/>
        <v>96.982758620689651</v>
      </c>
      <c r="T770">
        <f t="shared" si="91"/>
        <v>540000</v>
      </c>
      <c r="U770" t="str">
        <f t="shared" si="92"/>
        <v>Mid</v>
      </c>
      <c r="V770" t="str">
        <f t="shared" si="93"/>
        <v>Compact</v>
      </c>
      <c r="W770" t="str">
        <f>IF(S770 &lt; VLOOKUP(E770, Locality_Tier_Benchmarks!A:B, 2, FALSE) * 0.7, "Below Tier Range", "Normal")</f>
        <v>Normal</v>
      </c>
      <c r="X770" t="str">
        <f t="shared" si="94"/>
        <v>Normal</v>
      </c>
      <c r="Y770" t="str">
        <f t="shared" si="95"/>
        <v>Normal</v>
      </c>
      <c r="Z770" t="str">
        <f t="shared" ref="Z770:Z833" si="96">IF(OR(W770&lt;&gt;"Normal",X770&lt;&gt;"Normal",Y770&lt;&gt;"Normal"),"Review","Pass")</f>
        <v>Pass</v>
      </c>
    </row>
    <row r="771" spans="1:26" x14ac:dyDescent="0.25">
      <c r="A771" s="2" t="s">
        <v>1555</v>
      </c>
      <c r="B771" t="s">
        <v>17</v>
      </c>
      <c r="C771" t="s">
        <v>1626</v>
      </c>
      <c r="D771" s="2" t="str">
        <f>VLOOKUP(C771,Locality_Reference!A:C,2,)</f>
        <v>Central Line</v>
      </c>
      <c r="E771" s="2" t="str">
        <f>VLOOKUP(C771,Locality_Reference!A:C,3,)</f>
        <v>Mid Suburb</v>
      </c>
      <c r="F771" s="2" t="s">
        <v>1631</v>
      </c>
      <c r="G771" s="8">
        <v>42000</v>
      </c>
      <c r="H771">
        <v>1</v>
      </c>
      <c r="I771">
        <v>2</v>
      </c>
      <c r="J771">
        <v>9</v>
      </c>
      <c r="K771">
        <v>16</v>
      </c>
      <c r="L771">
        <v>440</v>
      </c>
      <c r="M771" t="s">
        <v>36</v>
      </c>
      <c r="N771" t="s">
        <v>15</v>
      </c>
      <c r="O771" t="s">
        <v>16</v>
      </c>
      <c r="P771" t="s">
        <v>34</v>
      </c>
      <c r="Q771" t="str">
        <f t="shared" ref="Q771:Q834" si="97">IF(P771="20+ Years","20",IF(P771="15-20 Years","17.5",IF(P771="10+ Years","10",IF(P771="5-10 Years","7.5",IF(P771="1-5 Years","3",IF(P771="0-1 Year","1",""))))))</f>
        <v/>
      </c>
      <c r="R771" s="5">
        <v>46196</v>
      </c>
      <c r="S771" s="8">
        <f t="shared" ref="S771:S834" si="98">G771/L771</f>
        <v>95.454545454545453</v>
      </c>
      <c r="T771">
        <f t="shared" ref="T771:T834" si="99">G771*12</f>
        <v>504000</v>
      </c>
      <c r="U771" t="str">
        <f t="shared" ref="U771:U834" si="100">IF(G771&lt;=30000,"Budget",IF(G771&lt;=60000,"Mid",IF(G771&lt;=100000,"Premium","Luxury")))</f>
        <v>Mid</v>
      </c>
      <c r="V771" t="str">
        <f t="shared" ref="V771:V834" si="101">IF(L771&lt;=500,"Compact",IF(L771&lt;=800,"Medium",IF(L771&lt;=1200,"Large","Spacious")))</f>
        <v>Compact</v>
      </c>
      <c r="W771" t="str">
        <f>IF(S771 &lt; VLOOKUP(E771, Locality_Tier_Benchmarks!A:B, 2, FALSE) * 0.7, "Below Tier Range", "Normal")</f>
        <v>Normal</v>
      </c>
      <c r="X771" t="str">
        <f t="shared" ref="X771:X834" si="102">IF(G771&lt;7000,"Below Absolute Floor","Normal")</f>
        <v>Normal</v>
      </c>
      <c r="Y771" t="str">
        <f t="shared" ref="Y771:Y834" si="103">IF(S771&gt;500,"Possible Typo - Check Zero","Normal")</f>
        <v>Normal</v>
      </c>
      <c r="Z771" t="str">
        <f t="shared" si="96"/>
        <v>Pass</v>
      </c>
    </row>
    <row r="772" spans="1:26" x14ac:dyDescent="0.25">
      <c r="A772" s="2" t="s">
        <v>1556</v>
      </c>
      <c r="B772" t="s">
        <v>17</v>
      </c>
      <c r="C772" t="s">
        <v>1626</v>
      </c>
      <c r="D772" s="2" t="str">
        <f>VLOOKUP(C772,Locality_Reference!A:C,2,)</f>
        <v>Central Line</v>
      </c>
      <c r="E772" s="2" t="str">
        <f>VLOOKUP(C772,Locality_Reference!A:C,3,)</f>
        <v>Mid Suburb</v>
      </c>
      <c r="F772" s="2" t="s">
        <v>1632</v>
      </c>
      <c r="G772" s="8">
        <v>38000</v>
      </c>
      <c r="H772">
        <v>1</v>
      </c>
      <c r="I772">
        <v>2</v>
      </c>
      <c r="J772">
        <v>11</v>
      </c>
      <c r="K772">
        <v>17</v>
      </c>
      <c r="L772">
        <v>385</v>
      </c>
      <c r="M772" t="s">
        <v>36</v>
      </c>
      <c r="N772" t="s">
        <v>29</v>
      </c>
      <c r="O772" t="s">
        <v>16</v>
      </c>
      <c r="P772" t="s">
        <v>31</v>
      </c>
      <c r="Q772" t="str">
        <f t="shared" si="97"/>
        <v>3</v>
      </c>
      <c r="R772" s="5">
        <v>46174</v>
      </c>
      <c r="S772" s="8">
        <f t="shared" si="98"/>
        <v>98.701298701298697</v>
      </c>
      <c r="T772">
        <f t="shared" si="99"/>
        <v>456000</v>
      </c>
      <c r="U772" t="str">
        <f t="shared" si="100"/>
        <v>Mid</v>
      </c>
      <c r="V772" t="str">
        <f t="shared" si="101"/>
        <v>Compact</v>
      </c>
      <c r="W772" t="str">
        <f>IF(S772 &lt; VLOOKUP(E772, Locality_Tier_Benchmarks!A:B, 2, FALSE) * 0.7, "Below Tier Range", "Normal")</f>
        <v>Normal</v>
      </c>
      <c r="X772" t="str">
        <f t="shared" si="102"/>
        <v>Normal</v>
      </c>
      <c r="Y772" t="str">
        <f t="shared" si="103"/>
        <v>Normal</v>
      </c>
      <c r="Z772" t="str">
        <f t="shared" si="96"/>
        <v>Pass</v>
      </c>
    </row>
    <row r="773" spans="1:26" x14ac:dyDescent="0.25">
      <c r="A773" s="2" t="s">
        <v>1557</v>
      </c>
      <c r="B773" t="s">
        <v>17</v>
      </c>
      <c r="C773" t="s">
        <v>1626</v>
      </c>
      <c r="D773" s="2" t="str">
        <f>VLOOKUP(C773,Locality_Reference!A:C,2,)</f>
        <v>Central Line</v>
      </c>
      <c r="E773" s="2" t="str">
        <f>VLOOKUP(C773,Locality_Reference!A:C,3,)</f>
        <v>Mid Suburb</v>
      </c>
      <c r="F773" s="2" t="s">
        <v>1633</v>
      </c>
      <c r="G773" s="8">
        <v>70000</v>
      </c>
      <c r="H773">
        <v>2</v>
      </c>
      <c r="I773">
        <v>2</v>
      </c>
      <c r="J773">
        <v>16</v>
      </c>
      <c r="K773">
        <v>19</v>
      </c>
      <c r="L773">
        <v>822</v>
      </c>
      <c r="M773" t="s">
        <v>36</v>
      </c>
      <c r="N773" t="s">
        <v>15</v>
      </c>
      <c r="O773" t="s">
        <v>16</v>
      </c>
      <c r="P773" t="s">
        <v>34</v>
      </c>
      <c r="Q773" t="str">
        <f t="shared" si="97"/>
        <v/>
      </c>
      <c r="R773" s="5">
        <v>46193</v>
      </c>
      <c r="S773" s="8">
        <f t="shared" si="98"/>
        <v>85.15815085158151</v>
      </c>
      <c r="T773">
        <f t="shared" si="99"/>
        <v>840000</v>
      </c>
      <c r="U773" t="str">
        <f t="shared" si="100"/>
        <v>Premium</v>
      </c>
      <c r="V773" t="str">
        <f t="shared" si="101"/>
        <v>Large</v>
      </c>
      <c r="W773" t="str">
        <f>IF(S773 &lt; VLOOKUP(E773, Locality_Tier_Benchmarks!A:B, 2, FALSE) * 0.7, "Below Tier Range", "Normal")</f>
        <v>Normal</v>
      </c>
      <c r="X773" t="str">
        <f t="shared" si="102"/>
        <v>Normal</v>
      </c>
      <c r="Y773" t="str">
        <f t="shared" si="103"/>
        <v>Normal</v>
      </c>
      <c r="Z773" t="str">
        <f t="shared" si="96"/>
        <v>Pass</v>
      </c>
    </row>
    <row r="774" spans="1:26" x14ac:dyDescent="0.25">
      <c r="A774" s="2" t="s">
        <v>1558</v>
      </c>
      <c r="B774" t="s">
        <v>17</v>
      </c>
      <c r="C774" t="s">
        <v>1626</v>
      </c>
      <c r="D774" s="2" t="str">
        <f>VLOOKUP(C774,Locality_Reference!A:C,2,)</f>
        <v>Central Line</v>
      </c>
      <c r="E774" s="2" t="str">
        <f>VLOOKUP(C774,Locality_Reference!A:C,3,)</f>
        <v>Mid Suburb</v>
      </c>
      <c r="F774" s="2" t="s">
        <v>1634</v>
      </c>
      <c r="G774" s="8">
        <v>70000</v>
      </c>
      <c r="H774">
        <v>2</v>
      </c>
      <c r="I774">
        <v>2</v>
      </c>
      <c r="J774">
        <v>9</v>
      </c>
      <c r="K774">
        <v>15</v>
      </c>
      <c r="L774">
        <v>605</v>
      </c>
      <c r="M774" t="s">
        <v>33</v>
      </c>
      <c r="N774" t="s">
        <v>15</v>
      </c>
      <c r="O774" t="s">
        <v>16</v>
      </c>
      <c r="P774" t="s">
        <v>34</v>
      </c>
      <c r="Q774" t="str">
        <f t="shared" si="97"/>
        <v/>
      </c>
      <c r="R774" s="5">
        <v>46202</v>
      </c>
      <c r="S774" s="8">
        <f t="shared" si="98"/>
        <v>115.70247933884298</v>
      </c>
      <c r="T774">
        <f t="shared" si="99"/>
        <v>840000</v>
      </c>
      <c r="U774" t="str">
        <f t="shared" si="100"/>
        <v>Premium</v>
      </c>
      <c r="V774" t="str">
        <f t="shared" si="101"/>
        <v>Medium</v>
      </c>
      <c r="W774" t="str">
        <f>IF(S774 &lt; VLOOKUP(E774, Locality_Tier_Benchmarks!A:B, 2, FALSE) * 0.7, "Below Tier Range", "Normal")</f>
        <v>Normal</v>
      </c>
      <c r="X774" t="str">
        <f t="shared" si="102"/>
        <v>Normal</v>
      </c>
      <c r="Y774" t="str">
        <f t="shared" si="103"/>
        <v>Normal</v>
      </c>
      <c r="Z774" t="str">
        <f t="shared" si="96"/>
        <v>Pass</v>
      </c>
    </row>
    <row r="775" spans="1:26" x14ac:dyDescent="0.25">
      <c r="A775" s="2" t="s">
        <v>1559</v>
      </c>
      <c r="B775" t="s">
        <v>17</v>
      </c>
      <c r="C775" t="s">
        <v>1626</v>
      </c>
      <c r="D775" s="2" t="str">
        <f>VLOOKUP(C775,Locality_Reference!A:C,2,)</f>
        <v>Central Line</v>
      </c>
      <c r="E775" s="2" t="str">
        <f>VLOOKUP(C775,Locality_Reference!A:C,3,)</f>
        <v>Mid Suburb</v>
      </c>
      <c r="F775" s="2" t="s">
        <v>1635</v>
      </c>
      <c r="G775" s="8">
        <v>75000</v>
      </c>
      <c r="H775">
        <v>2</v>
      </c>
      <c r="I775">
        <v>2</v>
      </c>
      <c r="J775">
        <v>18</v>
      </c>
      <c r="K775">
        <v>19</v>
      </c>
      <c r="L775">
        <v>860</v>
      </c>
      <c r="M775" t="s">
        <v>36</v>
      </c>
      <c r="N775" t="s">
        <v>29</v>
      </c>
      <c r="O775" t="s">
        <v>16</v>
      </c>
      <c r="P775" t="s">
        <v>34</v>
      </c>
      <c r="Q775" t="str">
        <f t="shared" si="97"/>
        <v/>
      </c>
      <c r="R775" s="5">
        <v>46189</v>
      </c>
      <c r="S775" s="8">
        <f t="shared" si="98"/>
        <v>87.20930232558139</v>
      </c>
      <c r="T775">
        <f t="shared" si="99"/>
        <v>900000</v>
      </c>
      <c r="U775" t="str">
        <f t="shared" si="100"/>
        <v>Premium</v>
      </c>
      <c r="V775" t="str">
        <f t="shared" si="101"/>
        <v>Large</v>
      </c>
      <c r="W775" t="str">
        <f>IF(S775 &lt; VLOOKUP(E775, Locality_Tier_Benchmarks!A:B, 2, FALSE) * 0.7, "Below Tier Range", "Normal")</f>
        <v>Normal</v>
      </c>
      <c r="X775" t="str">
        <f t="shared" si="102"/>
        <v>Normal</v>
      </c>
      <c r="Y775" t="str">
        <f t="shared" si="103"/>
        <v>Normal</v>
      </c>
      <c r="Z775" t="str">
        <f t="shared" si="96"/>
        <v>Pass</v>
      </c>
    </row>
    <row r="776" spans="1:26" x14ac:dyDescent="0.25">
      <c r="A776" s="2" t="s">
        <v>1560</v>
      </c>
      <c r="B776" t="s">
        <v>17</v>
      </c>
      <c r="C776" t="s">
        <v>1626</v>
      </c>
      <c r="D776" s="2" t="str">
        <f>VLOOKUP(C776,Locality_Reference!A:C,2,)</f>
        <v>Central Line</v>
      </c>
      <c r="E776" s="2" t="str">
        <f>VLOOKUP(C776,Locality_Reference!A:C,3,)</f>
        <v>Mid Suburb</v>
      </c>
      <c r="F776" s="2" t="s">
        <v>1636</v>
      </c>
      <c r="G776" s="8">
        <v>59000</v>
      </c>
      <c r="H776">
        <v>2</v>
      </c>
      <c r="I776">
        <v>2</v>
      </c>
      <c r="J776">
        <v>5</v>
      </c>
      <c r="K776">
        <v>16</v>
      </c>
      <c r="L776">
        <v>607</v>
      </c>
      <c r="M776" t="s">
        <v>36</v>
      </c>
      <c r="N776" t="s">
        <v>15</v>
      </c>
      <c r="O776" t="s">
        <v>16</v>
      </c>
      <c r="P776" t="s">
        <v>31</v>
      </c>
      <c r="Q776" t="str">
        <f t="shared" si="97"/>
        <v>3</v>
      </c>
      <c r="R776" s="5">
        <v>46199</v>
      </c>
      <c r="S776" s="8">
        <f t="shared" si="98"/>
        <v>97.199341021416799</v>
      </c>
      <c r="T776">
        <f t="shared" si="99"/>
        <v>708000</v>
      </c>
      <c r="U776" t="str">
        <f t="shared" si="100"/>
        <v>Mid</v>
      </c>
      <c r="V776" t="str">
        <f t="shared" si="101"/>
        <v>Medium</v>
      </c>
      <c r="W776" t="str">
        <f>IF(S776 &lt; VLOOKUP(E776, Locality_Tier_Benchmarks!A:B, 2, FALSE) * 0.7, "Below Tier Range", "Normal")</f>
        <v>Normal</v>
      </c>
      <c r="X776" t="str">
        <f t="shared" si="102"/>
        <v>Normal</v>
      </c>
      <c r="Y776" t="str">
        <f t="shared" si="103"/>
        <v>Normal</v>
      </c>
      <c r="Z776" t="str">
        <f t="shared" si="96"/>
        <v>Pass</v>
      </c>
    </row>
    <row r="777" spans="1:26" x14ac:dyDescent="0.25">
      <c r="A777" s="2" t="s">
        <v>1561</v>
      </c>
      <c r="B777" t="s">
        <v>17</v>
      </c>
      <c r="C777" t="s">
        <v>1626</v>
      </c>
      <c r="D777" s="2" t="str">
        <f>VLOOKUP(C777,Locality_Reference!A:C,2,)</f>
        <v>Central Line</v>
      </c>
      <c r="E777" s="2" t="str">
        <f>VLOOKUP(C777,Locality_Reference!A:C,3,)</f>
        <v>Mid Suburb</v>
      </c>
      <c r="F777" s="2" t="s">
        <v>1637</v>
      </c>
      <c r="G777" s="8">
        <v>80000</v>
      </c>
      <c r="H777">
        <v>2</v>
      </c>
      <c r="I777">
        <v>2</v>
      </c>
      <c r="J777">
        <v>15</v>
      </c>
      <c r="K777">
        <v>16</v>
      </c>
      <c r="L777">
        <v>725</v>
      </c>
      <c r="M777" t="s">
        <v>36</v>
      </c>
      <c r="N777" t="s">
        <v>15</v>
      </c>
      <c r="O777" t="s">
        <v>16</v>
      </c>
      <c r="P777" t="s">
        <v>34</v>
      </c>
      <c r="Q777" t="str">
        <f t="shared" si="97"/>
        <v/>
      </c>
      <c r="R777" s="5">
        <v>46200</v>
      </c>
      <c r="S777" s="8">
        <f t="shared" si="98"/>
        <v>110.34482758620689</v>
      </c>
      <c r="T777">
        <f t="shared" si="99"/>
        <v>960000</v>
      </c>
      <c r="U777" t="str">
        <f t="shared" si="100"/>
        <v>Premium</v>
      </c>
      <c r="V777" t="str">
        <f t="shared" si="101"/>
        <v>Medium</v>
      </c>
      <c r="W777" t="str">
        <f>IF(S777 &lt; VLOOKUP(E777, Locality_Tier_Benchmarks!A:B, 2, FALSE) * 0.7, "Below Tier Range", "Normal")</f>
        <v>Normal</v>
      </c>
      <c r="X777" t="str">
        <f t="shared" si="102"/>
        <v>Normal</v>
      </c>
      <c r="Y777" t="str">
        <f t="shared" si="103"/>
        <v>Normal</v>
      </c>
      <c r="Z777" t="str">
        <f t="shared" si="96"/>
        <v>Pass</v>
      </c>
    </row>
    <row r="778" spans="1:26" x14ac:dyDescent="0.25">
      <c r="A778" s="2" t="s">
        <v>1562</v>
      </c>
      <c r="B778" t="s">
        <v>17</v>
      </c>
      <c r="C778" t="s">
        <v>1626</v>
      </c>
      <c r="D778" s="2" t="str">
        <f>VLOOKUP(C778,Locality_Reference!A:C,2,)</f>
        <v>Central Line</v>
      </c>
      <c r="E778" s="2" t="str">
        <f>VLOOKUP(C778,Locality_Reference!A:C,3,)</f>
        <v>Mid Suburb</v>
      </c>
      <c r="F778" s="2" t="s">
        <v>1635</v>
      </c>
      <c r="G778" s="8">
        <v>85000</v>
      </c>
      <c r="H778">
        <v>3</v>
      </c>
      <c r="I778">
        <v>3</v>
      </c>
      <c r="J778">
        <v>13</v>
      </c>
      <c r="K778">
        <v>19</v>
      </c>
      <c r="L778">
        <v>1171</v>
      </c>
      <c r="M778" t="s">
        <v>36</v>
      </c>
      <c r="N778" t="s">
        <v>29</v>
      </c>
      <c r="O778" t="s">
        <v>16</v>
      </c>
      <c r="P778" t="s">
        <v>34</v>
      </c>
      <c r="Q778" t="str">
        <f t="shared" si="97"/>
        <v/>
      </c>
      <c r="R778" s="5">
        <v>46189</v>
      </c>
      <c r="S778" s="8">
        <f t="shared" si="98"/>
        <v>72.58753202391118</v>
      </c>
      <c r="T778">
        <f t="shared" si="99"/>
        <v>1020000</v>
      </c>
      <c r="U778" t="str">
        <f t="shared" si="100"/>
        <v>Premium</v>
      </c>
      <c r="V778" t="str">
        <f t="shared" si="101"/>
        <v>Large</v>
      </c>
      <c r="W778" t="str">
        <f>IF(S778 &lt; VLOOKUP(E778, Locality_Tier_Benchmarks!A:B, 2, FALSE) * 0.7, "Below Tier Range", "Normal")</f>
        <v>Normal</v>
      </c>
      <c r="X778" t="str">
        <f t="shared" si="102"/>
        <v>Normal</v>
      </c>
      <c r="Y778" t="str">
        <f t="shared" si="103"/>
        <v>Normal</v>
      </c>
      <c r="Z778" t="str">
        <f t="shared" si="96"/>
        <v>Pass</v>
      </c>
    </row>
    <row r="779" spans="1:26" x14ac:dyDescent="0.25">
      <c r="A779" s="2" t="s">
        <v>1563</v>
      </c>
      <c r="B779" t="s">
        <v>17</v>
      </c>
      <c r="C779" t="s">
        <v>1626</v>
      </c>
      <c r="D779" s="2" t="str">
        <f>VLOOKUP(C779,Locality_Reference!A:C,2,)</f>
        <v>Central Line</v>
      </c>
      <c r="E779" s="2" t="str">
        <f>VLOOKUP(C779,Locality_Reference!A:C,3,)</f>
        <v>Mid Suburb</v>
      </c>
      <c r="F779" s="2" t="s">
        <v>1638</v>
      </c>
      <c r="G779" s="8">
        <v>125000</v>
      </c>
      <c r="H779">
        <v>3</v>
      </c>
      <c r="I779">
        <v>3</v>
      </c>
      <c r="J779">
        <v>14</v>
      </c>
      <c r="K779">
        <v>20</v>
      </c>
      <c r="L779">
        <v>1080</v>
      </c>
      <c r="M779" t="s">
        <v>36</v>
      </c>
      <c r="N779" t="s">
        <v>15</v>
      </c>
      <c r="O779" t="s">
        <v>16</v>
      </c>
      <c r="P779" t="s">
        <v>47</v>
      </c>
      <c r="Q779" t="str">
        <f t="shared" si="97"/>
        <v>1</v>
      </c>
      <c r="R779" s="5">
        <v>46153</v>
      </c>
      <c r="S779" s="8">
        <f t="shared" si="98"/>
        <v>115.74074074074075</v>
      </c>
      <c r="T779">
        <f t="shared" si="99"/>
        <v>1500000</v>
      </c>
      <c r="U779" t="str">
        <f t="shared" si="100"/>
        <v>Luxury</v>
      </c>
      <c r="V779" t="str">
        <f t="shared" si="101"/>
        <v>Large</v>
      </c>
      <c r="W779" t="str">
        <f>IF(S779 &lt; VLOOKUP(E779, Locality_Tier_Benchmarks!A:B, 2, FALSE) * 0.7, "Below Tier Range", "Normal")</f>
        <v>Normal</v>
      </c>
      <c r="X779" t="str">
        <f t="shared" si="102"/>
        <v>Normal</v>
      </c>
      <c r="Y779" t="str">
        <f t="shared" si="103"/>
        <v>Normal</v>
      </c>
      <c r="Z779" t="str">
        <f t="shared" si="96"/>
        <v>Pass</v>
      </c>
    </row>
    <row r="780" spans="1:26" x14ac:dyDescent="0.25">
      <c r="A780" s="2" t="s">
        <v>1564</v>
      </c>
      <c r="B780" t="s">
        <v>17</v>
      </c>
      <c r="C780" t="s">
        <v>1626</v>
      </c>
      <c r="D780" s="2" t="str">
        <f>VLOOKUP(C780,Locality_Reference!A:C,2,)</f>
        <v>Central Line</v>
      </c>
      <c r="E780" s="2" t="str">
        <f>VLOOKUP(C780,Locality_Reference!A:C,3,)</f>
        <v>Mid Suburb</v>
      </c>
      <c r="F780" s="2" t="s">
        <v>1639</v>
      </c>
      <c r="G780" s="8">
        <v>130000</v>
      </c>
      <c r="H780">
        <v>3</v>
      </c>
      <c r="I780">
        <v>3</v>
      </c>
      <c r="J780">
        <v>5</v>
      </c>
      <c r="K780">
        <v>21</v>
      </c>
      <c r="L780">
        <v>1220</v>
      </c>
      <c r="M780" t="s">
        <v>36</v>
      </c>
      <c r="N780" t="s">
        <v>15</v>
      </c>
      <c r="O780" t="s">
        <v>16</v>
      </c>
      <c r="P780" t="s">
        <v>47</v>
      </c>
      <c r="Q780" t="str">
        <f t="shared" si="97"/>
        <v>1</v>
      </c>
      <c r="R780" s="5">
        <v>46200</v>
      </c>
      <c r="S780" s="8">
        <f t="shared" si="98"/>
        <v>106.55737704918033</v>
      </c>
      <c r="T780">
        <f t="shared" si="99"/>
        <v>1560000</v>
      </c>
      <c r="U780" t="str">
        <f t="shared" si="100"/>
        <v>Luxury</v>
      </c>
      <c r="V780" t="str">
        <f t="shared" si="101"/>
        <v>Spacious</v>
      </c>
      <c r="W780" t="str">
        <f>IF(S780 &lt; VLOOKUP(E780, Locality_Tier_Benchmarks!A:B, 2, FALSE) * 0.7, "Below Tier Range", "Normal")</f>
        <v>Normal</v>
      </c>
      <c r="X780" t="str">
        <f t="shared" si="102"/>
        <v>Normal</v>
      </c>
      <c r="Y780" t="str">
        <f t="shared" si="103"/>
        <v>Normal</v>
      </c>
      <c r="Z780" t="str">
        <f t="shared" si="96"/>
        <v>Pass</v>
      </c>
    </row>
    <row r="781" spans="1:26" x14ac:dyDescent="0.25">
      <c r="A781" s="2" t="s">
        <v>1565</v>
      </c>
      <c r="B781" t="s">
        <v>17</v>
      </c>
      <c r="C781" t="s">
        <v>1626</v>
      </c>
      <c r="D781" s="2" t="str">
        <f>VLOOKUP(C781,Locality_Reference!A:C,2,)</f>
        <v>Central Line</v>
      </c>
      <c r="E781" s="2" t="str">
        <f>VLOOKUP(C781,Locality_Reference!A:C,3,)</f>
        <v>Mid Suburb</v>
      </c>
      <c r="F781" s="2" t="s">
        <v>1637</v>
      </c>
      <c r="G781" s="8">
        <v>100000</v>
      </c>
      <c r="H781">
        <v>3</v>
      </c>
      <c r="I781">
        <v>3</v>
      </c>
      <c r="J781">
        <v>11</v>
      </c>
      <c r="K781">
        <v>16</v>
      </c>
      <c r="L781">
        <v>925</v>
      </c>
      <c r="M781" t="s">
        <v>33</v>
      </c>
      <c r="N781" t="s">
        <v>15</v>
      </c>
      <c r="O781" t="s">
        <v>16</v>
      </c>
      <c r="P781" t="s">
        <v>34</v>
      </c>
      <c r="Q781" t="str">
        <f t="shared" si="97"/>
        <v/>
      </c>
      <c r="R781" s="5">
        <v>46200</v>
      </c>
      <c r="S781" s="8">
        <f t="shared" si="98"/>
        <v>108.10810810810811</v>
      </c>
      <c r="T781">
        <f t="shared" si="99"/>
        <v>1200000</v>
      </c>
      <c r="U781" t="str">
        <f t="shared" si="100"/>
        <v>Premium</v>
      </c>
      <c r="V781" t="str">
        <f t="shared" si="101"/>
        <v>Large</v>
      </c>
      <c r="W781" t="str">
        <f>IF(S781 &lt; VLOOKUP(E781, Locality_Tier_Benchmarks!A:B, 2, FALSE) * 0.7, "Below Tier Range", "Normal")</f>
        <v>Normal</v>
      </c>
      <c r="X781" t="str">
        <f t="shared" si="102"/>
        <v>Normal</v>
      </c>
      <c r="Y781" t="str">
        <f t="shared" si="103"/>
        <v>Normal</v>
      </c>
      <c r="Z781" t="str">
        <f t="shared" si="96"/>
        <v>Pass</v>
      </c>
    </row>
    <row r="782" spans="1:26" x14ac:dyDescent="0.25">
      <c r="A782" s="2" t="s">
        <v>1566</v>
      </c>
      <c r="B782" t="s">
        <v>17</v>
      </c>
      <c r="C782" t="s">
        <v>1626</v>
      </c>
      <c r="D782" s="2" t="str">
        <f>VLOOKUP(C782,Locality_Reference!A:C,2,)</f>
        <v>Central Line</v>
      </c>
      <c r="E782" s="2" t="str">
        <f>VLOOKUP(C782,Locality_Reference!A:C,3,)</f>
        <v>Mid Suburb</v>
      </c>
      <c r="F782" s="2" t="s">
        <v>1640</v>
      </c>
      <c r="G782" s="8">
        <v>125000</v>
      </c>
      <c r="H782">
        <v>3</v>
      </c>
      <c r="I782">
        <v>3</v>
      </c>
      <c r="J782">
        <v>4</v>
      </c>
      <c r="K782">
        <v>12</v>
      </c>
      <c r="L782">
        <v>1200</v>
      </c>
      <c r="M782" t="s">
        <v>33</v>
      </c>
      <c r="N782" t="s">
        <v>15</v>
      </c>
      <c r="O782" t="s">
        <v>16</v>
      </c>
      <c r="P782" t="s">
        <v>34</v>
      </c>
      <c r="Q782" t="str">
        <f t="shared" si="97"/>
        <v/>
      </c>
      <c r="R782" s="5">
        <v>46202</v>
      </c>
      <c r="S782" s="8">
        <f t="shared" si="98"/>
        <v>104.16666666666667</v>
      </c>
      <c r="T782">
        <f t="shared" si="99"/>
        <v>1500000</v>
      </c>
      <c r="U782" t="str">
        <f t="shared" si="100"/>
        <v>Luxury</v>
      </c>
      <c r="V782" t="str">
        <f t="shared" si="101"/>
        <v>Large</v>
      </c>
      <c r="W782" t="str">
        <f>IF(S782 &lt; VLOOKUP(E782, Locality_Tier_Benchmarks!A:B, 2, FALSE) * 0.7, "Below Tier Range", "Normal")</f>
        <v>Normal</v>
      </c>
      <c r="X782" t="str">
        <f t="shared" si="102"/>
        <v>Normal</v>
      </c>
      <c r="Y782" t="str">
        <f t="shared" si="103"/>
        <v>Normal</v>
      </c>
      <c r="Z782" t="str">
        <f t="shared" si="96"/>
        <v>Pass</v>
      </c>
    </row>
    <row r="783" spans="1:26" x14ac:dyDescent="0.25">
      <c r="A783" s="2" t="s">
        <v>1567</v>
      </c>
      <c r="B783" t="s">
        <v>17</v>
      </c>
      <c r="C783" t="s">
        <v>1627</v>
      </c>
      <c r="D783" s="2" t="str">
        <f>VLOOKUP(C783,Locality_Reference!A:C,2,)</f>
        <v>Central Line</v>
      </c>
      <c r="E783" s="2" t="str">
        <f>VLOOKUP(C783,Locality_Reference!A:C,3,)</f>
        <v>Mid Suburb</v>
      </c>
      <c r="F783" s="2" t="s">
        <v>1641</v>
      </c>
      <c r="G783" s="8">
        <v>45000</v>
      </c>
      <c r="H783">
        <v>1</v>
      </c>
      <c r="I783">
        <v>2</v>
      </c>
      <c r="J783">
        <v>10</v>
      </c>
      <c r="K783">
        <v>19</v>
      </c>
      <c r="L783">
        <v>465</v>
      </c>
      <c r="M783" t="s">
        <v>36</v>
      </c>
      <c r="N783" t="s">
        <v>29</v>
      </c>
      <c r="O783" t="s">
        <v>16</v>
      </c>
      <c r="P783" t="s">
        <v>47</v>
      </c>
      <c r="Q783" t="str">
        <f t="shared" si="97"/>
        <v>1</v>
      </c>
      <c r="R783" s="5">
        <v>46203</v>
      </c>
      <c r="S783" s="8">
        <f t="shared" si="98"/>
        <v>96.774193548387103</v>
      </c>
      <c r="T783">
        <f t="shared" si="99"/>
        <v>540000</v>
      </c>
      <c r="U783" t="str">
        <f t="shared" si="100"/>
        <v>Mid</v>
      </c>
      <c r="V783" t="str">
        <f t="shared" si="101"/>
        <v>Compact</v>
      </c>
      <c r="W783" t="str">
        <f>IF(S783 &lt; VLOOKUP(E783, Locality_Tier_Benchmarks!A:B, 2, FALSE) * 0.7, "Below Tier Range", "Normal")</f>
        <v>Normal</v>
      </c>
      <c r="X783" t="str">
        <f t="shared" si="102"/>
        <v>Normal</v>
      </c>
      <c r="Y783" t="str">
        <f t="shared" si="103"/>
        <v>Normal</v>
      </c>
      <c r="Z783" t="str">
        <f t="shared" si="96"/>
        <v>Pass</v>
      </c>
    </row>
    <row r="784" spans="1:26" x14ac:dyDescent="0.25">
      <c r="A784" s="2" t="s">
        <v>1568</v>
      </c>
      <c r="B784" t="s">
        <v>17</v>
      </c>
      <c r="C784" t="s">
        <v>1627</v>
      </c>
      <c r="D784" s="2" t="str">
        <f>VLOOKUP(C784,Locality_Reference!A:C,2,)</f>
        <v>Central Line</v>
      </c>
      <c r="E784" s="2" t="str">
        <f>VLOOKUP(C784,Locality_Reference!A:C,3,)</f>
        <v>Mid Suburb</v>
      </c>
      <c r="F784" s="2" t="s">
        <v>1642</v>
      </c>
      <c r="G784" s="8">
        <v>40000</v>
      </c>
      <c r="H784">
        <v>1</v>
      </c>
      <c r="I784">
        <v>2</v>
      </c>
      <c r="J784">
        <v>5</v>
      </c>
      <c r="K784">
        <v>8</v>
      </c>
      <c r="L784">
        <v>500</v>
      </c>
      <c r="M784" t="s">
        <v>36</v>
      </c>
      <c r="N784" t="s">
        <v>15</v>
      </c>
      <c r="O784" t="s">
        <v>16</v>
      </c>
      <c r="P784" t="s">
        <v>23</v>
      </c>
      <c r="Q784" t="str">
        <f t="shared" si="97"/>
        <v>10</v>
      </c>
      <c r="R784" s="5">
        <v>46196</v>
      </c>
      <c r="S784" s="8">
        <f t="shared" si="98"/>
        <v>80</v>
      </c>
      <c r="T784">
        <f t="shared" si="99"/>
        <v>480000</v>
      </c>
      <c r="U784" t="str">
        <f t="shared" si="100"/>
        <v>Mid</v>
      </c>
      <c r="V784" t="str">
        <f t="shared" si="101"/>
        <v>Compact</v>
      </c>
      <c r="W784" t="str">
        <f>IF(S784 &lt; VLOOKUP(E784, Locality_Tier_Benchmarks!A:B, 2, FALSE) * 0.7, "Below Tier Range", "Normal")</f>
        <v>Normal</v>
      </c>
      <c r="X784" t="str">
        <f t="shared" si="102"/>
        <v>Normal</v>
      </c>
      <c r="Y784" t="str">
        <f t="shared" si="103"/>
        <v>Normal</v>
      </c>
      <c r="Z784" t="str">
        <f t="shared" si="96"/>
        <v>Pass</v>
      </c>
    </row>
    <row r="785" spans="1:26" x14ac:dyDescent="0.25">
      <c r="A785" s="2" t="s">
        <v>1569</v>
      </c>
      <c r="B785" t="s">
        <v>17</v>
      </c>
      <c r="C785" t="s">
        <v>1627</v>
      </c>
      <c r="D785" s="2" t="str">
        <f>VLOOKUP(C785,Locality_Reference!A:C,2,)</f>
        <v>Central Line</v>
      </c>
      <c r="E785" s="2" t="str">
        <f>VLOOKUP(C785,Locality_Reference!A:C,3,)</f>
        <v>Mid Suburb</v>
      </c>
      <c r="F785" s="2" t="s">
        <v>1643</v>
      </c>
      <c r="G785" s="8">
        <v>35000</v>
      </c>
      <c r="H785">
        <v>1</v>
      </c>
      <c r="I785">
        <v>2</v>
      </c>
      <c r="J785">
        <v>3</v>
      </c>
      <c r="K785">
        <v>3</v>
      </c>
      <c r="L785">
        <v>422</v>
      </c>
      <c r="M785" t="s">
        <v>36</v>
      </c>
      <c r="N785" t="s">
        <v>29</v>
      </c>
      <c r="O785" t="s">
        <v>16</v>
      </c>
      <c r="P785" t="s">
        <v>34</v>
      </c>
      <c r="Q785" t="str">
        <f t="shared" si="97"/>
        <v/>
      </c>
      <c r="R785" s="5">
        <v>46198</v>
      </c>
      <c r="S785" s="8">
        <f t="shared" si="98"/>
        <v>82.938388625592424</v>
      </c>
      <c r="T785">
        <f t="shared" si="99"/>
        <v>420000</v>
      </c>
      <c r="U785" t="str">
        <f t="shared" si="100"/>
        <v>Mid</v>
      </c>
      <c r="V785" t="str">
        <f t="shared" si="101"/>
        <v>Compact</v>
      </c>
      <c r="W785" t="str">
        <f>IF(S785 &lt; VLOOKUP(E785, Locality_Tier_Benchmarks!A:B, 2, FALSE) * 0.7, "Below Tier Range", "Normal")</f>
        <v>Normal</v>
      </c>
      <c r="X785" t="str">
        <f t="shared" si="102"/>
        <v>Normal</v>
      </c>
      <c r="Y785" t="str">
        <f t="shared" si="103"/>
        <v>Normal</v>
      </c>
      <c r="Z785" t="str">
        <f t="shared" si="96"/>
        <v>Pass</v>
      </c>
    </row>
    <row r="786" spans="1:26" x14ac:dyDescent="0.25">
      <c r="A786" s="2" t="s">
        <v>1570</v>
      </c>
      <c r="B786" t="s">
        <v>17</v>
      </c>
      <c r="C786" t="s">
        <v>1627</v>
      </c>
      <c r="D786" s="2" t="str">
        <f>VLOOKUP(C786,Locality_Reference!A:C,2,)</f>
        <v>Central Line</v>
      </c>
      <c r="E786" s="2" t="str">
        <f>VLOOKUP(C786,Locality_Reference!A:C,3,)</f>
        <v>Mid Suburb</v>
      </c>
      <c r="F786" s="2" t="s">
        <v>1644</v>
      </c>
      <c r="G786" s="8">
        <v>7000</v>
      </c>
      <c r="H786">
        <v>1</v>
      </c>
      <c r="I786">
        <v>2</v>
      </c>
      <c r="J786">
        <v>5</v>
      </c>
      <c r="K786">
        <v>6</v>
      </c>
      <c r="L786">
        <v>300</v>
      </c>
      <c r="M786" t="s">
        <v>14</v>
      </c>
      <c r="N786" t="s">
        <v>1289</v>
      </c>
      <c r="O786" t="s">
        <v>16</v>
      </c>
      <c r="P786" t="s">
        <v>34</v>
      </c>
      <c r="Q786" t="str">
        <f t="shared" si="97"/>
        <v/>
      </c>
      <c r="R786" s="5">
        <v>46201</v>
      </c>
      <c r="S786" s="8">
        <f t="shared" si="98"/>
        <v>23.333333333333332</v>
      </c>
      <c r="T786">
        <f t="shared" si="99"/>
        <v>84000</v>
      </c>
      <c r="U786" t="str">
        <f t="shared" si="100"/>
        <v>Budget</v>
      </c>
      <c r="V786" t="str">
        <f t="shared" si="101"/>
        <v>Compact</v>
      </c>
      <c r="W786" t="str">
        <f>IF(S786 &lt; VLOOKUP(E786, Locality_Tier_Benchmarks!A:B, 2, FALSE) * 0.7, "Below Tier Range", "Normal")</f>
        <v>Below Tier Range</v>
      </c>
      <c r="X786" t="str">
        <f t="shared" si="102"/>
        <v>Normal</v>
      </c>
      <c r="Y786" t="str">
        <f t="shared" si="103"/>
        <v>Normal</v>
      </c>
      <c r="Z786" t="str">
        <f t="shared" si="96"/>
        <v>Review</v>
      </c>
    </row>
    <row r="787" spans="1:26" x14ac:dyDescent="0.25">
      <c r="A787" s="2" t="s">
        <v>1571</v>
      </c>
      <c r="B787" t="s">
        <v>17</v>
      </c>
      <c r="C787" t="s">
        <v>1627</v>
      </c>
      <c r="D787" s="2" t="str">
        <f>VLOOKUP(C787,Locality_Reference!A:C,2,)</f>
        <v>Central Line</v>
      </c>
      <c r="E787" s="2" t="str">
        <f>VLOOKUP(C787,Locality_Reference!A:C,3,)</f>
        <v>Mid Suburb</v>
      </c>
      <c r="F787" s="2" t="s">
        <v>1645</v>
      </c>
      <c r="G787" s="8">
        <v>26000</v>
      </c>
      <c r="H787">
        <v>1</v>
      </c>
      <c r="I787">
        <v>1</v>
      </c>
      <c r="J787">
        <v>1</v>
      </c>
      <c r="K787">
        <v>3</v>
      </c>
      <c r="L787">
        <v>340</v>
      </c>
      <c r="M787" t="s">
        <v>36</v>
      </c>
      <c r="N787" t="s">
        <v>29</v>
      </c>
      <c r="O787" t="s">
        <v>16</v>
      </c>
      <c r="P787" t="s">
        <v>23</v>
      </c>
      <c r="Q787" t="str">
        <f t="shared" si="97"/>
        <v>10</v>
      </c>
      <c r="R787" s="5">
        <v>46200</v>
      </c>
      <c r="S787" s="8">
        <f t="shared" si="98"/>
        <v>76.470588235294116</v>
      </c>
      <c r="T787">
        <f t="shared" si="99"/>
        <v>312000</v>
      </c>
      <c r="U787" t="str">
        <f t="shared" si="100"/>
        <v>Budget</v>
      </c>
      <c r="V787" t="str">
        <f t="shared" si="101"/>
        <v>Compact</v>
      </c>
      <c r="W787" t="str">
        <f>IF(S787 &lt; VLOOKUP(E787, Locality_Tier_Benchmarks!A:B, 2, FALSE) * 0.7, "Below Tier Range", "Normal")</f>
        <v>Normal</v>
      </c>
      <c r="X787" t="str">
        <f t="shared" si="102"/>
        <v>Normal</v>
      </c>
      <c r="Y787" t="str">
        <f t="shared" si="103"/>
        <v>Normal</v>
      </c>
      <c r="Z787" t="str">
        <f t="shared" si="96"/>
        <v>Pass</v>
      </c>
    </row>
    <row r="788" spans="1:26" x14ac:dyDescent="0.25">
      <c r="A788" s="2" t="s">
        <v>1572</v>
      </c>
      <c r="B788" t="s">
        <v>17</v>
      </c>
      <c r="C788" t="s">
        <v>1627</v>
      </c>
      <c r="D788" s="2" t="str">
        <f>VLOOKUP(C788,Locality_Reference!A:C,2,)</f>
        <v>Central Line</v>
      </c>
      <c r="E788" s="2" t="str">
        <f>VLOOKUP(C788,Locality_Reference!A:C,3,)</f>
        <v>Mid Suburb</v>
      </c>
      <c r="F788" s="2" t="s">
        <v>1646</v>
      </c>
      <c r="G788" s="8">
        <v>78000</v>
      </c>
      <c r="H788">
        <v>2</v>
      </c>
      <c r="I788">
        <v>2</v>
      </c>
      <c r="J788">
        <v>10</v>
      </c>
      <c r="K788">
        <v>20</v>
      </c>
      <c r="L788">
        <v>730</v>
      </c>
      <c r="M788" t="s">
        <v>36</v>
      </c>
      <c r="N788" t="s">
        <v>29</v>
      </c>
      <c r="O788" t="s">
        <v>16</v>
      </c>
      <c r="P788" t="s">
        <v>23</v>
      </c>
      <c r="Q788" t="str">
        <f t="shared" si="97"/>
        <v>10</v>
      </c>
      <c r="R788" s="5">
        <v>46191</v>
      </c>
      <c r="S788" s="8">
        <f t="shared" si="98"/>
        <v>106.84931506849315</v>
      </c>
      <c r="T788">
        <f t="shared" si="99"/>
        <v>936000</v>
      </c>
      <c r="U788" t="str">
        <f t="shared" si="100"/>
        <v>Premium</v>
      </c>
      <c r="V788" t="str">
        <f t="shared" si="101"/>
        <v>Medium</v>
      </c>
      <c r="W788" t="str">
        <f>IF(S788 &lt; VLOOKUP(E788, Locality_Tier_Benchmarks!A:B, 2, FALSE) * 0.7, "Below Tier Range", "Normal")</f>
        <v>Normal</v>
      </c>
      <c r="X788" t="str">
        <f t="shared" si="102"/>
        <v>Normal</v>
      </c>
      <c r="Y788" t="str">
        <f t="shared" si="103"/>
        <v>Normal</v>
      </c>
      <c r="Z788" t="str">
        <f t="shared" si="96"/>
        <v>Pass</v>
      </c>
    </row>
    <row r="789" spans="1:26" x14ac:dyDescent="0.25">
      <c r="A789" s="2" t="s">
        <v>1573</v>
      </c>
      <c r="B789" t="s">
        <v>17</v>
      </c>
      <c r="C789" t="s">
        <v>1627</v>
      </c>
      <c r="D789" s="2" t="str">
        <f>VLOOKUP(C789,Locality_Reference!A:C,2,)</f>
        <v>Central Line</v>
      </c>
      <c r="E789" s="2" t="str">
        <f>VLOOKUP(C789,Locality_Reference!A:C,3,)</f>
        <v>Mid Suburb</v>
      </c>
      <c r="F789" s="2" t="s">
        <v>1647</v>
      </c>
      <c r="G789" s="8">
        <v>67000</v>
      </c>
      <c r="H789">
        <v>2</v>
      </c>
      <c r="I789">
        <v>2</v>
      </c>
      <c r="J789">
        <v>3</v>
      </c>
      <c r="K789">
        <v>22</v>
      </c>
      <c r="L789">
        <v>659</v>
      </c>
      <c r="M789" t="s">
        <v>36</v>
      </c>
      <c r="N789" t="s">
        <v>29</v>
      </c>
      <c r="O789" t="s">
        <v>16</v>
      </c>
      <c r="P789" t="s">
        <v>31</v>
      </c>
      <c r="Q789" t="str">
        <f t="shared" si="97"/>
        <v>3</v>
      </c>
      <c r="R789" s="5">
        <v>46202</v>
      </c>
      <c r="S789" s="8">
        <f t="shared" si="98"/>
        <v>101.66919575113809</v>
      </c>
      <c r="T789">
        <f t="shared" si="99"/>
        <v>804000</v>
      </c>
      <c r="U789" t="str">
        <f t="shared" si="100"/>
        <v>Premium</v>
      </c>
      <c r="V789" t="str">
        <f t="shared" si="101"/>
        <v>Medium</v>
      </c>
      <c r="W789" t="str">
        <f>IF(S789 &lt; VLOOKUP(E789, Locality_Tier_Benchmarks!A:B, 2, FALSE) * 0.7, "Below Tier Range", "Normal")</f>
        <v>Normal</v>
      </c>
      <c r="X789" t="str">
        <f t="shared" si="102"/>
        <v>Normal</v>
      </c>
      <c r="Y789" t="str">
        <f t="shared" si="103"/>
        <v>Normal</v>
      </c>
      <c r="Z789" t="str">
        <f t="shared" si="96"/>
        <v>Pass</v>
      </c>
    </row>
    <row r="790" spans="1:26" x14ac:dyDescent="0.25">
      <c r="A790" s="2" t="s">
        <v>1574</v>
      </c>
      <c r="B790" t="s">
        <v>17</v>
      </c>
      <c r="C790" t="s">
        <v>1627</v>
      </c>
      <c r="D790" s="2" t="str">
        <f>VLOOKUP(C790,Locality_Reference!A:C,2,)</f>
        <v>Central Line</v>
      </c>
      <c r="E790" s="2" t="str">
        <f>VLOOKUP(C790,Locality_Reference!A:C,3,)</f>
        <v>Mid Suburb</v>
      </c>
      <c r="F790" s="2" t="s">
        <v>1648</v>
      </c>
      <c r="G790" s="8">
        <v>55000</v>
      </c>
      <c r="H790">
        <v>2</v>
      </c>
      <c r="I790">
        <v>2</v>
      </c>
      <c r="J790">
        <v>4</v>
      </c>
      <c r="K790">
        <v>12</v>
      </c>
      <c r="L790">
        <v>630</v>
      </c>
      <c r="M790" t="s">
        <v>36</v>
      </c>
      <c r="N790" t="s">
        <v>15</v>
      </c>
      <c r="O790" t="s">
        <v>16</v>
      </c>
      <c r="P790" t="s">
        <v>47</v>
      </c>
      <c r="Q790" t="str">
        <f t="shared" si="97"/>
        <v>1</v>
      </c>
      <c r="R790" s="5">
        <v>46193</v>
      </c>
      <c r="S790" s="8">
        <f t="shared" si="98"/>
        <v>87.301587301587304</v>
      </c>
      <c r="T790">
        <f t="shared" si="99"/>
        <v>660000</v>
      </c>
      <c r="U790" t="str">
        <f t="shared" si="100"/>
        <v>Mid</v>
      </c>
      <c r="V790" t="str">
        <f t="shared" si="101"/>
        <v>Medium</v>
      </c>
      <c r="W790" t="str">
        <f>IF(S790 &lt; VLOOKUP(E790, Locality_Tier_Benchmarks!A:B, 2, FALSE) * 0.7, "Below Tier Range", "Normal")</f>
        <v>Normal</v>
      </c>
      <c r="X790" t="str">
        <f t="shared" si="102"/>
        <v>Normal</v>
      </c>
      <c r="Y790" t="str">
        <f t="shared" si="103"/>
        <v>Normal</v>
      </c>
      <c r="Z790" t="str">
        <f t="shared" si="96"/>
        <v>Pass</v>
      </c>
    </row>
    <row r="791" spans="1:26" x14ac:dyDescent="0.25">
      <c r="A791" s="2" t="s">
        <v>1575</v>
      </c>
      <c r="B791" t="s">
        <v>17</v>
      </c>
      <c r="C791" t="s">
        <v>1627</v>
      </c>
      <c r="D791" s="2" t="str">
        <f>VLOOKUP(C791,Locality_Reference!A:C,2,)</f>
        <v>Central Line</v>
      </c>
      <c r="E791" s="2" t="str">
        <f>VLOOKUP(C791,Locality_Reference!A:C,3,)</f>
        <v>Mid Suburb</v>
      </c>
      <c r="F791" s="2" t="s">
        <v>1641</v>
      </c>
      <c r="G791" s="8">
        <v>70000</v>
      </c>
      <c r="H791">
        <v>2</v>
      </c>
      <c r="I791">
        <v>2</v>
      </c>
      <c r="J791">
        <v>10</v>
      </c>
      <c r="K791">
        <v>13</v>
      </c>
      <c r="L791">
        <v>752</v>
      </c>
      <c r="M791" t="s">
        <v>36</v>
      </c>
      <c r="N791" t="s">
        <v>29</v>
      </c>
      <c r="O791" t="s">
        <v>16</v>
      </c>
      <c r="P791" t="s">
        <v>34</v>
      </c>
      <c r="Q791" t="str">
        <f t="shared" si="97"/>
        <v/>
      </c>
      <c r="R791" s="5">
        <v>46193</v>
      </c>
      <c r="S791" s="8">
        <f t="shared" si="98"/>
        <v>93.085106382978722</v>
      </c>
      <c r="T791">
        <f t="shared" si="99"/>
        <v>840000</v>
      </c>
      <c r="U791" t="str">
        <f t="shared" si="100"/>
        <v>Premium</v>
      </c>
      <c r="V791" t="str">
        <f t="shared" si="101"/>
        <v>Medium</v>
      </c>
      <c r="W791" t="str">
        <f>IF(S791 &lt; VLOOKUP(E791, Locality_Tier_Benchmarks!A:B, 2, FALSE) * 0.7, "Below Tier Range", "Normal")</f>
        <v>Normal</v>
      </c>
      <c r="X791" t="str">
        <f t="shared" si="102"/>
        <v>Normal</v>
      </c>
      <c r="Y791" t="str">
        <f t="shared" si="103"/>
        <v>Normal</v>
      </c>
      <c r="Z791" t="str">
        <f t="shared" si="96"/>
        <v>Pass</v>
      </c>
    </row>
    <row r="792" spans="1:26" x14ac:dyDescent="0.25">
      <c r="A792" s="2" t="s">
        <v>1576</v>
      </c>
      <c r="B792" t="s">
        <v>17</v>
      </c>
      <c r="C792" t="s">
        <v>1627</v>
      </c>
      <c r="D792" s="2" t="str">
        <f>VLOOKUP(C792,Locality_Reference!A:C,2,)</f>
        <v>Central Line</v>
      </c>
      <c r="E792" s="2" t="str">
        <f>VLOOKUP(C792,Locality_Reference!A:C,3,)</f>
        <v>Mid Suburb</v>
      </c>
      <c r="F792" s="2" t="s">
        <v>1649</v>
      </c>
      <c r="G792" s="8">
        <v>58000</v>
      </c>
      <c r="H792">
        <v>2</v>
      </c>
      <c r="I792">
        <v>2</v>
      </c>
      <c r="J792">
        <v>8</v>
      </c>
      <c r="K792">
        <v>12</v>
      </c>
      <c r="L792">
        <v>660</v>
      </c>
      <c r="M792" t="s">
        <v>36</v>
      </c>
      <c r="N792" t="s">
        <v>29</v>
      </c>
      <c r="O792" t="s">
        <v>16</v>
      </c>
      <c r="P792" t="s">
        <v>47</v>
      </c>
      <c r="Q792" t="str">
        <f t="shared" si="97"/>
        <v>1</v>
      </c>
      <c r="R792" s="5">
        <v>46184</v>
      </c>
      <c r="S792" s="8">
        <f t="shared" si="98"/>
        <v>87.878787878787875</v>
      </c>
      <c r="T792">
        <f t="shared" si="99"/>
        <v>696000</v>
      </c>
      <c r="U792" t="str">
        <f t="shared" si="100"/>
        <v>Mid</v>
      </c>
      <c r="V792" t="str">
        <f t="shared" si="101"/>
        <v>Medium</v>
      </c>
      <c r="W792" t="str">
        <f>IF(S792 &lt; VLOOKUP(E792, Locality_Tier_Benchmarks!A:B, 2, FALSE) * 0.7, "Below Tier Range", "Normal")</f>
        <v>Normal</v>
      </c>
      <c r="X792" t="str">
        <f t="shared" si="102"/>
        <v>Normal</v>
      </c>
      <c r="Y792" t="str">
        <f t="shared" si="103"/>
        <v>Normal</v>
      </c>
      <c r="Z792" t="str">
        <f t="shared" si="96"/>
        <v>Pass</v>
      </c>
    </row>
    <row r="793" spans="1:26" x14ac:dyDescent="0.25">
      <c r="A793" s="2" t="s">
        <v>1577</v>
      </c>
      <c r="B793" t="s">
        <v>17</v>
      </c>
      <c r="C793" t="s">
        <v>1627</v>
      </c>
      <c r="D793" s="2" t="str">
        <f>VLOOKUP(C793,Locality_Reference!A:C,2,)</f>
        <v>Central Line</v>
      </c>
      <c r="E793" s="2" t="str">
        <f>VLOOKUP(C793,Locality_Reference!A:C,3,)</f>
        <v>Mid Suburb</v>
      </c>
      <c r="F793" s="2" t="s">
        <v>1650</v>
      </c>
      <c r="G793" s="8">
        <v>130000</v>
      </c>
      <c r="H793">
        <v>3</v>
      </c>
      <c r="I793">
        <v>3</v>
      </c>
      <c r="J793">
        <v>13</v>
      </c>
      <c r="K793">
        <v>28</v>
      </c>
      <c r="L793">
        <v>1170</v>
      </c>
      <c r="M793" t="s">
        <v>36</v>
      </c>
      <c r="N793" t="s">
        <v>15</v>
      </c>
      <c r="O793" t="s">
        <v>16</v>
      </c>
      <c r="P793" t="s">
        <v>34</v>
      </c>
      <c r="Q793" t="str">
        <f t="shared" si="97"/>
        <v/>
      </c>
      <c r="R793" s="5">
        <v>46197</v>
      </c>
      <c r="S793" s="8">
        <f t="shared" si="98"/>
        <v>111.11111111111111</v>
      </c>
      <c r="T793">
        <f t="shared" si="99"/>
        <v>1560000</v>
      </c>
      <c r="U793" t="str">
        <f t="shared" si="100"/>
        <v>Luxury</v>
      </c>
      <c r="V793" t="str">
        <f t="shared" si="101"/>
        <v>Large</v>
      </c>
      <c r="W793" t="str">
        <f>IF(S793 &lt; VLOOKUP(E793, Locality_Tier_Benchmarks!A:B, 2, FALSE) * 0.7, "Below Tier Range", "Normal")</f>
        <v>Normal</v>
      </c>
      <c r="X793" t="str">
        <f t="shared" si="102"/>
        <v>Normal</v>
      </c>
      <c r="Y793" t="str">
        <f t="shared" si="103"/>
        <v>Normal</v>
      </c>
      <c r="Z793" t="str">
        <f t="shared" si="96"/>
        <v>Pass</v>
      </c>
    </row>
    <row r="794" spans="1:26" x14ac:dyDescent="0.25">
      <c r="A794" s="2" t="s">
        <v>1578</v>
      </c>
      <c r="B794" t="s">
        <v>17</v>
      </c>
      <c r="C794" t="s">
        <v>1627</v>
      </c>
      <c r="D794" s="2" t="str">
        <f>VLOOKUP(C794,Locality_Reference!A:C,2,)</f>
        <v>Central Line</v>
      </c>
      <c r="E794" s="2" t="str">
        <f>VLOOKUP(C794,Locality_Reference!A:C,3,)</f>
        <v>Mid Suburb</v>
      </c>
      <c r="F794" s="2" t="s">
        <v>1646</v>
      </c>
      <c r="G794" s="8">
        <v>86000</v>
      </c>
      <c r="H794">
        <v>3</v>
      </c>
      <c r="I794">
        <v>2</v>
      </c>
      <c r="J794">
        <v>4</v>
      </c>
      <c r="K794">
        <v>20</v>
      </c>
      <c r="L794">
        <v>850</v>
      </c>
      <c r="M794" t="s">
        <v>36</v>
      </c>
      <c r="N794" t="s">
        <v>29</v>
      </c>
      <c r="O794" t="s">
        <v>16</v>
      </c>
      <c r="P794" t="s">
        <v>52</v>
      </c>
      <c r="Q794" t="str">
        <f t="shared" si="97"/>
        <v>7.5</v>
      </c>
      <c r="R794" s="5">
        <v>46171</v>
      </c>
      <c r="S794" s="8">
        <f t="shared" si="98"/>
        <v>101.17647058823529</v>
      </c>
      <c r="T794">
        <f t="shared" si="99"/>
        <v>1032000</v>
      </c>
      <c r="U794" t="str">
        <f t="shared" si="100"/>
        <v>Premium</v>
      </c>
      <c r="V794" t="str">
        <f t="shared" si="101"/>
        <v>Large</v>
      </c>
      <c r="W794" t="str">
        <f>IF(S794 &lt; VLOOKUP(E794, Locality_Tier_Benchmarks!A:B, 2, FALSE) * 0.7, "Below Tier Range", "Normal")</f>
        <v>Normal</v>
      </c>
      <c r="X794" t="str">
        <f t="shared" si="102"/>
        <v>Normal</v>
      </c>
      <c r="Y794" t="str">
        <f t="shared" si="103"/>
        <v>Normal</v>
      </c>
      <c r="Z794" t="str">
        <f t="shared" si="96"/>
        <v>Pass</v>
      </c>
    </row>
    <row r="795" spans="1:26" x14ac:dyDescent="0.25">
      <c r="A795" s="2" t="s">
        <v>1579</v>
      </c>
      <c r="B795" t="s">
        <v>17</v>
      </c>
      <c r="C795" t="s">
        <v>1627</v>
      </c>
      <c r="D795" s="2" t="str">
        <f>VLOOKUP(C795,Locality_Reference!A:C,2,)</f>
        <v>Central Line</v>
      </c>
      <c r="E795" s="2" t="str">
        <f>VLOOKUP(C795,Locality_Reference!A:C,3,)</f>
        <v>Mid Suburb</v>
      </c>
      <c r="F795" s="2" t="s">
        <v>1651</v>
      </c>
      <c r="G795" s="8">
        <v>115000</v>
      </c>
      <c r="H795">
        <v>3</v>
      </c>
      <c r="I795">
        <v>3</v>
      </c>
      <c r="J795">
        <v>11</v>
      </c>
      <c r="K795">
        <v>15</v>
      </c>
      <c r="L795">
        <v>1100</v>
      </c>
      <c r="M795" t="s">
        <v>36</v>
      </c>
      <c r="N795" t="s">
        <v>29</v>
      </c>
      <c r="O795" t="s">
        <v>16</v>
      </c>
      <c r="P795" t="s">
        <v>31</v>
      </c>
      <c r="Q795" t="str">
        <f t="shared" si="97"/>
        <v>3</v>
      </c>
      <c r="R795" s="5">
        <v>46182</v>
      </c>
      <c r="S795" s="8">
        <f t="shared" si="98"/>
        <v>104.54545454545455</v>
      </c>
      <c r="T795">
        <f t="shared" si="99"/>
        <v>1380000</v>
      </c>
      <c r="U795" t="str">
        <f t="shared" si="100"/>
        <v>Luxury</v>
      </c>
      <c r="V795" t="str">
        <f t="shared" si="101"/>
        <v>Large</v>
      </c>
      <c r="W795" t="str">
        <f>IF(S795 &lt; VLOOKUP(E795, Locality_Tier_Benchmarks!A:B, 2, FALSE) * 0.7, "Below Tier Range", "Normal")</f>
        <v>Normal</v>
      </c>
      <c r="X795" t="str">
        <f t="shared" si="102"/>
        <v>Normal</v>
      </c>
      <c r="Y795" t="str">
        <f t="shared" si="103"/>
        <v>Normal</v>
      </c>
      <c r="Z795" t="str">
        <f t="shared" si="96"/>
        <v>Pass</v>
      </c>
    </row>
    <row r="796" spans="1:26" x14ac:dyDescent="0.25">
      <c r="A796" s="2" t="s">
        <v>1580</v>
      </c>
      <c r="B796" t="s">
        <v>17</v>
      </c>
      <c r="C796" t="s">
        <v>1627</v>
      </c>
      <c r="D796" s="2" t="str">
        <f>VLOOKUP(C796,Locality_Reference!A:C,2,)</f>
        <v>Central Line</v>
      </c>
      <c r="E796" s="2" t="str">
        <f>VLOOKUP(C796,Locality_Reference!A:C,3,)</f>
        <v>Mid Suburb</v>
      </c>
      <c r="F796" s="2" t="s">
        <v>1652</v>
      </c>
      <c r="G796" s="8">
        <v>80000</v>
      </c>
      <c r="H796">
        <v>3</v>
      </c>
      <c r="I796">
        <v>2</v>
      </c>
      <c r="J796">
        <v>8</v>
      </c>
      <c r="K796">
        <v>12</v>
      </c>
      <c r="L796">
        <v>1150</v>
      </c>
      <c r="M796" t="s">
        <v>14</v>
      </c>
      <c r="N796" t="s">
        <v>15</v>
      </c>
      <c r="O796" t="s">
        <v>16</v>
      </c>
      <c r="P796" t="s">
        <v>31</v>
      </c>
      <c r="Q796" t="str">
        <f t="shared" si="97"/>
        <v>3</v>
      </c>
      <c r="R796" s="5">
        <v>46195</v>
      </c>
      <c r="S796" s="8">
        <f t="shared" si="98"/>
        <v>69.565217391304344</v>
      </c>
      <c r="T796">
        <f t="shared" si="99"/>
        <v>960000</v>
      </c>
      <c r="U796" t="str">
        <f t="shared" si="100"/>
        <v>Premium</v>
      </c>
      <c r="V796" t="str">
        <f t="shared" si="101"/>
        <v>Large</v>
      </c>
      <c r="W796" t="str">
        <f>IF(S796 &lt; VLOOKUP(E796, Locality_Tier_Benchmarks!A:B, 2, FALSE) * 0.7, "Below Tier Range", "Normal")</f>
        <v>Normal</v>
      </c>
      <c r="X796" t="str">
        <f t="shared" si="102"/>
        <v>Normal</v>
      </c>
      <c r="Y796" t="str">
        <f t="shared" si="103"/>
        <v>Normal</v>
      </c>
      <c r="Z796" t="str">
        <f t="shared" si="96"/>
        <v>Pass</v>
      </c>
    </row>
    <row r="797" spans="1:26" x14ac:dyDescent="0.25">
      <c r="A797" s="2" t="s">
        <v>1581</v>
      </c>
      <c r="B797" t="s">
        <v>17</v>
      </c>
      <c r="C797" t="s">
        <v>1627</v>
      </c>
      <c r="D797" s="2" t="str">
        <f>VLOOKUP(C797,Locality_Reference!A:C,2,)</f>
        <v>Central Line</v>
      </c>
      <c r="E797" s="2" t="str">
        <f>VLOOKUP(C797,Locality_Reference!A:C,3,)</f>
        <v>Mid Suburb</v>
      </c>
      <c r="F797" s="2" t="s">
        <v>1653</v>
      </c>
      <c r="G797" s="8">
        <v>150000</v>
      </c>
      <c r="H797">
        <v>3</v>
      </c>
      <c r="I797">
        <v>3</v>
      </c>
      <c r="J797">
        <v>7</v>
      </c>
      <c r="K797">
        <v>11</v>
      </c>
      <c r="L797">
        <v>1200</v>
      </c>
      <c r="M797" t="s">
        <v>14</v>
      </c>
      <c r="N797" t="s">
        <v>15</v>
      </c>
      <c r="O797" t="s">
        <v>16</v>
      </c>
      <c r="P797" t="s">
        <v>31</v>
      </c>
      <c r="Q797" t="str">
        <f t="shared" si="97"/>
        <v>3</v>
      </c>
      <c r="R797" s="5">
        <v>46162</v>
      </c>
      <c r="S797" s="8">
        <f t="shared" si="98"/>
        <v>125</v>
      </c>
      <c r="T797">
        <f t="shared" si="99"/>
        <v>1800000</v>
      </c>
      <c r="U797" t="str">
        <f t="shared" si="100"/>
        <v>Luxury</v>
      </c>
      <c r="V797" t="str">
        <f t="shared" si="101"/>
        <v>Large</v>
      </c>
      <c r="W797" t="str">
        <f>IF(S797 &lt; VLOOKUP(E797, Locality_Tier_Benchmarks!A:B, 2, FALSE) * 0.7, "Below Tier Range", "Normal")</f>
        <v>Normal</v>
      </c>
      <c r="X797" t="str">
        <f t="shared" si="102"/>
        <v>Normal</v>
      </c>
      <c r="Y797" t="str">
        <f t="shared" si="103"/>
        <v>Normal</v>
      </c>
      <c r="Z797" t="str">
        <f t="shared" si="96"/>
        <v>Pass</v>
      </c>
    </row>
    <row r="798" spans="1:26" x14ac:dyDescent="0.25">
      <c r="A798" s="2" t="s">
        <v>1582</v>
      </c>
      <c r="B798" t="s">
        <v>17</v>
      </c>
      <c r="C798" t="s">
        <v>1654</v>
      </c>
      <c r="D798" s="2" t="str">
        <f>VLOOKUP(C798,Locality_Reference!A:C,2,)</f>
        <v>Central Line</v>
      </c>
      <c r="E798" s="2" t="str">
        <f>VLOOKUP(C798,Locality_Reference!A:C,3,)</f>
        <v>Mid Suburb</v>
      </c>
      <c r="F798" s="2" t="s">
        <v>1656</v>
      </c>
      <c r="G798" s="8">
        <v>35000</v>
      </c>
      <c r="H798">
        <v>1</v>
      </c>
      <c r="I798">
        <v>2</v>
      </c>
      <c r="J798">
        <v>8</v>
      </c>
      <c r="K798">
        <v>22</v>
      </c>
      <c r="L798">
        <v>389</v>
      </c>
      <c r="M798" t="s">
        <v>33</v>
      </c>
      <c r="N798" t="s">
        <v>29</v>
      </c>
      <c r="O798" t="s">
        <v>16</v>
      </c>
      <c r="P798" t="s">
        <v>47</v>
      </c>
      <c r="Q798" t="str">
        <f t="shared" si="97"/>
        <v>1</v>
      </c>
      <c r="R798" s="5">
        <v>46191</v>
      </c>
      <c r="S798" s="8">
        <f t="shared" si="98"/>
        <v>89.974293059125969</v>
      </c>
      <c r="T798">
        <f t="shared" si="99"/>
        <v>420000</v>
      </c>
      <c r="U798" t="str">
        <f t="shared" si="100"/>
        <v>Mid</v>
      </c>
      <c r="V798" t="str">
        <f t="shared" si="101"/>
        <v>Compact</v>
      </c>
      <c r="W798" t="str">
        <f>IF(S798 &lt; VLOOKUP(E798, Locality_Tier_Benchmarks!A:B, 2, FALSE) * 0.7, "Below Tier Range", "Normal")</f>
        <v>Normal</v>
      </c>
      <c r="X798" t="str">
        <f t="shared" si="102"/>
        <v>Normal</v>
      </c>
      <c r="Y798" t="str">
        <f t="shared" si="103"/>
        <v>Normal</v>
      </c>
      <c r="Z798" t="str">
        <f t="shared" si="96"/>
        <v>Pass</v>
      </c>
    </row>
    <row r="799" spans="1:26" x14ac:dyDescent="0.25">
      <c r="A799" s="2" t="s">
        <v>1583</v>
      </c>
      <c r="B799" t="s">
        <v>17</v>
      </c>
      <c r="C799" t="s">
        <v>1654</v>
      </c>
      <c r="D799" s="2" t="str">
        <f>VLOOKUP(C799,Locality_Reference!A:C,2,)</f>
        <v>Central Line</v>
      </c>
      <c r="E799" s="2" t="str">
        <f>VLOOKUP(C799,Locality_Reference!A:C,3,)</f>
        <v>Mid Suburb</v>
      </c>
      <c r="F799" s="2" t="s">
        <v>1657</v>
      </c>
      <c r="G799" s="8">
        <v>35999</v>
      </c>
      <c r="H799">
        <v>1</v>
      </c>
      <c r="I799">
        <v>2</v>
      </c>
      <c r="J799">
        <v>16</v>
      </c>
      <c r="K799">
        <v>23</v>
      </c>
      <c r="L799">
        <v>407</v>
      </c>
      <c r="M799" t="s">
        <v>33</v>
      </c>
      <c r="N799" t="s">
        <v>29</v>
      </c>
      <c r="O799" t="s">
        <v>16</v>
      </c>
      <c r="P799" t="s">
        <v>34</v>
      </c>
      <c r="Q799" t="str">
        <f t="shared" si="97"/>
        <v/>
      </c>
      <c r="R799" s="5">
        <v>46198</v>
      </c>
      <c r="S799" s="8">
        <f t="shared" si="98"/>
        <v>88.449631449631454</v>
      </c>
      <c r="T799">
        <f t="shared" si="99"/>
        <v>431988</v>
      </c>
      <c r="U799" t="str">
        <f t="shared" si="100"/>
        <v>Mid</v>
      </c>
      <c r="V799" t="str">
        <f t="shared" si="101"/>
        <v>Compact</v>
      </c>
      <c r="W799" t="str">
        <f>IF(S799 &lt; VLOOKUP(E799, Locality_Tier_Benchmarks!A:B, 2, FALSE) * 0.7, "Below Tier Range", "Normal")</f>
        <v>Normal</v>
      </c>
      <c r="X799" t="str">
        <f t="shared" si="102"/>
        <v>Normal</v>
      </c>
      <c r="Y799" t="str">
        <f t="shared" si="103"/>
        <v>Normal</v>
      </c>
      <c r="Z799" t="str">
        <f t="shared" si="96"/>
        <v>Pass</v>
      </c>
    </row>
    <row r="800" spans="1:26" x14ac:dyDescent="0.25">
      <c r="A800" s="2" t="s">
        <v>1584</v>
      </c>
      <c r="B800" t="s">
        <v>17</v>
      </c>
      <c r="C800" t="s">
        <v>1654</v>
      </c>
      <c r="D800" s="2" t="str">
        <f>VLOOKUP(C800,Locality_Reference!A:C,2,)</f>
        <v>Central Line</v>
      </c>
      <c r="E800" s="2" t="str">
        <f>VLOOKUP(C800,Locality_Reference!A:C,3,)</f>
        <v>Mid Suburb</v>
      </c>
      <c r="F800" s="2" t="s">
        <v>1658</v>
      </c>
      <c r="G800" s="8">
        <v>82000</v>
      </c>
      <c r="H800">
        <v>1</v>
      </c>
      <c r="I800">
        <v>1</v>
      </c>
      <c r="J800">
        <v>5</v>
      </c>
      <c r="K800">
        <v>17</v>
      </c>
      <c r="L800">
        <v>501.7</v>
      </c>
      <c r="M800" t="s">
        <v>14</v>
      </c>
      <c r="N800" t="s">
        <v>29</v>
      </c>
      <c r="O800" t="s">
        <v>16</v>
      </c>
      <c r="P800" t="s">
        <v>31</v>
      </c>
      <c r="Q800" t="str">
        <f t="shared" si="97"/>
        <v>3</v>
      </c>
      <c r="R800" s="5">
        <v>46151</v>
      </c>
      <c r="S800" s="8">
        <f t="shared" si="98"/>
        <v>163.44428941598565</v>
      </c>
      <c r="T800">
        <f t="shared" si="99"/>
        <v>984000</v>
      </c>
      <c r="U800" t="str">
        <f t="shared" si="100"/>
        <v>Premium</v>
      </c>
      <c r="V800" t="str">
        <f t="shared" si="101"/>
        <v>Medium</v>
      </c>
      <c r="W800" t="str">
        <f>IF(S800 &lt; VLOOKUP(E800, Locality_Tier_Benchmarks!A:B, 2, FALSE) * 0.7, "Below Tier Range", "Normal")</f>
        <v>Normal</v>
      </c>
      <c r="X800" t="str">
        <f t="shared" si="102"/>
        <v>Normal</v>
      </c>
      <c r="Y800" t="str">
        <f t="shared" si="103"/>
        <v>Normal</v>
      </c>
      <c r="Z800" t="str">
        <f t="shared" si="96"/>
        <v>Pass</v>
      </c>
    </row>
    <row r="801" spans="1:26" x14ac:dyDescent="0.25">
      <c r="A801" s="2" t="s">
        <v>1659</v>
      </c>
      <c r="B801" t="s">
        <v>17</v>
      </c>
      <c r="C801" t="s">
        <v>1654</v>
      </c>
      <c r="D801" s="2" t="str">
        <f>VLOOKUP(C801,Locality_Reference!A:C,2,)</f>
        <v>Central Line</v>
      </c>
      <c r="E801" s="2" t="str">
        <f>VLOOKUP(C801,Locality_Reference!A:C,3,)</f>
        <v>Mid Suburb</v>
      </c>
      <c r="F801" s="2" t="s">
        <v>1723</v>
      </c>
      <c r="G801" s="8">
        <v>72000</v>
      </c>
      <c r="H801">
        <v>1</v>
      </c>
      <c r="I801">
        <v>1</v>
      </c>
      <c r="J801">
        <v>2</v>
      </c>
      <c r="K801">
        <v>18</v>
      </c>
      <c r="L801">
        <v>500</v>
      </c>
      <c r="M801" t="s">
        <v>33</v>
      </c>
      <c r="N801" t="s">
        <v>29</v>
      </c>
      <c r="O801" t="s">
        <v>16</v>
      </c>
      <c r="P801" t="s">
        <v>34</v>
      </c>
      <c r="Q801" t="str">
        <f t="shared" si="97"/>
        <v/>
      </c>
      <c r="R801" s="5">
        <v>46193</v>
      </c>
      <c r="S801" s="8">
        <f t="shared" si="98"/>
        <v>144</v>
      </c>
      <c r="T801">
        <f t="shared" si="99"/>
        <v>864000</v>
      </c>
      <c r="U801" t="str">
        <f t="shared" si="100"/>
        <v>Premium</v>
      </c>
      <c r="V801" t="str">
        <f t="shared" si="101"/>
        <v>Compact</v>
      </c>
      <c r="W801" t="str">
        <f>IF(S801 &lt; VLOOKUP(E801, Locality_Tier_Benchmarks!A:B, 2, FALSE) * 0.7, "Below Tier Range", "Normal")</f>
        <v>Normal</v>
      </c>
      <c r="X801" t="str">
        <f t="shared" si="102"/>
        <v>Normal</v>
      </c>
      <c r="Y801" t="str">
        <f t="shared" si="103"/>
        <v>Normal</v>
      </c>
      <c r="Z801" t="str">
        <f t="shared" si="96"/>
        <v>Pass</v>
      </c>
    </row>
    <row r="802" spans="1:26" x14ac:dyDescent="0.25">
      <c r="A802" s="2" t="s">
        <v>1660</v>
      </c>
      <c r="B802" t="s">
        <v>17</v>
      </c>
      <c r="C802" t="s">
        <v>1654</v>
      </c>
      <c r="D802" s="2" t="str">
        <f>VLOOKUP(C802,Locality_Reference!A:C,2,)</f>
        <v>Central Line</v>
      </c>
      <c r="E802" s="2" t="str">
        <f>VLOOKUP(C802,Locality_Reference!A:C,3,)</f>
        <v>Mid Suburb</v>
      </c>
      <c r="F802" s="2" t="s">
        <v>1724</v>
      </c>
      <c r="G802" s="8">
        <v>46000</v>
      </c>
      <c r="H802">
        <v>1</v>
      </c>
      <c r="I802">
        <v>1</v>
      </c>
      <c r="J802">
        <v>5</v>
      </c>
      <c r="K802">
        <v>23</v>
      </c>
      <c r="L802">
        <v>410</v>
      </c>
      <c r="M802" t="s">
        <v>14</v>
      </c>
      <c r="N802" t="s">
        <v>29</v>
      </c>
      <c r="O802" t="s">
        <v>16</v>
      </c>
      <c r="P802" t="s">
        <v>34</v>
      </c>
      <c r="Q802" t="str">
        <f t="shared" si="97"/>
        <v/>
      </c>
      <c r="R802" s="5">
        <v>46200</v>
      </c>
      <c r="S802" s="8">
        <f t="shared" si="98"/>
        <v>112.19512195121951</v>
      </c>
      <c r="T802">
        <f t="shared" si="99"/>
        <v>552000</v>
      </c>
      <c r="U802" t="str">
        <f t="shared" si="100"/>
        <v>Mid</v>
      </c>
      <c r="V802" t="str">
        <f t="shared" si="101"/>
        <v>Compact</v>
      </c>
      <c r="W802" t="str">
        <f>IF(S802 &lt; VLOOKUP(E802, Locality_Tier_Benchmarks!A:B, 2, FALSE) * 0.7, "Below Tier Range", "Normal")</f>
        <v>Normal</v>
      </c>
      <c r="X802" t="str">
        <f t="shared" si="102"/>
        <v>Normal</v>
      </c>
      <c r="Y802" t="str">
        <f t="shared" si="103"/>
        <v>Normal</v>
      </c>
      <c r="Z802" t="str">
        <f t="shared" si="96"/>
        <v>Pass</v>
      </c>
    </row>
    <row r="803" spans="1:26" x14ac:dyDescent="0.25">
      <c r="A803" s="2" t="s">
        <v>1661</v>
      </c>
      <c r="B803" t="s">
        <v>17</v>
      </c>
      <c r="C803" t="s">
        <v>1654</v>
      </c>
      <c r="D803" s="2" t="str">
        <f>VLOOKUP(C803,Locality_Reference!A:C,2,)</f>
        <v>Central Line</v>
      </c>
      <c r="E803" s="2" t="str">
        <f>VLOOKUP(C803,Locality_Reference!A:C,3,)</f>
        <v>Mid Suburb</v>
      </c>
      <c r="F803" s="2" t="s">
        <v>1725</v>
      </c>
      <c r="G803" s="8">
        <v>105000</v>
      </c>
      <c r="H803">
        <v>2</v>
      </c>
      <c r="I803">
        <v>2</v>
      </c>
      <c r="J803">
        <v>3</v>
      </c>
      <c r="K803">
        <v>28</v>
      </c>
      <c r="L803">
        <v>933</v>
      </c>
      <c r="M803" t="s">
        <v>36</v>
      </c>
      <c r="N803" t="s">
        <v>15</v>
      </c>
      <c r="O803" t="s">
        <v>16</v>
      </c>
      <c r="P803" t="s">
        <v>31</v>
      </c>
      <c r="Q803" t="str">
        <f t="shared" si="97"/>
        <v>3</v>
      </c>
      <c r="R803" s="5">
        <v>46199</v>
      </c>
      <c r="S803" s="8">
        <f t="shared" si="98"/>
        <v>112.54019292604502</v>
      </c>
      <c r="T803">
        <f t="shared" si="99"/>
        <v>1260000</v>
      </c>
      <c r="U803" t="str">
        <f t="shared" si="100"/>
        <v>Luxury</v>
      </c>
      <c r="V803" t="str">
        <f t="shared" si="101"/>
        <v>Large</v>
      </c>
      <c r="W803" t="str">
        <f>IF(S803 &lt; VLOOKUP(E803, Locality_Tier_Benchmarks!A:B, 2, FALSE) * 0.7, "Below Tier Range", "Normal")</f>
        <v>Normal</v>
      </c>
      <c r="X803" t="str">
        <f t="shared" si="102"/>
        <v>Normal</v>
      </c>
      <c r="Y803" t="str">
        <f t="shared" si="103"/>
        <v>Normal</v>
      </c>
      <c r="Z803" t="str">
        <f t="shared" si="96"/>
        <v>Pass</v>
      </c>
    </row>
    <row r="804" spans="1:26" x14ac:dyDescent="0.25">
      <c r="A804" s="2" t="s">
        <v>1662</v>
      </c>
      <c r="B804" t="s">
        <v>17</v>
      </c>
      <c r="C804" t="s">
        <v>1654</v>
      </c>
      <c r="D804" s="2" t="str">
        <f>VLOOKUP(C804,Locality_Reference!A:C,2,)</f>
        <v>Central Line</v>
      </c>
      <c r="E804" s="2" t="str">
        <f>VLOOKUP(C804,Locality_Reference!A:C,3,)</f>
        <v>Mid Suburb</v>
      </c>
      <c r="F804" s="2" t="s">
        <v>1723</v>
      </c>
      <c r="G804" s="8">
        <v>115000</v>
      </c>
      <c r="H804">
        <v>2</v>
      </c>
      <c r="I804">
        <v>2</v>
      </c>
      <c r="J804">
        <v>10</v>
      </c>
      <c r="K804">
        <v>18</v>
      </c>
      <c r="L804">
        <v>770</v>
      </c>
      <c r="M804" t="s">
        <v>36</v>
      </c>
      <c r="N804" t="s">
        <v>29</v>
      </c>
      <c r="O804" t="s">
        <v>16</v>
      </c>
      <c r="P804" t="s">
        <v>34</v>
      </c>
      <c r="Q804" t="str">
        <f t="shared" si="97"/>
        <v/>
      </c>
      <c r="R804" s="5">
        <v>46183</v>
      </c>
      <c r="S804" s="8">
        <f t="shared" si="98"/>
        <v>149.35064935064935</v>
      </c>
      <c r="T804">
        <f t="shared" si="99"/>
        <v>1380000</v>
      </c>
      <c r="U804" t="str">
        <f t="shared" si="100"/>
        <v>Luxury</v>
      </c>
      <c r="V804" t="str">
        <f t="shared" si="101"/>
        <v>Medium</v>
      </c>
      <c r="W804" t="str">
        <f>IF(S804 &lt; VLOOKUP(E804, Locality_Tier_Benchmarks!A:B, 2, FALSE) * 0.7, "Below Tier Range", "Normal")</f>
        <v>Normal</v>
      </c>
      <c r="X804" t="str">
        <f t="shared" si="102"/>
        <v>Normal</v>
      </c>
      <c r="Y804" t="str">
        <f t="shared" si="103"/>
        <v>Normal</v>
      </c>
      <c r="Z804" t="str">
        <f t="shared" si="96"/>
        <v>Pass</v>
      </c>
    </row>
    <row r="805" spans="1:26" x14ac:dyDescent="0.25">
      <c r="A805" s="2" t="s">
        <v>1663</v>
      </c>
      <c r="B805" t="s">
        <v>17</v>
      </c>
      <c r="C805" t="s">
        <v>1654</v>
      </c>
      <c r="D805" s="2" t="str">
        <f>VLOOKUP(C805,Locality_Reference!A:C,2,)</f>
        <v>Central Line</v>
      </c>
      <c r="E805" s="2" t="str">
        <f>VLOOKUP(C805,Locality_Reference!A:C,3,)</f>
        <v>Mid Suburb</v>
      </c>
      <c r="F805" s="2" t="s">
        <v>1726</v>
      </c>
      <c r="G805" s="8">
        <v>45000</v>
      </c>
      <c r="H805">
        <v>2</v>
      </c>
      <c r="I805">
        <v>2</v>
      </c>
      <c r="J805">
        <v>7</v>
      </c>
      <c r="K805">
        <v>23</v>
      </c>
      <c r="L805">
        <v>610</v>
      </c>
      <c r="M805" t="s">
        <v>36</v>
      </c>
      <c r="N805" t="s">
        <v>15</v>
      </c>
      <c r="O805" t="s">
        <v>16</v>
      </c>
      <c r="P805" t="s">
        <v>34</v>
      </c>
      <c r="Q805" t="str">
        <f t="shared" si="97"/>
        <v/>
      </c>
      <c r="R805" s="5">
        <v>46181</v>
      </c>
      <c r="S805" s="8">
        <f t="shared" si="98"/>
        <v>73.770491803278688</v>
      </c>
      <c r="T805">
        <f t="shared" si="99"/>
        <v>540000</v>
      </c>
      <c r="U805" t="str">
        <f t="shared" si="100"/>
        <v>Mid</v>
      </c>
      <c r="V805" t="str">
        <f t="shared" si="101"/>
        <v>Medium</v>
      </c>
      <c r="W805" t="str">
        <f>IF(S805 &lt; VLOOKUP(E805, Locality_Tier_Benchmarks!A:B, 2, FALSE) * 0.7, "Below Tier Range", "Normal")</f>
        <v>Normal</v>
      </c>
      <c r="X805" t="str">
        <f t="shared" si="102"/>
        <v>Normal</v>
      </c>
      <c r="Y805" t="str">
        <f t="shared" si="103"/>
        <v>Normal</v>
      </c>
      <c r="Z805" t="str">
        <f t="shared" si="96"/>
        <v>Pass</v>
      </c>
    </row>
    <row r="806" spans="1:26" x14ac:dyDescent="0.25">
      <c r="A806" s="2" t="s">
        <v>1664</v>
      </c>
      <c r="B806" t="s">
        <v>17</v>
      </c>
      <c r="C806" t="s">
        <v>1654</v>
      </c>
      <c r="D806" s="2" t="str">
        <f>VLOOKUP(C806,Locality_Reference!A:C,2,)</f>
        <v>Central Line</v>
      </c>
      <c r="E806" s="2" t="str">
        <f>VLOOKUP(C806,Locality_Reference!A:C,3,)</f>
        <v>Mid Suburb</v>
      </c>
      <c r="F806" s="2" t="s">
        <v>1727</v>
      </c>
      <c r="G806" s="8">
        <v>45000</v>
      </c>
      <c r="H806">
        <v>2</v>
      </c>
      <c r="I806">
        <v>2</v>
      </c>
      <c r="J806">
        <v>20</v>
      </c>
      <c r="K806">
        <v>21</v>
      </c>
      <c r="L806">
        <v>509.03</v>
      </c>
      <c r="M806" t="s">
        <v>33</v>
      </c>
      <c r="N806" t="s">
        <v>29</v>
      </c>
      <c r="O806" t="s">
        <v>16</v>
      </c>
      <c r="P806" t="s">
        <v>31</v>
      </c>
      <c r="Q806" t="str">
        <f t="shared" si="97"/>
        <v>3</v>
      </c>
      <c r="R806" s="5">
        <v>46189</v>
      </c>
      <c r="S806" s="8">
        <f t="shared" si="98"/>
        <v>88.403433982280021</v>
      </c>
      <c r="T806">
        <f t="shared" si="99"/>
        <v>540000</v>
      </c>
      <c r="U806" t="str">
        <f t="shared" si="100"/>
        <v>Mid</v>
      </c>
      <c r="V806" t="str">
        <f t="shared" si="101"/>
        <v>Medium</v>
      </c>
      <c r="W806" t="str">
        <f>IF(S806 &lt; VLOOKUP(E806, Locality_Tier_Benchmarks!A:B, 2, FALSE) * 0.7, "Below Tier Range", "Normal")</f>
        <v>Normal</v>
      </c>
      <c r="X806" t="str">
        <f t="shared" si="102"/>
        <v>Normal</v>
      </c>
      <c r="Y806" t="str">
        <f t="shared" si="103"/>
        <v>Normal</v>
      </c>
      <c r="Z806" t="str">
        <f t="shared" si="96"/>
        <v>Pass</v>
      </c>
    </row>
    <row r="807" spans="1:26" x14ac:dyDescent="0.25">
      <c r="A807" s="2" t="s">
        <v>1665</v>
      </c>
      <c r="B807" t="s">
        <v>17</v>
      </c>
      <c r="C807" t="s">
        <v>1654</v>
      </c>
      <c r="D807" s="2" t="str">
        <f>VLOOKUP(C807,Locality_Reference!A:C,2,)</f>
        <v>Central Line</v>
      </c>
      <c r="E807" s="2" t="str">
        <f>VLOOKUP(C807,Locality_Reference!A:C,3,)</f>
        <v>Mid Suburb</v>
      </c>
      <c r="F807" s="2" t="s">
        <v>1728</v>
      </c>
      <c r="G807" s="8">
        <v>47000</v>
      </c>
      <c r="H807">
        <v>2</v>
      </c>
      <c r="I807">
        <v>2</v>
      </c>
      <c r="J807">
        <v>11</v>
      </c>
      <c r="K807">
        <v>22</v>
      </c>
      <c r="L807">
        <v>572</v>
      </c>
      <c r="M807" t="s">
        <v>33</v>
      </c>
      <c r="N807" t="s">
        <v>29</v>
      </c>
      <c r="O807" t="s">
        <v>16</v>
      </c>
      <c r="P807" t="s">
        <v>47</v>
      </c>
      <c r="Q807" t="str">
        <f t="shared" si="97"/>
        <v>1</v>
      </c>
      <c r="R807" s="5">
        <v>46191</v>
      </c>
      <c r="S807" s="8">
        <f t="shared" si="98"/>
        <v>82.167832167832174</v>
      </c>
      <c r="T807">
        <f t="shared" si="99"/>
        <v>564000</v>
      </c>
      <c r="U807" t="str">
        <f t="shared" si="100"/>
        <v>Mid</v>
      </c>
      <c r="V807" t="str">
        <f t="shared" si="101"/>
        <v>Medium</v>
      </c>
      <c r="W807" t="str">
        <f>IF(S807 &lt; VLOOKUP(E807, Locality_Tier_Benchmarks!A:B, 2, FALSE) * 0.7, "Below Tier Range", "Normal")</f>
        <v>Normal</v>
      </c>
      <c r="X807" t="str">
        <f t="shared" si="102"/>
        <v>Normal</v>
      </c>
      <c r="Y807" t="str">
        <f t="shared" si="103"/>
        <v>Normal</v>
      </c>
      <c r="Z807" t="str">
        <f t="shared" si="96"/>
        <v>Pass</v>
      </c>
    </row>
    <row r="808" spans="1:26" x14ac:dyDescent="0.25">
      <c r="A808" s="2" t="s">
        <v>1666</v>
      </c>
      <c r="B808" t="s">
        <v>17</v>
      </c>
      <c r="C808" t="s">
        <v>1654</v>
      </c>
      <c r="D808" s="2" t="str">
        <f>VLOOKUP(C808,Locality_Reference!A:C,2,)</f>
        <v>Central Line</v>
      </c>
      <c r="E808" s="2" t="str">
        <f>VLOOKUP(C808,Locality_Reference!A:C,3,)</f>
        <v>Mid Suburb</v>
      </c>
      <c r="F808" s="2" t="s">
        <v>1723</v>
      </c>
      <c r="G808" s="8">
        <v>170000</v>
      </c>
      <c r="H808">
        <v>3</v>
      </c>
      <c r="I808">
        <v>3</v>
      </c>
      <c r="J808">
        <v>10</v>
      </c>
      <c r="K808">
        <v>18</v>
      </c>
      <c r="L808">
        <v>1112</v>
      </c>
      <c r="M808" t="s">
        <v>36</v>
      </c>
      <c r="N808" t="s">
        <v>29</v>
      </c>
      <c r="O808" t="s">
        <v>16</v>
      </c>
      <c r="P808" t="s">
        <v>34</v>
      </c>
      <c r="Q808" t="str">
        <f t="shared" si="97"/>
        <v/>
      </c>
      <c r="R808" s="5">
        <v>46178</v>
      </c>
      <c r="S808" s="8">
        <f t="shared" si="98"/>
        <v>152.87769784172662</v>
      </c>
      <c r="T808">
        <f t="shared" si="99"/>
        <v>2040000</v>
      </c>
      <c r="U808" t="str">
        <f t="shared" si="100"/>
        <v>Luxury</v>
      </c>
      <c r="V808" t="str">
        <f t="shared" si="101"/>
        <v>Large</v>
      </c>
      <c r="W808" t="str">
        <f>IF(S808 &lt; VLOOKUP(E808, Locality_Tier_Benchmarks!A:B, 2, FALSE) * 0.7, "Below Tier Range", "Normal")</f>
        <v>Normal</v>
      </c>
      <c r="X808" t="str">
        <f t="shared" si="102"/>
        <v>Normal</v>
      </c>
      <c r="Y808" t="str">
        <f t="shared" si="103"/>
        <v>Normal</v>
      </c>
      <c r="Z808" t="str">
        <f t="shared" si="96"/>
        <v>Pass</v>
      </c>
    </row>
    <row r="809" spans="1:26" x14ac:dyDescent="0.25">
      <c r="A809" s="2" t="s">
        <v>1667</v>
      </c>
      <c r="B809" t="s">
        <v>17</v>
      </c>
      <c r="C809" t="s">
        <v>1654</v>
      </c>
      <c r="D809" s="2" t="str">
        <f>VLOOKUP(C809,Locality_Reference!A:C,2,)</f>
        <v>Central Line</v>
      </c>
      <c r="E809" s="2" t="str">
        <f>VLOOKUP(C809,Locality_Reference!A:C,3,)</f>
        <v>Mid Suburb</v>
      </c>
      <c r="F809" s="2" t="s">
        <v>1725</v>
      </c>
      <c r="G809" s="8">
        <v>165000</v>
      </c>
      <c r="H809">
        <v>3</v>
      </c>
      <c r="I809">
        <v>3</v>
      </c>
      <c r="J809">
        <v>20</v>
      </c>
      <c r="K809">
        <v>28</v>
      </c>
      <c r="L809">
        <v>1200</v>
      </c>
      <c r="M809" t="s">
        <v>36</v>
      </c>
      <c r="N809" t="s">
        <v>15</v>
      </c>
      <c r="O809" t="s">
        <v>16</v>
      </c>
      <c r="P809" t="s">
        <v>52</v>
      </c>
      <c r="Q809" t="str">
        <f t="shared" si="97"/>
        <v>7.5</v>
      </c>
      <c r="R809" s="5">
        <v>46199</v>
      </c>
      <c r="S809" s="8">
        <f t="shared" si="98"/>
        <v>137.5</v>
      </c>
      <c r="T809">
        <f t="shared" si="99"/>
        <v>1980000</v>
      </c>
      <c r="U809" t="str">
        <f t="shared" si="100"/>
        <v>Luxury</v>
      </c>
      <c r="V809" t="str">
        <f t="shared" si="101"/>
        <v>Large</v>
      </c>
      <c r="W809" t="str">
        <f>IF(S809 &lt; VLOOKUP(E809, Locality_Tier_Benchmarks!A:B, 2, FALSE) * 0.7, "Below Tier Range", "Normal")</f>
        <v>Normal</v>
      </c>
      <c r="X809" t="str">
        <f t="shared" si="102"/>
        <v>Normal</v>
      </c>
      <c r="Y809" t="str">
        <f t="shared" si="103"/>
        <v>Normal</v>
      </c>
      <c r="Z809" t="str">
        <f t="shared" si="96"/>
        <v>Pass</v>
      </c>
    </row>
    <row r="810" spans="1:26" x14ac:dyDescent="0.25">
      <c r="A810" s="2" t="s">
        <v>1668</v>
      </c>
      <c r="B810" t="s">
        <v>17</v>
      </c>
      <c r="C810" t="s">
        <v>1654</v>
      </c>
      <c r="D810" s="2" t="str">
        <f>VLOOKUP(C810,Locality_Reference!A:C,2,)</f>
        <v>Central Line</v>
      </c>
      <c r="E810" s="2" t="str">
        <f>VLOOKUP(C810,Locality_Reference!A:C,3,)</f>
        <v>Mid Suburb</v>
      </c>
      <c r="F810" s="2" t="s">
        <v>1656</v>
      </c>
      <c r="G810" s="8">
        <v>67000</v>
      </c>
      <c r="H810">
        <v>3</v>
      </c>
      <c r="I810">
        <v>3</v>
      </c>
      <c r="J810">
        <v>14</v>
      </c>
      <c r="K810">
        <v>22</v>
      </c>
      <c r="L810">
        <v>775</v>
      </c>
      <c r="M810" t="s">
        <v>33</v>
      </c>
      <c r="N810" t="s">
        <v>15</v>
      </c>
      <c r="O810" t="s">
        <v>16</v>
      </c>
      <c r="P810" t="s">
        <v>34</v>
      </c>
      <c r="Q810" t="str">
        <f t="shared" si="97"/>
        <v/>
      </c>
      <c r="R810" s="5">
        <v>46190</v>
      </c>
      <c r="S810" s="8">
        <f t="shared" si="98"/>
        <v>86.451612903225808</v>
      </c>
      <c r="T810">
        <f t="shared" si="99"/>
        <v>804000</v>
      </c>
      <c r="U810" t="str">
        <f t="shared" si="100"/>
        <v>Premium</v>
      </c>
      <c r="V810" t="str">
        <f t="shared" si="101"/>
        <v>Medium</v>
      </c>
      <c r="W810" t="str">
        <f>IF(S810 &lt; VLOOKUP(E810, Locality_Tier_Benchmarks!A:B, 2, FALSE) * 0.7, "Below Tier Range", "Normal")</f>
        <v>Normal</v>
      </c>
      <c r="X810" t="str">
        <f t="shared" si="102"/>
        <v>Normal</v>
      </c>
      <c r="Y810" t="str">
        <f t="shared" si="103"/>
        <v>Normal</v>
      </c>
      <c r="Z810" t="str">
        <f t="shared" si="96"/>
        <v>Pass</v>
      </c>
    </row>
    <row r="811" spans="1:26" x14ac:dyDescent="0.25">
      <c r="A811" s="2" t="s">
        <v>1669</v>
      </c>
      <c r="B811" t="s">
        <v>17</v>
      </c>
      <c r="C811" t="s">
        <v>1654</v>
      </c>
      <c r="D811" s="2" t="str">
        <f>VLOOKUP(C811,Locality_Reference!A:C,2,)</f>
        <v>Central Line</v>
      </c>
      <c r="E811" s="2" t="str">
        <f>VLOOKUP(C811,Locality_Reference!A:C,3,)</f>
        <v>Mid Suburb</v>
      </c>
      <c r="F811" s="2" t="s">
        <v>1729</v>
      </c>
      <c r="G811" s="8">
        <v>70000</v>
      </c>
      <c r="H811">
        <v>3</v>
      </c>
      <c r="I811">
        <v>3</v>
      </c>
      <c r="J811">
        <v>6</v>
      </c>
      <c r="K811">
        <v>22</v>
      </c>
      <c r="L811">
        <v>811</v>
      </c>
      <c r="M811" t="s">
        <v>33</v>
      </c>
      <c r="N811" t="s">
        <v>29</v>
      </c>
      <c r="O811" t="s">
        <v>16</v>
      </c>
      <c r="P811" t="s">
        <v>34</v>
      </c>
      <c r="Q811" t="str">
        <f t="shared" si="97"/>
        <v/>
      </c>
      <c r="R811" s="5">
        <v>46201</v>
      </c>
      <c r="S811" s="8">
        <f t="shared" si="98"/>
        <v>86.313193588162761</v>
      </c>
      <c r="T811">
        <f t="shared" si="99"/>
        <v>840000</v>
      </c>
      <c r="U811" t="str">
        <f t="shared" si="100"/>
        <v>Premium</v>
      </c>
      <c r="V811" t="str">
        <f t="shared" si="101"/>
        <v>Large</v>
      </c>
      <c r="W811" t="str">
        <f>IF(S811 &lt; VLOOKUP(E811, Locality_Tier_Benchmarks!A:B, 2, FALSE) * 0.7, "Below Tier Range", "Normal")</f>
        <v>Normal</v>
      </c>
      <c r="X811" t="str">
        <f t="shared" si="102"/>
        <v>Normal</v>
      </c>
      <c r="Y811" t="str">
        <f t="shared" si="103"/>
        <v>Normal</v>
      </c>
      <c r="Z811" t="str">
        <f t="shared" si="96"/>
        <v>Pass</v>
      </c>
    </row>
    <row r="812" spans="1:26" x14ac:dyDescent="0.25">
      <c r="A812" s="2" t="s">
        <v>1670</v>
      </c>
      <c r="B812" t="s">
        <v>17</v>
      </c>
      <c r="C812" t="s">
        <v>1654</v>
      </c>
      <c r="D812" s="2" t="str">
        <f>VLOOKUP(C812,Locality_Reference!A:C,2,)</f>
        <v>Central Line</v>
      </c>
      <c r="E812" s="2" t="str">
        <f>VLOOKUP(C812,Locality_Reference!A:C,3,)</f>
        <v>Mid Suburb</v>
      </c>
      <c r="F812" s="2" t="s">
        <v>1730</v>
      </c>
      <c r="G812" s="8">
        <v>65000</v>
      </c>
      <c r="H812">
        <v>3</v>
      </c>
      <c r="I812">
        <v>3</v>
      </c>
      <c r="J812">
        <v>9</v>
      </c>
      <c r="K812">
        <v>23</v>
      </c>
      <c r="L812">
        <v>774</v>
      </c>
      <c r="M812" t="s">
        <v>36</v>
      </c>
      <c r="N812" t="s">
        <v>29</v>
      </c>
      <c r="O812" t="s">
        <v>16</v>
      </c>
      <c r="P812" t="s">
        <v>47</v>
      </c>
      <c r="Q812" t="str">
        <f t="shared" si="97"/>
        <v>1</v>
      </c>
      <c r="R812" s="5">
        <v>46191</v>
      </c>
      <c r="S812" s="8">
        <f t="shared" si="98"/>
        <v>83.979328165374682</v>
      </c>
      <c r="T812">
        <f t="shared" si="99"/>
        <v>780000</v>
      </c>
      <c r="U812" t="str">
        <f t="shared" si="100"/>
        <v>Premium</v>
      </c>
      <c r="V812" t="str">
        <f t="shared" si="101"/>
        <v>Medium</v>
      </c>
      <c r="W812" t="str">
        <f>IF(S812 &lt; VLOOKUP(E812, Locality_Tier_Benchmarks!A:B, 2, FALSE) * 0.7, "Below Tier Range", "Normal")</f>
        <v>Normal</v>
      </c>
      <c r="X812" t="str">
        <f t="shared" si="102"/>
        <v>Normal</v>
      </c>
      <c r="Y812" t="str">
        <f t="shared" si="103"/>
        <v>Normal</v>
      </c>
      <c r="Z812" t="str">
        <f t="shared" si="96"/>
        <v>Pass</v>
      </c>
    </row>
    <row r="813" spans="1:26" x14ac:dyDescent="0.25">
      <c r="A813" s="2" t="s">
        <v>1671</v>
      </c>
      <c r="B813" t="s">
        <v>17</v>
      </c>
      <c r="C813" t="s">
        <v>1655</v>
      </c>
      <c r="D813" s="2" t="str">
        <f>VLOOKUP(C813,Locality_Reference!A:C,2,)</f>
        <v>Central Line</v>
      </c>
      <c r="E813" s="2" t="str">
        <f>VLOOKUP(C813,Locality_Reference!A:C,3,)</f>
        <v>Mid Suburb</v>
      </c>
      <c r="F813" s="2" t="s">
        <v>1731</v>
      </c>
      <c r="G813" s="8">
        <v>42000</v>
      </c>
      <c r="H813">
        <v>1</v>
      </c>
      <c r="I813">
        <v>2</v>
      </c>
      <c r="J813">
        <v>13</v>
      </c>
      <c r="K813">
        <v>20</v>
      </c>
      <c r="L813">
        <v>427</v>
      </c>
      <c r="M813" t="s">
        <v>36</v>
      </c>
      <c r="N813" t="s">
        <v>29</v>
      </c>
      <c r="O813" t="s">
        <v>16</v>
      </c>
      <c r="P813" t="s">
        <v>31</v>
      </c>
      <c r="Q813" t="str">
        <f t="shared" si="97"/>
        <v>3</v>
      </c>
      <c r="R813" s="5">
        <v>46200</v>
      </c>
      <c r="S813" s="8">
        <f t="shared" si="98"/>
        <v>98.360655737704917</v>
      </c>
      <c r="T813">
        <f t="shared" si="99"/>
        <v>504000</v>
      </c>
      <c r="U813" t="str">
        <f t="shared" si="100"/>
        <v>Mid</v>
      </c>
      <c r="V813" t="str">
        <f t="shared" si="101"/>
        <v>Compact</v>
      </c>
      <c r="W813" t="str">
        <f>IF(S813 &lt; VLOOKUP(E813, Locality_Tier_Benchmarks!A:B, 2, FALSE) * 0.7, "Below Tier Range", "Normal")</f>
        <v>Normal</v>
      </c>
      <c r="X813" t="str">
        <f t="shared" si="102"/>
        <v>Normal</v>
      </c>
      <c r="Y813" t="str">
        <f t="shared" si="103"/>
        <v>Normal</v>
      </c>
      <c r="Z813" t="str">
        <f t="shared" si="96"/>
        <v>Pass</v>
      </c>
    </row>
    <row r="814" spans="1:26" x14ac:dyDescent="0.25">
      <c r="A814" s="2" t="s">
        <v>1672</v>
      </c>
      <c r="B814" t="s">
        <v>17</v>
      </c>
      <c r="C814" t="s">
        <v>1655</v>
      </c>
      <c r="D814" s="2" t="str">
        <f>VLOOKUP(C814,Locality_Reference!A:C,2,)</f>
        <v>Central Line</v>
      </c>
      <c r="E814" s="2" t="str">
        <f>VLOOKUP(C814,Locality_Reference!A:C,3,)</f>
        <v>Mid Suburb</v>
      </c>
      <c r="F814" s="2" t="s">
        <v>1732</v>
      </c>
      <c r="G814" s="8">
        <v>42000</v>
      </c>
      <c r="H814">
        <v>1</v>
      </c>
      <c r="I814">
        <v>2</v>
      </c>
      <c r="J814">
        <v>9</v>
      </c>
      <c r="K814">
        <v>12</v>
      </c>
      <c r="L814">
        <v>460</v>
      </c>
      <c r="M814" t="s">
        <v>14</v>
      </c>
      <c r="N814" t="s">
        <v>15</v>
      </c>
      <c r="O814" t="s">
        <v>16</v>
      </c>
      <c r="P814" t="s">
        <v>23</v>
      </c>
      <c r="Q814" t="str">
        <f t="shared" si="97"/>
        <v>10</v>
      </c>
      <c r="R814" s="5">
        <v>46189</v>
      </c>
      <c r="S814" s="8">
        <f t="shared" si="98"/>
        <v>91.304347826086953</v>
      </c>
      <c r="T814">
        <f t="shared" si="99"/>
        <v>504000</v>
      </c>
      <c r="U814" t="str">
        <f t="shared" si="100"/>
        <v>Mid</v>
      </c>
      <c r="V814" t="str">
        <f t="shared" si="101"/>
        <v>Compact</v>
      </c>
      <c r="W814" t="str">
        <f>IF(S814 &lt; VLOOKUP(E814, Locality_Tier_Benchmarks!A:B, 2, FALSE) * 0.7, "Below Tier Range", "Normal")</f>
        <v>Normal</v>
      </c>
      <c r="X814" t="str">
        <f t="shared" si="102"/>
        <v>Normal</v>
      </c>
      <c r="Y814" t="str">
        <f t="shared" si="103"/>
        <v>Normal</v>
      </c>
      <c r="Z814" t="str">
        <f t="shared" si="96"/>
        <v>Pass</v>
      </c>
    </row>
    <row r="815" spans="1:26" x14ac:dyDescent="0.25">
      <c r="A815" s="2" t="s">
        <v>1673</v>
      </c>
      <c r="B815" t="s">
        <v>17</v>
      </c>
      <c r="C815" t="s">
        <v>1655</v>
      </c>
      <c r="D815" s="2" t="str">
        <f>VLOOKUP(C815,Locality_Reference!A:C,2,)</f>
        <v>Central Line</v>
      </c>
      <c r="E815" s="2" t="str">
        <f>VLOOKUP(C815,Locality_Reference!A:C,3,)</f>
        <v>Mid Suburb</v>
      </c>
      <c r="F815" s="2" t="s">
        <v>1733</v>
      </c>
      <c r="G815" s="8">
        <v>40000</v>
      </c>
      <c r="H815">
        <v>1</v>
      </c>
      <c r="I815">
        <v>1</v>
      </c>
      <c r="J815">
        <v>22</v>
      </c>
      <c r="K815">
        <v>33</v>
      </c>
      <c r="L815">
        <v>275</v>
      </c>
      <c r="M815" t="s">
        <v>14</v>
      </c>
      <c r="N815" t="s">
        <v>29</v>
      </c>
      <c r="O815" t="s">
        <v>16</v>
      </c>
      <c r="P815" t="s">
        <v>34</v>
      </c>
      <c r="Q815" t="str">
        <f t="shared" si="97"/>
        <v/>
      </c>
      <c r="R815" s="5">
        <v>46199</v>
      </c>
      <c r="S815" s="8">
        <f t="shared" si="98"/>
        <v>145.45454545454547</v>
      </c>
      <c r="T815">
        <f t="shared" si="99"/>
        <v>480000</v>
      </c>
      <c r="U815" t="str">
        <f t="shared" si="100"/>
        <v>Mid</v>
      </c>
      <c r="V815" t="str">
        <f t="shared" si="101"/>
        <v>Compact</v>
      </c>
      <c r="W815" t="str">
        <f>IF(S815 &lt; VLOOKUP(E815, Locality_Tier_Benchmarks!A:B, 2, FALSE) * 0.7, "Below Tier Range", "Normal")</f>
        <v>Normal</v>
      </c>
      <c r="X815" t="str">
        <f t="shared" si="102"/>
        <v>Normal</v>
      </c>
      <c r="Y815" t="str">
        <f t="shared" si="103"/>
        <v>Normal</v>
      </c>
      <c r="Z815" t="str">
        <f t="shared" si="96"/>
        <v>Pass</v>
      </c>
    </row>
    <row r="816" spans="1:26" x14ac:dyDescent="0.25">
      <c r="A816" s="2" t="s">
        <v>1674</v>
      </c>
      <c r="B816" t="s">
        <v>17</v>
      </c>
      <c r="C816" t="s">
        <v>1655</v>
      </c>
      <c r="D816" s="2" t="str">
        <f>VLOOKUP(C816,Locality_Reference!A:C,2,)</f>
        <v>Central Line</v>
      </c>
      <c r="E816" s="2" t="str">
        <f>VLOOKUP(C816,Locality_Reference!A:C,3,)</f>
        <v>Mid Suburb</v>
      </c>
      <c r="F816" s="2" t="s">
        <v>1734</v>
      </c>
      <c r="G816" s="8">
        <v>42000</v>
      </c>
      <c r="H816">
        <v>1</v>
      </c>
      <c r="I816">
        <v>1</v>
      </c>
      <c r="J816">
        <v>6</v>
      </c>
      <c r="K816">
        <v>22</v>
      </c>
      <c r="L816">
        <v>300</v>
      </c>
      <c r="M816" t="s">
        <v>14</v>
      </c>
      <c r="N816" t="s">
        <v>15</v>
      </c>
      <c r="O816" t="s">
        <v>16</v>
      </c>
      <c r="P816" t="s">
        <v>34</v>
      </c>
      <c r="Q816" t="str">
        <f t="shared" si="97"/>
        <v/>
      </c>
      <c r="R816" s="5">
        <v>46189</v>
      </c>
      <c r="S816" s="8">
        <f t="shared" si="98"/>
        <v>140</v>
      </c>
      <c r="T816">
        <f t="shared" si="99"/>
        <v>504000</v>
      </c>
      <c r="U816" t="str">
        <f t="shared" si="100"/>
        <v>Mid</v>
      </c>
      <c r="V816" t="str">
        <f t="shared" si="101"/>
        <v>Compact</v>
      </c>
      <c r="W816" t="str">
        <f>IF(S816 &lt; VLOOKUP(E816, Locality_Tier_Benchmarks!A:B, 2, FALSE) * 0.7, "Below Tier Range", "Normal")</f>
        <v>Normal</v>
      </c>
      <c r="X816" t="str">
        <f t="shared" si="102"/>
        <v>Normal</v>
      </c>
      <c r="Y816" t="str">
        <f t="shared" si="103"/>
        <v>Normal</v>
      </c>
      <c r="Z816" t="str">
        <f t="shared" si="96"/>
        <v>Pass</v>
      </c>
    </row>
    <row r="817" spans="1:26" x14ac:dyDescent="0.25">
      <c r="A817" s="2" t="s">
        <v>1675</v>
      </c>
      <c r="B817" t="s">
        <v>17</v>
      </c>
      <c r="C817" t="s">
        <v>1655</v>
      </c>
      <c r="D817" s="2" t="str">
        <f>VLOOKUP(C817,Locality_Reference!A:C,2,)</f>
        <v>Central Line</v>
      </c>
      <c r="E817" s="2" t="str">
        <f>VLOOKUP(C817,Locality_Reference!A:C,3,)</f>
        <v>Mid Suburb</v>
      </c>
      <c r="F817" s="2" t="s">
        <v>1735</v>
      </c>
      <c r="G817" s="8">
        <v>22000</v>
      </c>
      <c r="H817">
        <v>1</v>
      </c>
      <c r="I817">
        <v>1</v>
      </c>
      <c r="J817">
        <v>2</v>
      </c>
      <c r="K817">
        <v>4</v>
      </c>
      <c r="L817">
        <v>250</v>
      </c>
      <c r="M817" t="s">
        <v>36</v>
      </c>
      <c r="N817" t="s">
        <v>29</v>
      </c>
      <c r="O817" t="s">
        <v>16</v>
      </c>
      <c r="P817" t="s">
        <v>34</v>
      </c>
      <c r="Q817" t="str">
        <f t="shared" si="97"/>
        <v/>
      </c>
      <c r="R817" s="5">
        <v>46190</v>
      </c>
      <c r="S817" s="8">
        <f t="shared" si="98"/>
        <v>88</v>
      </c>
      <c r="T817">
        <f t="shared" si="99"/>
        <v>264000</v>
      </c>
      <c r="U817" t="str">
        <f t="shared" si="100"/>
        <v>Budget</v>
      </c>
      <c r="V817" t="str">
        <f t="shared" si="101"/>
        <v>Compact</v>
      </c>
      <c r="W817" t="str">
        <f>IF(S817 &lt; VLOOKUP(E817, Locality_Tier_Benchmarks!A:B, 2, FALSE) * 0.7, "Below Tier Range", "Normal")</f>
        <v>Normal</v>
      </c>
      <c r="X817" t="str">
        <f t="shared" si="102"/>
        <v>Normal</v>
      </c>
      <c r="Y817" t="str">
        <f t="shared" si="103"/>
        <v>Normal</v>
      </c>
      <c r="Z817" t="str">
        <f t="shared" si="96"/>
        <v>Pass</v>
      </c>
    </row>
    <row r="818" spans="1:26" x14ac:dyDescent="0.25">
      <c r="A818" s="2" t="s">
        <v>1676</v>
      </c>
      <c r="B818" t="s">
        <v>17</v>
      </c>
      <c r="C818" t="s">
        <v>1655</v>
      </c>
      <c r="D818" s="2" t="str">
        <f>VLOOKUP(C818,Locality_Reference!A:C,2,)</f>
        <v>Central Line</v>
      </c>
      <c r="E818" s="2" t="str">
        <f>VLOOKUP(C818,Locality_Reference!A:C,3,)</f>
        <v>Mid Suburb</v>
      </c>
      <c r="F818" s="2" t="s">
        <v>1731</v>
      </c>
      <c r="G818" s="8">
        <v>75000</v>
      </c>
      <c r="H818">
        <v>2</v>
      </c>
      <c r="I818">
        <v>2</v>
      </c>
      <c r="J818">
        <v>19</v>
      </c>
      <c r="K818">
        <v>20</v>
      </c>
      <c r="L818">
        <v>679</v>
      </c>
      <c r="M818" t="s">
        <v>33</v>
      </c>
      <c r="N818" t="s">
        <v>15</v>
      </c>
      <c r="O818" t="s">
        <v>16</v>
      </c>
      <c r="P818" t="s">
        <v>34</v>
      </c>
      <c r="Q818" t="str">
        <f t="shared" si="97"/>
        <v/>
      </c>
      <c r="R818" s="5">
        <v>46202</v>
      </c>
      <c r="S818" s="8">
        <f t="shared" si="98"/>
        <v>110.45655375552283</v>
      </c>
      <c r="T818">
        <f t="shared" si="99"/>
        <v>900000</v>
      </c>
      <c r="U818" t="str">
        <f t="shared" si="100"/>
        <v>Premium</v>
      </c>
      <c r="V818" t="str">
        <f t="shared" si="101"/>
        <v>Medium</v>
      </c>
      <c r="W818" t="str">
        <f>IF(S818 &lt; VLOOKUP(E818, Locality_Tier_Benchmarks!A:B, 2, FALSE) * 0.7, "Below Tier Range", "Normal")</f>
        <v>Normal</v>
      </c>
      <c r="X818" t="str">
        <f t="shared" si="102"/>
        <v>Normal</v>
      </c>
      <c r="Y818" t="str">
        <f t="shared" si="103"/>
        <v>Normal</v>
      </c>
      <c r="Z818" t="str">
        <f t="shared" si="96"/>
        <v>Pass</v>
      </c>
    </row>
    <row r="819" spans="1:26" x14ac:dyDescent="0.25">
      <c r="A819" s="2" t="s">
        <v>1677</v>
      </c>
      <c r="B819" t="s">
        <v>17</v>
      </c>
      <c r="C819" t="s">
        <v>1655</v>
      </c>
      <c r="D819" s="2" t="str">
        <f>VLOOKUP(C819,Locality_Reference!A:C,2,)</f>
        <v>Central Line</v>
      </c>
      <c r="E819" s="2" t="str">
        <f>VLOOKUP(C819,Locality_Reference!A:C,3,)</f>
        <v>Mid Suburb</v>
      </c>
      <c r="F819" s="2" t="s">
        <v>1734</v>
      </c>
      <c r="G819" s="8">
        <v>65000</v>
      </c>
      <c r="H819">
        <v>2</v>
      </c>
      <c r="I819">
        <v>2</v>
      </c>
      <c r="J819">
        <v>9</v>
      </c>
      <c r="K819">
        <v>22</v>
      </c>
      <c r="L819">
        <v>700</v>
      </c>
      <c r="M819" t="s">
        <v>14</v>
      </c>
      <c r="N819" t="s">
        <v>29</v>
      </c>
      <c r="O819" t="s">
        <v>16</v>
      </c>
      <c r="P819" t="s">
        <v>52</v>
      </c>
      <c r="Q819" t="str">
        <f t="shared" si="97"/>
        <v>7.5</v>
      </c>
      <c r="R819" s="5">
        <v>46169</v>
      </c>
      <c r="S819" s="8">
        <f t="shared" si="98"/>
        <v>92.857142857142861</v>
      </c>
      <c r="T819">
        <f t="shared" si="99"/>
        <v>780000</v>
      </c>
      <c r="U819" t="str">
        <f t="shared" si="100"/>
        <v>Premium</v>
      </c>
      <c r="V819" t="str">
        <f t="shared" si="101"/>
        <v>Medium</v>
      </c>
      <c r="W819" t="str">
        <f>IF(S819 &lt; VLOOKUP(E819, Locality_Tier_Benchmarks!A:B, 2, FALSE) * 0.7, "Below Tier Range", "Normal")</f>
        <v>Normal</v>
      </c>
      <c r="X819" t="str">
        <f t="shared" si="102"/>
        <v>Normal</v>
      </c>
      <c r="Y819" t="str">
        <f t="shared" si="103"/>
        <v>Normal</v>
      </c>
      <c r="Z819" t="str">
        <f t="shared" si="96"/>
        <v>Pass</v>
      </c>
    </row>
    <row r="820" spans="1:26" x14ac:dyDescent="0.25">
      <c r="A820" s="2" t="s">
        <v>1678</v>
      </c>
      <c r="B820" t="s">
        <v>17</v>
      </c>
      <c r="C820" t="s">
        <v>1655</v>
      </c>
      <c r="D820" s="2" t="str">
        <f>VLOOKUP(C820,Locality_Reference!A:C,2,)</f>
        <v>Central Line</v>
      </c>
      <c r="E820" s="2" t="str">
        <f>VLOOKUP(C820,Locality_Reference!A:C,3,)</f>
        <v>Mid Suburb</v>
      </c>
      <c r="F820" s="2" t="s">
        <v>1733</v>
      </c>
      <c r="G820" s="8">
        <v>61000</v>
      </c>
      <c r="H820">
        <v>2</v>
      </c>
      <c r="I820">
        <v>2</v>
      </c>
      <c r="J820">
        <v>26</v>
      </c>
      <c r="K820">
        <v>33</v>
      </c>
      <c r="L820">
        <v>630</v>
      </c>
      <c r="M820" t="s">
        <v>36</v>
      </c>
      <c r="N820" t="s">
        <v>29</v>
      </c>
      <c r="O820" t="s">
        <v>16</v>
      </c>
      <c r="P820" t="s">
        <v>31</v>
      </c>
      <c r="Q820" t="str">
        <f t="shared" si="97"/>
        <v>3</v>
      </c>
      <c r="R820" s="5">
        <v>46169</v>
      </c>
      <c r="S820" s="8">
        <f t="shared" si="98"/>
        <v>96.825396825396822</v>
      </c>
      <c r="T820">
        <f t="shared" si="99"/>
        <v>732000</v>
      </c>
      <c r="U820" t="str">
        <f t="shared" si="100"/>
        <v>Premium</v>
      </c>
      <c r="V820" t="str">
        <f t="shared" si="101"/>
        <v>Medium</v>
      </c>
      <c r="W820" t="str">
        <f>IF(S820 &lt; VLOOKUP(E820, Locality_Tier_Benchmarks!A:B, 2, FALSE) * 0.7, "Below Tier Range", "Normal")</f>
        <v>Normal</v>
      </c>
      <c r="X820" t="str">
        <f t="shared" si="102"/>
        <v>Normal</v>
      </c>
      <c r="Y820" t="str">
        <f t="shared" si="103"/>
        <v>Normal</v>
      </c>
      <c r="Z820" t="str">
        <f t="shared" si="96"/>
        <v>Pass</v>
      </c>
    </row>
    <row r="821" spans="1:26" x14ac:dyDescent="0.25">
      <c r="A821" s="2" t="s">
        <v>1679</v>
      </c>
      <c r="B821" t="s">
        <v>17</v>
      </c>
      <c r="C821" t="s">
        <v>1655</v>
      </c>
      <c r="D821" s="2" t="str">
        <f>VLOOKUP(C821,Locality_Reference!A:C,2,)</f>
        <v>Central Line</v>
      </c>
      <c r="E821" s="2" t="str">
        <f>VLOOKUP(C821,Locality_Reference!A:C,3,)</f>
        <v>Mid Suburb</v>
      </c>
      <c r="F821" s="2" t="s">
        <v>1737</v>
      </c>
      <c r="G821" s="8">
        <v>68000</v>
      </c>
      <c r="H821">
        <v>2</v>
      </c>
      <c r="I821">
        <v>2</v>
      </c>
      <c r="J821">
        <v>14</v>
      </c>
      <c r="K821">
        <v>22</v>
      </c>
      <c r="L821">
        <v>800</v>
      </c>
      <c r="M821" t="s">
        <v>14</v>
      </c>
      <c r="N821" t="s">
        <v>29</v>
      </c>
      <c r="O821" t="s">
        <v>16</v>
      </c>
      <c r="P821" t="s">
        <v>31</v>
      </c>
      <c r="Q821" t="str">
        <f t="shared" si="97"/>
        <v>3</v>
      </c>
      <c r="R821" s="5">
        <v>46191</v>
      </c>
      <c r="S821" s="8">
        <f t="shared" si="98"/>
        <v>85</v>
      </c>
      <c r="T821">
        <f t="shared" si="99"/>
        <v>816000</v>
      </c>
      <c r="U821" t="str">
        <f t="shared" si="100"/>
        <v>Premium</v>
      </c>
      <c r="V821" t="str">
        <f t="shared" si="101"/>
        <v>Medium</v>
      </c>
      <c r="W821" t="str">
        <f>IF(S821 &lt; VLOOKUP(E821, Locality_Tier_Benchmarks!A:B, 2, FALSE) * 0.7, "Below Tier Range", "Normal")</f>
        <v>Normal</v>
      </c>
      <c r="X821" t="str">
        <f t="shared" si="102"/>
        <v>Normal</v>
      </c>
      <c r="Y821" t="str">
        <f t="shared" si="103"/>
        <v>Normal</v>
      </c>
      <c r="Z821" t="str">
        <f t="shared" si="96"/>
        <v>Pass</v>
      </c>
    </row>
    <row r="822" spans="1:26" x14ac:dyDescent="0.25">
      <c r="A822" s="2" t="s">
        <v>1680</v>
      </c>
      <c r="B822" t="s">
        <v>17</v>
      </c>
      <c r="C822" t="s">
        <v>1655</v>
      </c>
      <c r="D822" s="2" t="str">
        <f>VLOOKUP(C822,Locality_Reference!A:C,2,)</f>
        <v>Central Line</v>
      </c>
      <c r="E822" s="2" t="str">
        <f>VLOOKUP(C822,Locality_Reference!A:C,3,)</f>
        <v>Mid Suburb</v>
      </c>
      <c r="F822" s="2" t="s">
        <v>1736</v>
      </c>
      <c r="G822" s="8">
        <v>55000</v>
      </c>
      <c r="H822">
        <v>2</v>
      </c>
      <c r="I822">
        <v>2</v>
      </c>
      <c r="J822">
        <v>8</v>
      </c>
      <c r="K822">
        <v>22</v>
      </c>
      <c r="L822">
        <v>645</v>
      </c>
      <c r="M822" t="s">
        <v>36</v>
      </c>
      <c r="N822" t="s">
        <v>29</v>
      </c>
      <c r="O822" t="s">
        <v>16</v>
      </c>
      <c r="P822" t="s">
        <v>34</v>
      </c>
      <c r="Q822" t="str">
        <f t="shared" si="97"/>
        <v/>
      </c>
      <c r="R822" s="5">
        <v>46190</v>
      </c>
      <c r="S822" s="8">
        <f t="shared" si="98"/>
        <v>85.271317829457359</v>
      </c>
      <c r="T822">
        <f t="shared" si="99"/>
        <v>660000</v>
      </c>
      <c r="U822" t="str">
        <f t="shared" si="100"/>
        <v>Mid</v>
      </c>
      <c r="V822" t="str">
        <f t="shared" si="101"/>
        <v>Medium</v>
      </c>
      <c r="W822" t="str">
        <f>IF(S822 &lt; VLOOKUP(E822, Locality_Tier_Benchmarks!A:B, 2, FALSE) * 0.7, "Below Tier Range", "Normal")</f>
        <v>Normal</v>
      </c>
      <c r="X822" t="str">
        <f t="shared" si="102"/>
        <v>Normal</v>
      </c>
      <c r="Y822" t="str">
        <f t="shared" si="103"/>
        <v>Normal</v>
      </c>
      <c r="Z822" t="str">
        <f t="shared" si="96"/>
        <v>Pass</v>
      </c>
    </row>
    <row r="823" spans="1:26" x14ac:dyDescent="0.25">
      <c r="A823" s="2" t="s">
        <v>1681</v>
      </c>
      <c r="B823" t="s">
        <v>366</v>
      </c>
      <c r="C823" t="s">
        <v>1655</v>
      </c>
      <c r="D823" s="2" t="str">
        <f>VLOOKUP(C823,Locality_Reference!A:C,2,)</f>
        <v>Central Line</v>
      </c>
      <c r="E823" s="2" t="str">
        <f>VLOOKUP(C823,Locality_Reference!A:C,3,)</f>
        <v>Mid Suburb</v>
      </c>
      <c r="F823" s="2" t="s">
        <v>1738</v>
      </c>
      <c r="G823" s="8">
        <v>78000</v>
      </c>
      <c r="H823">
        <v>3</v>
      </c>
      <c r="I823">
        <v>3</v>
      </c>
      <c r="J823">
        <v>9</v>
      </c>
      <c r="K823">
        <v>22</v>
      </c>
      <c r="L823">
        <v>1045</v>
      </c>
      <c r="M823" t="s">
        <v>14</v>
      </c>
      <c r="N823" t="s">
        <v>29</v>
      </c>
      <c r="O823" t="s">
        <v>16</v>
      </c>
      <c r="P823" t="s">
        <v>34</v>
      </c>
      <c r="Q823" t="str">
        <f t="shared" si="97"/>
        <v/>
      </c>
      <c r="R823" s="5">
        <v>46203</v>
      </c>
      <c r="S823" s="8">
        <f t="shared" si="98"/>
        <v>74.641148325358856</v>
      </c>
      <c r="T823">
        <f t="shared" si="99"/>
        <v>936000</v>
      </c>
      <c r="U823" t="str">
        <f t="shared" si="100"/>
        <v>Premium</v>
      </c>
      <c r="V823" t="str">
        <f t="shared" si="101"/>
        <v>Large</v>
      </c>
      <c r="W823" t="str">
        <f>IF(S823 &lt; VLOOKUP(E823, Locality_Tier_Benchmarks!A:B, 2, FALSE) * 0.7, "Below Tier Range", "Normal")</f>
        <v>Normal</v>
      </c>
      <c r="X823" t="str">
        <f t="shared" si="102"/>
        <v>Normal</v>
      </c>
      <c r="Y823" t="str">
        <f t="shared" si="103"/>
        <v>Normal</v>
      </c>
      <c r="Z823" t="str">
        <f t="shared" si="96"/>
        <v>Pass</v>
      </c>
    </row>
    <row r="824" spans="1:26" x14ac:dyDescent="0.25">
      <c r="A824" s="2" t="s">
        <v>1682</v>
      </c>
      <c r="B824" t="s">
        <v>17</v>
      </c>
      <c r="C824" t="s">
        <v>1739</v>
      </c>
      <c r="D824" s="2" t="str">
        <f>VLOOKUP(C824,Locality_Reference!A:C,2,)</f>
        <v>Central Line</v>
      </c>
      <c r="E824" s="2" t="str">
        <f>VLOOKUP(C824,Locality_Reference!A:C,3,)</f>
        <v>Mid Suburb</v>
      </c>
      <c r="F824" s="2" t="s">
        <v>1740</v>
      </c>
      <c r="G824" s="8">
        <v>45000</v>
      </c>
      <c r="H824">
        <v>1</v>
      </c>
      <c r="I824">
        <v>2</v>
      </c>
      <c r="J824">
        <v>5</v>
      </c>
      <c r="K824">
        <v>22</v>
      </c>
      <c r="L824">
        <v>454</v>
      </c>
      <c r="M824" t="s">
        <v>36</v>
      </c>
      <c r="N824" t="s">
        <v>15</v>
      </c>
      <c r="O824" t="s">
        <v>16</v>
      </c>
      <c r="P824" t="s">
        <v>31</v>
      </c>
      <c r="Q824" t="str">
        <f t="shared" si="97"/>
        <v>3</v>
      </c>
      <c r="R824" s="5">
        <v>46202</v>
      </c>
      <c r="S824" s="8">
        <f t="shared" si="98"/>
        <v>99.118942731277528</v>
      </c>
      <c r="T824">
        <f t="shared" si="99"/>
        <v>540000</v>
      </c>
      <c r="U824" t="str">
        <f t="shared" si="100"/>
        <v>Mid</v>
      </c>
      <c r="V824" t="str">
        <f t="shared" si="101"/>
        <v>Compact</v>
      </c>
      <c r="W824" t="str">
        <f>IF(S824 &lt; VLOOKUP(E824, Locality_Tier_Benchmarks!A:B, 2, FALSE) * 0.7, "Below Tier Range", "Normal")</f>
        <v>Normal</v>
      </c>
      <c r="X824" t="str">
        <f t="shared" si="102"/>
        <v>Normal</v>
      </c>
      <c r="Y824" t="str">
        <f t="shared" si="103"/>
        <v>Normal</v>
      </c>
      <c r="Z824" t="str">
        <f t="shared" si="96"/>
        <v>Pass</v>
      </c>
    </row>
    <row r="825" spans="1:26" x14ac:dyDescent="0.25">
      <c r="A825" s="2" t="s">
        <v>1683</v>
      </c>
      <c r="B825" t="s">
        <v>17</v>
      </c>
      <c r="C825" t="s">
        <v>1739</v>
      </c>
      <c r="D825" s="2" t="str">
        <f>VLOOKUP(C825,Locality_Reference!A:C,2,)</f>
        <v>Central Line</v>
      </c>
      <c r="E825" s="2" t="str">
        <f>VLOOKUP(C825,Locality_Reference!A:C,3,)</f>
        <v>Mid Suburb</v>
      </c>
      <c r="F825" s="2" t="s">
        <v>1741</v>
      </c>
      <c r="G825" s="8">
        <v>45000</v>
      </c>
      <c r="H825">
        <v>1</v>
      </c>
      <c r="I825">
        <v>1</v>
      </c>
      <c r="J825">
        <v>12</v>
      </c>
      <c r="K825">
        <v>22</v>
      </c>
      <c r="L825">
        <v>461</v>
      </c>
      <c r="M825" t="s">
        <v>36</v>
      </c>
      <c r="N825" t="s">
        <v>29</v>
      </c>
      <c r="O825" t="s">
        <v>16</v>
      </c>
      <c r="P825" t="s">
        <v>34</v>
      </c>
      <c r="Q825" t="str">
        <f t="shared" si="97"/>
        <v/>
      </c>
      <c r="R825" s="5">
        <v>46186</v>
      </c>
      <c r="S825" s="8">
        <f t="shared" si="98"/>
        <v>97.613882863340564</v>
      </c>
      <c r="T825">
        <f t="shared" si="99"/>
        <v>540000</v>
      </c>
      <c r="U825" t="str">
        <f t="shared" si="100"/>
        <v>Mid</v>
      </c>
      <c r="V825" t="str">
        <f t="shared" si="101"/>
        <v>Compact</v>
      </c>
      <c r="W825" t="str">
        <f>IF(S825 &lt; VLOOKUP(E825, Locality_Tier_Benchmarks!A:B, 2, FALSE) * 0.7, "Below Tier Range", "Normal")</f>
        <v>Normal</v>
      </c>
      <c r="X825" t="str">
        <f t="shared" si="102"/>
        <v>Normal</v>
      </c>
      <c r="Y825" t="str">
        <f t="shared" si="103"/>
        <v>Normal</v>
      </c>
      <c r="Z825" t="str">
        <f t="shared" si="96"/>
        <v>Pass</v>
      </c>
    </row>
    <row r="826" spans="1:26" x14ac:dyDescent="0.25">
      <c r="A826" s="2" t="s">
        <v>1684</v>
      </c>
      <c r="B826" t="s">
        <v>17</v>
      </c>
      <c r="C826" t="s">
        <v>1739</v>
      </c>
      <c r="D826" s="2" t="str">
        <f>VLOOKUP(C826,Locality_Reference!A:C,2,)</f>
        <v>Central Line</v>
      </c>
      <c r="E826" s="2" t="str">
        <f>VLOOKUP(C826,Locality_Reference!A:C,3,)</f>
        <v>Mid Suburb</v>
      </c>
      <c r="F826" s="2" t="s">
        <v>1742</v>
      </c>
      <c r="G826" s="8">
        <v>30000</v>
      </c>
      <c r="H826">
        <v>1</v>
      </c>
      <c r="I826">
        <v>1</v>
      </c>
      <c r="J826">
        <v>13</v>
      </c>
      <c r="K826">
        <v>21</v>
      </c>
      <c r="L826">
        <v>330</v>
      </c>
      <c r="M826" t="s">
        <v>36</v>
      </c>
      <c r="N826" t="s">
        <v>15</v>
      </c>
      <c r="O826" t="s">
        <v>16</v>
      </c>
      <c r="P826" t="s">
        <v>31</v>
      </c>
      <c r="Q826" t="str">
        <f t="shared" si="97"/>
        <v>3</v>
      </c>
      <c r="R826" s="5">
        <v>46201</v>
      </c>
      <c r="S826" s="8">
        <f t="shared" si="98"/>
        <v>90.909090909090907</v>
      </c>
      <c r="T826">
        <f t="shared" si="99"/>
        <v>360000</v>
      </c>
      <c r="U826" t="str">
        <f t="shared" si="100"/>
        <v>Budget</v>
      </c>
      <c r="V826" t="str">
        <f t="shared" si="101"/>
        <v>Compact</v>
      </c>
      <c r="W826" t="str">
        <f>IF(S826 &lt; VLOOKUP(E826, Locality_Tier_Benchmarks!A:B, 2, FALSE) * 0.7, "Below Tier Range", "Normal")</f>
        <v>Normal</v>
      </c>
      <c r="X826" t="str">
        <f t="shared" si="102"/>
        <v>Normal</v>
      </c>
      <c r="Y826" t="str">
        <f t="shared" si="103"/>
        <v>Normal</v>
      </c>
      <c r="Z826" t="str">
        <f t="shared" si="96"/>
        <v>Pass</v>
      </c>
    </row>
    <row r="827" spans="1:26" x14ac:dyDescent="0.25">
      <c r="A827" s="2" t="s">
        <v>1685</v>
      </c>
      <c r="B827" t="s">
        <v>17</v>
      </c>
      <c r="C827" t="s">
        <v>1739</v>
      </c>
      <c r="D827" s="2" t="str">
        <f>VLOOKUP(C827,Locality_Reference!A:C,2,)</f>
        <v>Central Line</v>
      </c>
      <c r="E827" s="2" t="str">
        <f>VLOOKUP(C827,Locality_Reference!A:C,3,)</f>
        <v>Mid Suburb</v>
      </c>
      <c r="F827" s="2" t="s">
        <v>1743</v>
      </c>
      <c r="G827" s="8">
        <v>26000</v>
      </c>
      <c r="H827">
        <v>1</v>
      </c>
      <c r="I827">
        <v>1</v>
      </c>
      <c r="J827">
        <v>2</v>
      </c>
      <c r="K827">
        <v>2</v>
      </c>
      <c r="L827">
        <v>450</v>
      </c>
      <c r="M827" t="s">
        <v>36</v>
      </c>
      <c r="N827" t="s">
        <v>15</v>
      </c>
      <c r="O827" t="s">
        <v>16</v>
      </c>
      <c r="P827" t="s">
        <v>23</v>
      </c>
      <c r="Q827" t="str">
        <f t="shared" si="97"/>
        <v>10</v>
      </c>
      <c r="R827" s="5">
        <v>46200</v>
      </c>
      <c r="S827" s="8">
        <f t="shared" si="98"/>
        <v>57.777777777777779</v>
      </c>
      <c r="T827">
        <f t="shared" si="99"/>
        <v>312000</v>
      </c>
      <c r="U827" t="str">
        <f t="shared" si="100"/>
        <v>Budget</v>
      </c>
      <c r="V827" t="str">
        <f t="shared" si="101"/>
        <v>Compact</v>
      </c>
      <c r="W827" t="str">
        <f>IF(S827 &lt; VLOOKUP(E827, Locality_Tier_Benchmarks!A:B, 2, FALSE) * 0.7, "Below Tier Range", "Normal")</f>
        <v>Normal</v>
      </c>
      <c r="X827" t="str">
        <f t="shared" si="102"/>
        <v>Normal</v>
      </c>
      <c r="Y827" t="str">
        <f t="shared" si="103"/>
        <v>Normal</v>
      </c>
      <c r="Z827" t="str">
        <f t="shared" si="96"/>
        <v>Pass</v>
      </c>
    </row>
    <row r="828" spans="1:26" x14ac:dyDescent="0.25">
      <c r="A828" s="2" t="s">
        <v>1686</v>
      </c>
      <c r="B828" t="s">
        <v>17</v>
      </c>
      <c r="C828" t="s">
        <v>1739</v>
      </c>
      <c r="D828" s="2" t="str">
        <f>VLOOKUP(C828,Locality_Reference!A:C,2,)</f>
        <v>Central Line</v>
      </c>
      <c r="E828" s="2" t="str">
        <f>VLOOKUP(C828,Locality_Reference!A:C,3,)</f>
        <v>Mid Suburb</v>
      </c>
      <c r="F828" s="2" t="s">
        <v>1744</v>
      </c>
      <c r="G828" s="8">
        <v>40000</v>
      </c>
      <c r="H828">
        <v>1</v>
      </c>
      <c r="I828">
        <v>1</v>
      </c>
      <c r="J828">
        <v>10</v>
      </c>
      <c r="K828">
        <v>22</v>
      </c>
      <c r="L828">
        <v>503</v>
      </c>
      <c r="M828" t="s">
        <v>36</v>
      </c>
      <c r="N828" t="s">
        <v>29</v>
      </c>
      <c r="O828" t="s">
        <v>16</v>
      </c>
      <c r="P828" t="s">
        <v>34</v>
      </c>
      <c r="Q828" t="str">
        <f t="shared" si="97"/>
        <v/>
      </c>
      <c r="R828" s="5">
        <v>46199</v>
      </c>
      <c r="S828" s="8">
        <f t="shared" si="98"/>
        <v>79.522862823061629</v>
      </c>
      <c r="T828">
        <f t="shared" si="99"/>
        <v>480000</v>
      </c>
      <c r="U828" t="str">
        <f t="shared" si="100"/>
        <v>Mid</v>
      </c>
      <c r="V828" t="str">
        <f t="shared" si="101"/>
        <v>Medium</v>
      </c>
      <c r="W828" t="str">
        <f>IF(S828 &lt; VLOOKUP(E828, Locality_Tier_Benchmarks!A:B, 2, FALSE) * 0.7, "Below Tier Range", "Normal")</f>
        <v>Normal</v>
      </c>
      <c r="X828" t="str">
        <f t="shared" si="102"/>
        <v>Normal</v>
      </c>
      <c r="Y828" t="str">
        <f t="shared" si="103"/>
        <v>Normal</v>
      </c>
      <c r="Z828" t="str">
        <f t="shared" si="96"/>
        <v>Pass</v>
      </c>
    </row>
    <row r="829" spans="1:26" x14ac:dyDescent="0.25">
      <c r="A829" s="2" t="s">
        <v>1687</v>
      </c>
      <c r="B829" t="s">
        <v>17</v>
      </c>
      <c r="C829" t="s">
        <v>1739</v>
      </c>
      <c r="D829" s="2" t="str">
        <f>VLOOKUP(C829,Locality_Reference!A:C,2,)</f>
        <v>Central Line</v>
      </c>
      <c r="E829" s="2" t="str">
        <f>VLOOKUP(C829,Locality_Reference!A:C,3,)</f>
        <v>Mid Suburb</v>
      </c>
      <c r="F829" s="2" t="s">
        <v>1741</v>
      </c>
      <c r="G829" s="8">
        <v>85000</v>
      </c>
      <c r="H829">
        <v>2</v>
      </c>
      <c r="I829">
        <v>2</v>
      </c>
      <c r="J829">
        <v>13</v>
      </c>
      <c r="K829">
        <v>22</v>
      </c>
      <c r="L829">
        <v>784</v>
      </c>
      <c r="M829" t="s">
        <v>14</v>
      </c>
      <c r="N829" t="s">
        <v>29</v>
      </c>
      <c r="O829" t="s">
        <v>16</v>
      </c>
      <c r="P829" t="s">
        <v>34</v>
      </c>
      <c r="Q829" t="str">
        <f t="shared" si="97"/>
        <v/>
      </c>
      <c r="R829" s="5">
        <v>46176</v>
      </c>
      <c r="S829" s="8">
        <f t="shared" si="98"/>
        <v>108.41836734693878</v>
      </c>
      <c r="T829">
        <f t="shared" si="99"/>
        <v>1020000</v>
      </c>
      <c r="U829" t="str">
        <f t="shared" si="100"/>
        <v>Premium</v>
      </c>
      <c r="V829" t="str">
        <f t="shared" si="101"/>
        <v>Medium</v>
      </c>
      <c r="W829" t="str">
        <f>IF(S829 &lt; VLOOKUP(E829, Locality_Tier_Benchmarks!A:B, 2, FALSE) * 0.7, "Below Tier Range", "Normal")</f>
        <v>Normal</v>
      </c>
      <c r="X829" t="str">
        <f t="shared" si="102"/>
        <v>Normal</v>
      </c>
      <c r="Y829" t="str">
        <f t="shared" si="103"/>
        <v>Normal</v>
      </c>
      <c r="Z829" t="str">
        <f t="shared" si="96"/>
        <v>Pass</v>
      </c>
    </row>
    <row r="830" spans="1:26" x14ac:dyDescent="0.25">
      <c r="A830" s="2" t="s">
        <v>1688</v>
      </c>
      <c r="B830" t="s">
        <v>17</v>
      </c>
      <c r="C830" t="s">
        <v>1739</v>
      </c>
      <c r="D830" s="2" t="str">
        <f>VLOOKUP(C830,Locality_Reference!A:C,2,)</f>
        <v>Central Line</v>
      </c>
      <c r="E830" s="2" t="str">
        <f>VLOOKUP(C830,Locality_Reference!A:C,3,)</f>
        <v>Mid Suburb</v>
      </c>
      <c r="F830" s="2" t="s">
        <v>1740</v>
      </c>
      <c r="G830" s="8">
        <v>62000</v>
      </c>
      <c r="H830">
        <v>2</v>
      </c>
      <c r="I830">
        <v>2</v>
      </c>
      <c r="J830">
        <v>11</v>
      </c>
      <c r="K830">
        <v>22</v>
      </c>
      <c r="L830">
        <v>737</v>
      </c>
      <c r="M830" t="s">
        <v>36</v>
      </c>
      <c r="N830" t="s">
        <v>15</v>
      </c>
      <c r="O830" t="s">
        <v>16</v>
      </c>
      <c r="P830" t="s">
        <v>34</v>
      </c>
      <c r="Q830" t="str">
        <f t="shared" si="97"/>
        <v/>
      </c>
      <c r="R830" s="5">
        <v>46190</v>
      </c>
      <c r="S830" s="8">
        <f t="shared" si="98"/>
        <v>84.124830393487116</v>
      </c>
      <c r="T830">
        <f t="shared" si="99"/>
        <v>744000</v>
      </c>
      <c r="U830" t="str">
        <f t="shared" si="100"/>
        <v>Premium</v>
      </c>
      <c r="V830" t="str">
        <f t="shared" si="101"/>
        <v>Medium</v>
      </c>
      <c r="W830" t="str">
        <f>IF(S830 &lt; VLOOKUP(E830, Locality_Tier_Benchmarks!A:B, 2, FALSE) * 0.7, "Below Tier Range", "Normal")</f>
        <v>Normal</v>
      </c>
      <c r="X830" t="str">
        <f t="shared" si="102"/>
        <v>Normal</v>
      </c>
      <c r="Y830" t="str">
        <f t="shared" si="103"/>
        <v>Normal</v>
      </c>
      <c r="Z830" t="str">
        <f t="shared" si="96"/>
        <v>Pass</v>
      </c>
    </row>
    <row r="831" spans="1:26" x14ac:dyDescent="0.25">
      <c r="A831" s="2" t="s">
        <v>1689</v>
      </c>
      <c r="B831" t="s">
        <v>17</v>
      </c>
      <c r="C831" t="s">
        <v>1739</v>
      </c>
      <c r="D831" s="2" t="str">
        <f>VLOOKUP(C831,Locality_Reference!A:C,2,)</f>
        <v>Central Line</v>
      </c>
      <c r="E831" s="2" t="str">
        <f>VLOOKUP(C831,Locality_Reference!A:C,3,)</f>
        <v>Mid Suburb</v>
      </c>
      <c r="F831" s="2" t="s">
        <v>1745</v>
      </c>
      <c r="G831" s="8">
        <v>84000</v>
      </c>
      <c r="H831">
        <v>2</v>
      </c>
      <c r="I831">
        <v>2</v>
      </c>
      <c r="J831">
        <v>28</v>
      </c>
      <c r="K831">
        <v>34</v>
      </c>
      <c r="L831">
        <v>794</v>
      </c>
      <c r="M831" t="s">
        <v>14</v>
      </c>
      <c r="N831" t="s">
        <v>15</v>
      </c>
      <c r="O831" t="s">
        <v>16</v>
      </c>
      <c r="P831" t="s">
        <v>34</v>
      </c>
      <c r="Q831" t="str">
        <f t="shared" si="97"/>
        <v/>
      </c>
      <c r="R831" s="5">
        <v>46175</v>
      </c>
      <c r="S831" s="8">
        <f t="shared" si="98"/>
        <v>105.79345088161209</v>
      </c>
      <c r="T831">
        <f t="shared" si="99"/>
        <v>1008000</v>
      </c>
      <c r="U831" t="str">
        <f t="shared" si="100"/>
        <v>Premium</v>
      </c>
      <c r="V831" t="str">
        <f t="shared" si="101"/>
        <v>Medium</v>
      </c>
      <c r="W831" t="str">
        <f>IF(S831 &lt; VLOOKUP(E831, Locality_Tier_Benchmarks!A:B, 2, FALSE) * 0.7, "Below Tier Range", "Normal")</f>
        <v>Normal</v>
      </c>
      <c r="X831" t="str">
        <f t="shared" si="102"/>
        <v>Normal</v>
      </c>
      <c r="Y831" t="str">
        <f t="shared" si="103"/>
        <v>Normal</v>
      </c>
      <c r="Z831" t="str">
        <f t="shared" si="96"/>
        <v>Pass</v>
      </c>
    </row>
    <row r="832" spans="1:26" x14ac:dyDescent="0.25">
      <c r="A832" s="2" t="s">
        <v>1690</v>
      </c>
      <c r="B832" t="s">
        <v>17</v>
      </c>
      <c r="C832" t="s">
        <v>1739</v>
      </c>
      <c r="D832" s="2" t="str">
        <f>VLOOKUP(C832,Locality_Reference!A:C,2,)</f>
        <v>Central Line</v>
      </c>
      <c r="E832" s="2" t="str">
        <f>VLOOKUP(C832,Locality_Reference!A:C,3,)</f>
        <v>Mid Suburb</v>
      </c>
      <c r="F832" s="2" t="s">
        <v>1746</v>
      </c>
      <c r="G832" s="8">
        <v>68000</v>
      </c>
      <c r="H832">
        <v>2</v>
      </c>
      <c r="I832">
        <v>2</v>
      </c>
      <c r="J832">
        <v>35</v>
      </c>
      <c r="K832">
        <v>52</v>
      </c>
      <c r="L832">
        <v>692</v>
      </c>
      <c r="M832" t="s">
        <v>36</v>
      </c>
      <c r="N832" t="s">
        <v>15</v>
      </c>
      <c r="O832" t="s">
        <v>16</v>
      </c>
      <c r="P832" t="s">
        <v>34</v>
      </c>
      <c r="Q832" t="str">
        <f t="shared" si="97"/>
        <v/>
      </c>
      <c r="R832" s="5">
        <v>46193</v>
      </c>
      <c r="S832" s="8">
        <f t="shared" si="98"/>
        <v>98.265895953757223</v>
      </c>
      <c r="T832">
        <f t="shared" si="99"/>
        <v>816000</v>
      </c>
      <c r="U832" t="str">
        <f t="shared" si="100"/>
        <v>Premium</v>
      </c>
      <c r="V832" t="str">
        <f t="shared" si="101"/>
        <v>Medium</v>
      </c>
      <c r="W832" t="str">
        <f>IF(S832 &lt; VLOOKUP(E832, Locality_Tier_Benchmarks!A:B, 2, FALSE) * 0.7, "Below Tier Range", "Normal")</f>
        <v>Normal</v>
      </c>
      <c r="X832" t="str">
        <f t="shared" si="102"/>
        <v>Normal</v>
      </c>
      <c r="Y832" t="str">
        <f t="shared" si="103"/>
        <v>Normal</v>
      </c>
      <c r="Z832" t="str">
        <f t="shared" si="96"/>
        <v>Pass</v>
      </c>
    </row>
    <row r="833" spans="1:26" x14ac:dyDescent="0.25">
      <c r="A833" s="2" t="s">
        <v>1691</v>
      </c>
      <c r="B833" t="s">
        <v>17</v>
      </c>
      <c r="C833" t="s">
        <v>1739</v>
      </c>
      <c r="D833" s="2" t="str">
        <f>VLOOKUP(C833,Locality_Reference!A:C,2,)</f>
        <v>Central Line</v>
      </c>
      <c r="E833" s="2" t="str">
        <f>VLOOKUP(C833,Locality_Reference!A:C,3,)</f>
        <v>Mid Suburb</v>
      </c>
      <c r="F833" s="2" t="s">
        <v>1747</v>
      </c>
      <c r="G833" s="8">
        <v>50000</v>
      </c>
      <c r="H833">
        <v>2</v>
      </c>
      <c r="I833">
        <v>2</v>
      </c>
      <c r="J833">
        <v>3</v>
      </c>
      <c r="K833">
        <v>11</v>
      </c>
      <c r="L833">
        <v>618</v>
      </c>
      <c r="M833" t="s">
        <v>36</v>
      </c>
      <c r="N833" t="s">
        <v>15</v>
      </c>
      <c r="O833" t="s">
        <v>16</v>
      </c>
      <c r="P833" t="s">
        <v>23</v>
      </c>
      <c r="Q833" t="str">
        <f t="shared" si="97"/>
        <v>10</v>
      </c>
      <c r="R833" s="5">
        <v>46201</v>
      </c>
      <c r="S833" s="8">
        <f t="shared" si="98"/>
        <v>80.906148867313917</v>
      </c>
      <c r="T833">
        <f t="shared" si="99"/>
        <v>600000</v>
      </c>
      <c r="U833" t="str">
        <f t="shared" si="100"/>
        <v>Mid</v>
      </c>
      <c r="V833" t="str">
        <f t="shared" si="101"/>
        <v>Medium</v>
      </c>
      <c r="W833" t="str">
        <f>IF(S833 &lt; VLOOKUP(E833, Locality_Tier_Benchmarks!A:B, 2, FALSE) * 0.7, "Below Tier Range", "Normal")</f>
        <v>Normal</v>
      </c>
      <c r="X833" t="str">
        <f t="shared" si="102"/>
        <v>Normal</v>
      </c>
      <c r="Y833" t="str">
        <f t="shared" si="103"/>
        <v>Normal</v>
      </c>
      <c r="Z833" t="str">
        <f t="shared" si="96"/>
        <v>Pass</v>
      </c>
    </row>
    <row r="834" spans="1:26" x14ac:dyDescent="0.25">
      <c r="A834" s="2" t="s">
        <v>1692</v>
      </c>
      <c r="B834" t="s">
        <v>17</v>
      </c>
      <c r="C834" t="s">
        <v>1739</v>
      </c>
      <c r="D834" s="2" t="str">
        <f>VLOOKUP(C834,Locality_Reference!A:C,2,)</f>
        <v>Central Line</v>
      </c>
      <c r="E834" s="2" t="str">
        <f>VLOOKUP(C834,Locality_Reference!A:C,3,)</f>
        <v>Mid Suburb</v>
      </c>
      <c r="F834" s="2" t="s">
        <v>1745</v>
      </c>
      <c r="G834" s="8">
        <v>104000</v>
      </c>
      <c r="H834">
        <v>3</v>
      </c>
      <c r="I834">
        <v>3</v>
      </c>
      <c r="J834">
        <v>0</v>
      </c>
      <c r="K834">
        <v>34</v>
      </c>
      <c r="L834">
        <v>1129</v>
      </c>
      <c r="M834" t="s">
        <v>36</v>
      </c>
      <c r="N834" t="s">
        <v>29</v>
      </c>
      <c r="O834" t="s">
        <v>16</v>
      </c>
      <c r="P834" t="s">
        <v>31</v>
      </c>
      <c r="Q834" t="str">
        <f t="shared" si="97"/>
        <v>3</v>
      </c>
      <c r="R834" s="5">
        <v>46182</v>
      </c>
      <c r="S834" s="8">
        <f t="shared" si="98"/>
        <v>92.116917626217898</v>
      </c>
      <c r="T834">
        <f t="shared" si="99"/>
        <v>1248000</v>
      </c>
      <c r="U834" t="str">
        <f t="shared" si="100"/>
        <v>Luxury</v>
      </c>
      <c r="V834" t="str">
        <f t="shared" si="101"/>
        <v>Large</v>
      </c>
      <c r="W834" t="str">
        <f>IF(S834 &lt; VLOOKUP(E834, Locality_Tier_Benchmarks!A:B, 2, FALSE) * 0.7, "Below Tier Range", "Normal")</f>
        <v>Normal</v>
      </c>
      <c r="X834" t="str">
        <f t="shared" si="102"/>
        <v>Normal</v>
      </c>
      <c r="Y834" t="str">
        <f t="shared" si="103"/>
        <v>Normal</v>
      </c>
      <c r="Z834" t="str">
        <f t="shared" ref="Z834:Z897" si="104">IF(OR(W834&lt;&gt;"Normal",X834&lt;&gt;"Normal",Y834&lt;&gt;"Normal"),"Review","Pass")</f>
        <v>Pass</v>
      </c>
    </row>
    <row r="835" spans="1:26" x14ac:dyDescent="0.25">
      <c r="A835" s="2" t="s">
        <v>1693</v>
      </c>
      <c r="B835" t="s">
        <v>17</v>
      </c>
      <c r="C835" t="s">
        <v>1739</v>
      </c>
      <c r="D835" s="2" t="str">
        <f>VLOOKUP(C835,Locality_Reference!A:C,2,)</f>
        <v>Central Line</v>
      </c>
      <c r="E835" s="2" t="str">
        <f>VLOOKUP(C835,Locality_Reference!A:C,3,)</f>
        <v>Mid Suburb</v>
      </c>
      <c r="F835" s="2" t="s">
        <v>1741</v>
      </c>
      <c r="G835" s="8">
        <v>95000</v>
      </c>
      <c r="H835">
        <v>3</v>
      </c>
      <c r="I835">
        <v>2</v>
      </c>
      <c r="J835">
        <v>5</v>
      </c>
      <c r="K835">
        <v>22</v>
      </c>
      <c r="L835">
        <v>783</v>
      </c>
      <c r="M835" t="s">
        <v>14</v>
      </c>
      <c r="N835" t="s">
        <v>15</v>
      </c>
      <c r="O835" t="s">
        <v>16</v>
      </c>
      <c r="P835" t="s">
        <v>31</v>
      </c>
      <c r="Q835" t="str">
        <f t="shared" ref="Q835:Q898" si="105">IF(P835="20+ Years","20",IF(P835="15-20 Years","17.5",IF(P835="10+ Years","10",IF(P835="5-10 Years","7.5",IF(P835="1-5 Years","3",IF(P835="0-1 Year","1",""))))))</f>
        <v>3</v>
      </c>
      <c r="R835" s="5">
        <v>46147</v>
      </c>
      <c r="S835" s="8">
        <f t="shared" ref="S835:S898" si="106">G835/L835</f>
        <v>121.32822477650063</v>
      </c>
      <c r="T835">
        <f t="shared" ref="T835:T898" si="107">G835*12</f>
        <v>1140000</v>
      </c>
      <c r="U835" t="str">
        <f t="shared" ref="U835:U898" si="108">IF(G835&lt;=30000,"Budget",IF(G835&lt;=60000,"Mid",IF(G835&lt;=100000,"Premium","Luxury")))</f>
        <v>Premium</v>
      </c>
      <c r="V835" t="str">
        <f t="shared" ref="V835:V898" si="109">IF(L835&lt;=500,"Compact",IF(L835&lt;=800,"Medium",IF(L835&lt;=1200,"Large","Spacious")))</f>
        <v>Medium</v>
      </c>
      <c r="W835" t="str">
        <f>IF(S835 &lt; VLOOKUP(E835, Locality_Tier_Benchmarks!A:B, 2, FALSE) * 0.7, "Below Tier Range", "Normal")</f>
        <v>Normal</v>
      </c>
      <c r="X835" t="str">
        <f t="shared" ref="X835:X898" si="110">IF(G835&lt;7000,"Below Absolute Floor","Normal")</f>
        <v>Normal</v>
      </c>
      <c r="Y835" t="str">
        <f t="shared" ref="Y835:Y898" si="111">IF(S835&gt;500,"Possible Typo - Check Zero","Normal")</f>
        <v>Normal</v>
      </c>
      <c r="Z835" t="str">
        <f t="shared" si="104"/>
        <v>Pass</v>
      </c>
    </row>
    <row r="836" spans="1:26" x14ac:dyDescent="0.25">
      <c r="A836" s="2" t="s">
        <v>1694</v>
      </c>
      <c r="B836" t="s">
        <v>17</v>
      </c>
      <c r="C836" t="s">
        <v>1739</v>
      </c>
      <c r="D836" s="2" t="str">
        <f>VLOOKUP(C836,Locality_Reference!A:C,2,)</f>
        <v>Central Line</v>
      </c>
      <c r="E836" s="2" t="str">
        <f>VLOOKUP(C836,Locality_Reference!A:C,3,)</f>
        <v>Mid Suburb</v>
      </c>
      <c r="F836" s="2" t="s">
        <v>1746</v>
      </c>
      <c r="G836" s="8">
        <v>110000</v>
      </c>
      <c r="H836">
        <v>3</v>
      </c>
      <c r="I836">
        <v>3</v>
      </c>
      <c r="J836">
        <v>12</v>
      </c>
      <c r="K836">
        <v>52</v>
      </c>
      <c r="L836">
        <v>1080</v>
      </c>
      <c r="M836" t="s">
        <v>36</v>
      </c>
      <c r="N836" t="s">
        <v>15</v>
      </c>
      <c r="O836" t="s">
        <v>16</v>
      </c>
      <c r="P836" t="s">
        <v>34</v>
      </c>
      <c r="Q836" t="str">
        <f t="shared" si="105"/>
        <v/>
      </c>
      <c r="R836" s="5">
        <v>46202</v>
      </c>
      <c r="S836" s="8">
        <f t="shared" si="106"/>
        <v>101.85185185185185</v>
      </c>
      <c r="T836">
        <f t="shared" si="107"/>
        <v>1320000</v>
      </c>
      <c r="U836" t="str">
        <f t="shared" si="108"/>
        <v>Luxury</v>
      </c>
      <c r="V836" t="str">
        <f t="shared" si="109"/>
        <v>Large</v>
      </c>
      <c r="W836" t="str">
        <f>IF(S836 &lt; VLOOKUP(E836, Locality_Tier_Benchmarks!A:B, 2, FALSE) * 0.7, "Below Tier Range", "Normal")</f>
        <v>Normal</v>
      </c>
      <c r="X836" t="str">
        <f t="shared" si="110"/>
        <v>Normal</v>
      </c>
      <c r="Y836" t="str">
        <f t="shared" si="111"/>
        <v>Normal</v>
      </c>
      <c r="Z836" t="str">
        <f t="shared" si="104"/>
        <v>Pass</v>
      </c>
    </row>
    <row r="837" spans="1:26" x14ac:dyDescent="0.25">
      <c r="A837" s="2" t="s">
        <v>1695</v>
      </c>
      <c r="B837" t="s">
        <v>17</v>
      </c>
      <c r="C837" t="s">
        <v>1739</v>
      </c>
      <c r="D837" s="2" t="str">
        <f>VLOOKUP(C837,Locality_Reference!A:C,2,)</f>
        <v>Central Line</v>
      </c>
      <c r="E837" s="2" t="str">
        <f>VLOOKUP(C837,Locality_Reference!A:C,3,)</f>
        <v>Mid Suburb</v>
      </c>
      <c r="F837" s="2" t="s">
        <v>1740</v>
      </c>
      <c r="G837" s="8">
        <v>80000</v>
      </c>
      <c r="H837">
        <v>3</v>
      </c>
      <c r="I837">
        <v>3</v>
      </c>
      <c r="J837">
        <v>6</v>
      </c>
      <c r="K837">
        <v>22</v>
      </c>
      <c r="L837">
        <v>839</v>
      </c>
      <c r="M837" t="s">
        <v>36</v>
      </c>
      <c r="N837" t="s">
        <v>15</v>
      </c>
      <c r="O837" t="s">
        <v>16</v>
      </c>
      <c r="P837" t="s">
        <v>31</v>
      </c>
      <c r="Q837" t="str">
        <f t="shared" si="105"/>
        <v>3</v>
      </c>
      <c r="R837" s="5">
        <v>46200</v>
      </c>
      <c r="S837" s="8">
        <f t="shared" si="106"/>
        <v>95.351609058402857</v>
      </c>
      <c r="T837">
        <f t="shared" si="107"/>
        <v>960000</v>
      </c>
      <c r="U837" t="str">
        <f t="shared" si="108"/>
        <v>Premium</v>
      </c>
      <c r="V837" t="str">
        <f t="shared" si="109"/>
        <v>Large</v>
      </c>
      <c r="W837" t="str">
        <f>IF(S837 &lt; VLOOKUP(E837, Locality_Tier_Benchmarks!A:B, 2, FALSE) * 0.7, "Below Tier Range", "Normal")</f>
        <v>Normal</v>
      </c>
      <c r="X837" t="str">
        <f t="shared" si="110"/>
        <v>Normal</v>
      </c>
      <c r="Y837" t="str">
        <f t="shared" si="111"/>
        <v>Normal</v>
      </c>
      <c r="Z837" t="str">
        <f t="shared" si="104"/>
        <v>Pass</v>
      </c>
    </row>
    <row r="838" spans="1:26" x14ac:dyDescent="0.25">
      <c r="A838" s="2" t="s">
        <v>1696</v>
      </c>
      <c r="B838" t="s">
        <v>17</v>
      </c>
      <c r="C838" t="s">
        <v>1739</v>
      </c>
      <c r="D838" s="2" t="str">
        <f>VLOOKUP(C838,Locality_Reference!A:C,2,)</f>
        <v>Central Line</v>
      </c>
      <c r="E838" s="2" t="str">
        <f>VLOOKUP(C838,Locality_Reference!A:C,3,)</f>
        <v>Mid Suburb</v>
      </c>
      <c r="F838" s="2" t="s">
        <v>1748</v>
      </c>
      <c r="G838" s="8">
        <v>70000</v>
      </c>
      <c r="H838">
        <v>3</v>
      </c>
      <c r="I838">
        <v>3</v>
      </c>
      <c r="J838">
        <v>8</v>
      </c>
      <c r="K838">
        <v>20</v>
      </c>
      <c r="L838">
        <v>844</v>
      </c>
      <c r="M838" t="s">
        <v>14</v>
      </c>
      <c r="N838" t="s">
        <v>15</v>
      </c>
      <c r="O838" t="s">
        <v>16</v>
      </c>
      <c r="P838" t="s">
        <v>52</v>
      </c>
      <c r="Q838" t="str">
        <f t="shared" si="105"/>
        <v>7.5</v>
      </c>
      <c r="R838" s="5">
        <v>46195</v>
      </c>
      <c r="S838" s="8">
        <f t="shared" si="106"/>
        <v>82.938388625592424</v>
      </c>
      <c r="T838">
        <f t="shared" si="107"/>
        <v>840000</v>
      </c>
      <c r="U838" t="str">
        <f t="shared" si="108"/>
        <v>Premium</v>
      </c>
      <c r="V838" t="str">
        <f t="shared" si="109"/>
        <v>Large</v>
      </c>
      <c r="W838" t="str">
        <f>IF(S838 &lt; VLOOKUP(E838, Locality_Tier_Benchmarks!A:B, 2, FALSE) * 0.7, "Below Tier Range", "Normal")</f>
        <v>Normal</v>
      </c>
      <c r="X838" t="str">
        <f t="shared" si="110"/>
        <v>Normal</v>
      </c>
      <c r="Y838" t="str">
        <f t="shared" si="111"/>
        <v>Normal</v>
      </c>
      <c r="Z838" t="str">
        <f t="shared" si="104"/>
        <v>Pass</v>
      </c>
    </row>
    <row r="839" spans="1:26" x14ac:dyDescent="0.25">
      <c r="A839" s="2" t="s">
        <v>1697</v>
      </c>
      <c r="B839" t="s">
        <v>17</v>
      </c>
      <c r="C839" t="s">
        <v>512</v>
      </c>
      <c r="D839" s="2" t="str">
        <f>VLOOKUP(C839,Locality_Reference!A:C,2,)</f>
        <v>Central Line</v>
      </c>
      <c r="E839" s="2" t="str">
        <f>VLOOKUP(C839,Locality_Reference!A:C,3,)</f>
        <v>Mid Suburb</v>
      </c>
      <c r="F839" s="2" t="s">
        <v>1749</v>
      </c>
      <c r="G839" s="8">
        <v>48000</v>
      </c>
      <c r="H839">
        <v>1</v>
      </c>
      <c r="I839">
        <v>1</v>
      </c>
      <c r="J839">
        <v>17</v>
      </c>
      <c r="K839">
        <v>58</v>
      </c>
      <c r="L839">
        <v>471</v>
      </c>
      <c r="M839" t="s">
        <v>36</v>
      </c>
      <c r="N839" t="s">
        <v>15</v>
      </c>
      <c r="O839" t="s">
        <v>16</v>
      </c>
      <c r="P839" t="s">
        <v>47</v>
      </c>
      <c r="Q839" t="str">
        <f t="shared" si="105"/>
        <v>1</v>
      </c>
      <c r="R839" s="5">
        <v>46182</v>
      </c>
      <c r="S839" s="8">
        <f t="shared" si="106"/>
        <v>101.91082802547771</v>
      </c>
      <c r="T839">
        <f t="shared" si="107"/>
        <v>576000</v>
      </c>
      <c r="U839" t="str">
        <f t="shared" si="108"/>
        <v>Mid</v>
      </c>
      <c r="V839" t="str">
        <f t="shared" si="109"/>
        <v>Compact</v>
      </c>
      <c r="W839" t="str">
        <f>IF(S839 &lt; VLOOKUP(E839, Locality_Tier_Benchmarks!A:B, 2, FALSE) * 0.7, "Below Tier Range", "Normal")</f>
        <v>Normal</v>
      </c>
      <c r="X839" t="str">
        <f t="shared" si="110"/>
        <v>Normal</v>
      </c>
      <c r="Y839" t="str">
        <f t="shared" si="111"/>
        <v>Normal</v>
      </c>
      <c r="Z839" t="str">
        <f t="shared" si="104"/>
        <v>Pass</v>
      </c>
    </row>
    <row r="840" spans="1:26" x14ac:dyDescent="0.25">
      <c r="A840" s="2" t="s">
        <v>1698</v>
      </c>
      <c r="B840" t="s">
        <v>17</v>
      </c>
      <c r="C840" t="s">
        <v>512</v>
      </c>
      <c r="D840" s="2" t="str">
        <f>VLOOKUP(C840,Locality_Reference!A:C,2,)</f>
        <v>Central Line</v>
      </c>
      <c r="E840" s="2" t="str">
        <f>VLOOKUP(C840,Locality_Reference!A:C,3,)</f>
        <v>Mid Suburb</v>
      </c>
      <c r="F840" s="2" t="s">
        <v>1750</v>
      </c>
      <c r="G840" s="8">
        <v>40000</v>
      </c>
      <c r="H840">
        <v>1</v>
      </c>
      <c r="I840">
        <v>1</v>
      </c>
      <c r="J840">
        <v>14</v>
      </c>
      <c r="K840">
        <v>25</v>
      </c>
      <c r="L840">
        <v>445</v>
      </c>
      <c r="M840" t="s">
        <v>36</v>
      </c>
      <c r="N840" t="s">
        <v>29</v>
      </c>
      <c r="O840" t="s">
        <v>16</v>
      </c>
      <c r="P840" t="s">
        <v>34</v>
      </c>
      <c r="Q840" t="str">
        <f t="shared" si="105"/>
        <v/>
      </c>
      <c r="R840" s="5">
        <v>46196</v>
      </c>
      <c r="S840" s="8">
        <f t="shared" si="106"/>
        <v>89.887640449438209</v>
      </c>
      <c r="T840">
        <f t="shared" si="107"/>
        <v>480000</v>
      </c>
      <c r="U840" t="str">
        <f t="shared" si="108"/>
        <v>Mid</v>
      </c>
      <c r="V840" t="str">
        <f t="shared" si="109"/>
        <v>Compact</v>
      </c>
      <c r="W840" t="str">
        <f>IF(S840 &lt; VLOOKUP(E840, Locality_Tier_Benchmarks!A:B, 2, FALSE) * 0.7, "Below Tier Range", "Normal")</f>
        <v>Normal</v>
      </c>
      <c r="X840" t="str">
        <f t="shared" si="110"/>
        <v>Normal</v>
      </c>
      <c r="Y840" t="str">
        <f t="shared" si="111"/>
        <v>Normal</v>
      </c>
      <c r="Z840" t="str">
        <f t="shared" si="104"/>
        <v>Pass</v>
      </c>
    </row>
    <row r="841" spans="1:26" x14ac:dyDescent="0.25">
      <c r="A841" s="2" t="s">
        <v>1699</v>
      </c>
      <c r="B841" t="s">
        <v>17</v>
      </c>
      <c r="C841" t="s">
        <v>512</v>
      </c>
      <c r="D841" s="2" t="str">
        <f>VLOOKUP(C841,Locality_Reference!A:C,2,)</f>
        <v>Central Line</v>
      </c>
      <c r="E841" s="2" t="str">
        <f>VLOOKUP(C841,Locality_Reference!A:C,3,)</f>
        <v>Mid Suburb</v>
      </c>
      <c r="F841" s="2" t="s">
        <v>1751</v>
      </c>
      <c r="G841" s="8">
        <v>24000</v>
      </c>
      <c r="H841">
        <v>1</v>
      </c>
      <c r="I841">
        <v>1</v>
      </c>
      <c r="J841">
        <v>22</v>
      </c>
      <c r="K841">
        <v>23</v>
      </c>
      <c r="L841">
        <v>300</v>
      </c>
      <c r="M841" t="s">
        <v>33</v>
      </c>
      <c r="N841" t="s">
        <v>29</v>
      </c>
      <c r="O841" t="s">
        <v>16</v>
      </c>
      <c r="P841" t="s">
        <v>47</v>
      </c>
      <c r="Q841" t="str">
        <f t="shared" si="105"/>
        <v>1</v>
      </c>
      <c r="R841" s="5">
        <v>46184</v>
      </c>
      <c r="S841" s="8">
        <f t="shared" si="106"/>
        <v>80</v>
      </c>
      <c r="T841">
        <f t="shared" si="107"/>
        <v>288000</v>
      </c>
      <c r="U841" t="str">
        <f t="shared" si="108"/>
        <v>Budget</v>
      </c>
      <c r="V841" t="str">
        <f t="shared" si="109"/>
        <v>Compact</v>
      </c>
      <c r="W841" t="str">
        <f>IF(S841 &lt; VLOOKUP(E841, Locality_Tier_Benchmarks!A:B, 2, FALSE) * 0.7, "Below Tier Range", "Normal")</f>
        <v>Normal</v>
      </c>
      <c r="X841" t="str">
        <f t="shared" si="110"/>
        <v>Normal</v>
      </c>
      <c r="Y841" t="str">
        <f t="shared" si="111"/>
        <v>Normal</v>
      </c>
      <c r="Z841" t="str">
        <f t="shared" si="104"/>
        <v>Pass</v>
      </c>
    </row>
    <row r="842" spans="1:26" x14ac:dyDescent="0.25">
      <c r="A842" s="2" t="s">
        <v>1700</v>
      </c>
      <c r="B842" t="s">
        <v>17</v>
      </c>
      <c r="C842" t="s">
        <v>512</v>
      </c>
      <c r="D842" s="2" t="str">
        <f>VLOOKUP(C842,Locality_Reference!A:C,2,)</f>
        <v>Central Line</v>
      </c>
      <c r="E842" s="2" t="str">
        <f>VLOOKUP(C842,Locality_Reference!A:C,3,)</f>
        <v>Mid Suburb</v>
      </c>
      <c r="F842" s="2" t="s">
        <v>1752</v>
      </c>
      <c r="G842" s="8">
        <v>15000</v>
      </c>
      <c r="H842">
        <v>1</v>
      </c>
      <c r="I842">
        <v>1</v>
      </c>
      <c r="J842">
        <v>3</v>
      </c>
      <c r="K842">
        <v>7</v>
      </c>
      <c r="L842">
        <v>175</v>
      </c>
      <c r="M842" t="s">
        <v>33</v>
      </c>
      <c r="N842" t="s">
        <v>15</v>
      </c>
      <c r="O842" t="s">
        <v>16</v>
      </c>
      <c r="P842" t="s">
        <v>31</v>
      </c>
      <c r="Q842" t="str">
        <f t="shared" si="105"/>
        <v>3</v>
      </c>
      <c r="R842" s="5">
        <v>46154</v>
      </c>
      <c r="S842" s="8">
        <f t="shared" si="106"/>
        <v>85.714285714285708</v>
      </c>
      <c r="T842">
        <f t="shared" si="107"/>
        <v>180000</v>
      </c>
      <c r="U842" t="str">
        <f t="shared" si="108"/>
        <v>Budget</v>
      </c>
      <c r="V842" t="str">
        <f t="shared" si="109"/>
        <v>Compact</v>
      </c>
      <c r="W842" t="str">
        <f>IF(S842 &lt; VLOOKUP(E842, Locality_Tier_Benchmarks!A:B, 2, FALSE) * 0.7, "Below Tier Range", "Normal")</f>
        <v>Normal</v>
      </c>
      <c r="X842" t="str">
        <f t="shared" si="110"/>
        <v>Normal</v>
      </c>
      <c r="Y842" t="str">
        <f t="shared" si="111"/>
        <v>Normal</v>
      </c>
      <c r="Z842" t="str">
        <f t="shared" si="104"/>
        <v>Pass</v>
      </c>
    </row>
    <row r="843" spans="1:26" x14ac:dyDescent="0.25">
      <c r="A843" s="2" t="s">
        <v>1701</v>
      </c>
      <c r="B843" t="s">
        <v>17</v>
      </c>
      <c r="C843" t="s">
        <v>512</v>
      </c>
      <c r="D843" s="2" t="str">
        <f>VLOOKUP(C843,Locality_Reference!A:C,2,)</f>
        <v>Central Line</v>
      </c>
      <c r="E843" s="2" t="str">
        <f>VLOOKUP(C843,Locality_Reference!A:C,3,)</f>
        <v>Mid Suburb</v>
      </c>
      <c r="F843" s="2" t="s">
        <v>1753</v>
      </c>
      <c r="G843" s="8">
        <v>60000</v>
      </c>
      <c r="H843">
        <v>2</v>
      </c>
      <c r="I843">
        <v>2</v>
      </c>
      <c r="J843">
        <v>3</v>
      </c>
      <c r="K843">
        <v>21</v>
      </c>
      <c r="L843">
        <v>750</v>
      </c>
      <c r="M843" t="s">
        <v>36</v>
      </c>
      <c r="N843" t="s">
        <v>15</v>
      </c>
      <c r="O843" t="s">
        <v>16</v>
      </c>
      <c r="P843" t="s">
        <v>34</v>
      </c>
      <c r="Q843" t="str">
        <f t="shared" si="105"/>
        <v/>
      </c>
      <c r="R843" s="5">
        <v>46197</v>
      </c>
      <c r="S843" s="8">
        <f t="shared" si="106"/>
        <v>80</v>
      </c>
      <c r="T843">
        <f t="shared" si="107"/>
        <v>720000</v>
      </c>
      <c r="U843" t="str">
        <f t="shared" si="108"/>
        <v>Mid</v>
      </c>
      <c r="V843" t="str">
        <f t="shared" si="109"/>
        <v>Medium</v>
      </c>
      <c r="W843" t="str">
        <f>IF(S843 &lt; VLOOKUP(E843, Locality_Tier_Benchmarks!A:B, 2, FALSE) * 0.7, "Below Tier Range", "Normal")</f>
        <v>Normal</v>
      </c>
      <c r="X843" t="str">
        <f t="shared" si="110"/>
        <v>Normal</v>
      </c>
      <c r="Y843" t="str">
        <f t="shared" si="111"/>
        <v>Normal</v>
      </c>
      <c r="Z843" t="str">
        <f t="shared" si="104"/>
        <v>Pass</v>
      </c>
    </row>
    <row r="844" spans="1:26" x14ac:dyDescent="0.25">
      <c r="A844" s="2" t="s">
        <v>1702</v>
      </c>
      <c r="B844" t="s">
        <v>17</v>
      </c>
      <c r="C844" t="s">
        <v>512</v>
      </c>
      <c r="D844" s="2" t="str">
        <f>VLOOKUP(C844,Locality_Reference!A:C,2,)</f>
        <v>Central Line</v>
      </c>
      <c r="E844" s="2" t="str">
        <f>VLOOKUP(C844,Locality_Reference!A:C,3,)</f>
        <v>Mid Suburb</v>
      </c>
      <c r="F844" s="2" t="s">
        <v>1754</v>
      </c>
      <c r="G844" s="8">
        <v>58000</v>
      </c>
      <c r="H844">
        <v>2</v>
      </c>
      <c r="I844">
        <v>2</v>
      </c>
      <c r="J844">
        <v>6</v>
      </c>
      <c r="K844">
        <v>18</v>
      </c>
      <c r="L844">
        <v>751</v>
      </c>
      <c r="M844" t="s">
        <v>36</v>
      </c>
      <c r="N844" t="s">
        <v>29</v>
      </c>
      <c r="O844" t="s">
        <v>16</v>
      </c>
      <c r="P844" t="s">
        <v>34</v>
      </c>
      <c r="Q844" t="str">
        <f t="shared" si="105"/>
        <v/>
      </c>
      <c r="R844" s="5">
        <v>46196</v>
      </c>
      <c r="S844" s="8">
        <f t="shared" si="106"/>
        <v>77.230359520639155</v>
      </c>
      <c r="T844">
        <f t="shared" si="107"/>
        <v>696000</v>
      </c>
      <c r="U844" t="str">
        <f t="shared" si="108"/>
        <v>Mid</v>
      </c>
      <c r="V844" t="str">
        <f t="shared" si="109"/>
        <v>Medium</v>
      </c>
      <c r="W844" t="str">
        <f>IF(S844 &lt; VLOOKUP(E844, Locality_Tier_Benchmarks!A:B, 2, FALSE) * 0.7, "Below Tier Range", "Normal")</f>
        <v>Normal</v>
      </c>
      <c r="X844" t="str">
        <f t="shared" si="110"/>
        <v>Normal</v>
      </c>
      <c r="Y844" t="str">
        <f t="shared" si="111"/>
        <v>Normal</v>
      </c>
      <c r="Z844" t="str">
        <f t="shared" si="104"/>
        <v>Pass</v>
      </c>
    </row>
    <row r="845" spans="1:26" x14ac:dyDescent="0.25">
      <c r="A845" s="2" t="s">
        <v>1703</v>
      </c>
      <c r="B845" t="s">
        <v>17</v>
      </c>
      <c r="C845" t="s">
        <v>512</v>
      </c>
      <c r="D845" s="2" t="str">
        <f>VLOOKUP(C845,Locality_Reference!A:C,2,)</f>
        <v>Central Line</v>
      </c>
      <c r="E845" s="2" t="str">
        <f>VLOOKUP(C845,Locality_Reference!A:C,3,)</f>
        <v>Mid Suburb</v>
      </c>
      <c r="F845" s="2" t="s">
        <v>1749</v>
      </c>
      <c r="G845" s="8">
        <v>67000</v>
      </c>
      <c r="H845">
        <v>2</v>
      </c>
      <c r="I845">
        <v>2</v>
      </c>
      <c r="J845">
        <v>29</v>
      </c>
      <c r="K845">
        <v>58</v>
      </c>
      <c r="L845">
        <v>661</v>
      </c>
      <c r="M845" t="s">
        <v>36</v>
      </c>
      <c r="N845" t="s">
        <v>15</v>
      </c>
      <c r="O845" t="s">
        <v>16</v>
      </c>
      <c r="P845" t="s">
        <v>34</v>
      </c>
      <c r="Q845" t="str">
        <f t="shared" si="105"/>
        <v/>
      </c>
      <c r="R845" s="5">
        <v>46193</v>
      </c>
      <c r="S845" s="8">
        <f t="shared" si="106"/>
        <v>101.36157337367625</v>
      </c>
      <c r="T845">
        <f t="shared" si="107"/>
        <v>804000</v>
      </c>
      <c r="U845" t="str">
        <f t="shared" si="108"/>
        <v>Premium</v>
      </c>
      <c r="V845" t="str">
        <f t="shared" si="109"/>
        <v>Medium</v>
      </c>
      <c r="W845" t="str">
        <f>IF(S845 &lt; VLOOKUP(E845, Locality_Tier_Benchmarks!A:B, 2, FALSE) * 0.7, "Below Tier Range", "Normal")</f>
        <v>Normal</v>
      </c>
      <c r="X845" t="str">
        <f t="shared" si="110"/>
        <v>Normal</v>
      </c>
      <c r="Y845" t="str">
        <f t="shared" si="111"/>
        <v>Normal</v>
      </c>
      <c r="Z845" t="str">
        <f t="shared" si="104"/>
        <v>Pass</v>
      </c>
    </row>
    <row r="846" spans="1:26" x14ac:dyDescent="0.25">
      <c r="A846" s="2" t="s">
        <v>1704</v>
      </c>
      <c r="B846" t="s">
        <v>17</v>
      </c>
      <c r="C846" t="s">
        <v>512</v>
      </c>
      <c r="D846" s="2" t="str">
        <f>VLOOKUP(C846,Locality_Reference!A:C,2,)</f>
        <v>Central Line</v>
      </c>
      <c r="E846" s="2" t="str">
        <f>VLOOKUP(C846,Locality_Reference!A:C,3,)</f>
        <v>Mid Suburb</v>
      </c>
      <c r="F846" s="2" t="s">
        <v>1750</v>
      </c>
      <c r="G846" s="8">
        <v>59000</v>
      </c>
      <c r="H846">
        <v>2</v>
      </c>
      <c r="I846">
        <v>2</v>
      </c>
      <c r="J846">
        <v>12</v>
      </c>
      <c r="K846">
        <v>25</v>
      </c>
      <c r="L846">
        <v>742</v>
      </c>
      <c r="M846" t="s">
        <v>36</v>
      </c>
      <c r="N846" t="s">
        <v>15</v>
      </c>
      <c r="O846" t="s">
        <v>16</v>
      </c>
      <c r="P846" t="s">
        <v>47</v>
      </c>
      <c r="Q846" t="str">
        <f t="shared" si="105"/>
        <v>1</v>
      </c>
      <c r="R846" s="5">
        <v>46200</v>
      </c>
      <c r="S846" s="8">
        <f t="shared" si="106"/>
        <v>79.514824797843673</v>
      </c>
      <c r="T846">
        <f t="shared" si="107"/>
        <v>708000</v>
      </c>
      <c r="U846" t="str">
        <f t="shared" si="108"/>
        <v>Mid</v>
      </c>
      <c r="V846" t="str">
        <f t="shared" si="109"/>
        <v>Medium</v>
      </c>
      <c r="W846" t="str">
        <f>IF(S846 &lt; VLOOKUP(E846, Locality_Tier_Benchmarks!A:B, 2, FALSE) * 0.7, "Below Tier Range", "Normal")</f>
        <v>Normal</v>
      </c>
      <c r="X846" t="str">
        <f t="shared" si="110"/>
        <v>Normal</v>
      </c>
      <c r="Y846" t="str">
        <f t="shared" si="111"/>
        <v>Normal</v>
      </c>
      <c r="Z846" t="str">
        <f t="shared" si="104"/>
        <v>Pass</v>
      </c>
    </row>
    <row r="847" spans="1:26" x14ac:dyDescent="0.25">
      <c r="A847" s="2" t="s">
        <v>1705</v>
      </c>
      <c r="B847" t="s">
        <v>17</v>
      </c>
      <c r="C847" t="s">
        <v>512</v>
      </c>
      <c r="D847" s="2" t="str">
        <f>VLOOKUP(C847,Locality_Reference!A:C,2,)</f>
        <v>Central Line</v>
      </c>
      <c r="E847" s="2" t="str">
        <f>VLOOKUP(C847,Locality_Reference!A:C,3,)</f>
        <v>Mid Suburb</v>
      </c>
      <c r="F847" s="2" t="s">
        <v>1755</v>
      </c>
      <c r="G847" s="8">
        <v>49000</v>
      </c>
      <c r="H847">
        <v>2</v>
      </c>
      <c r="I847">
        <v>2</v>
      </c>
      <c r="J847">
        <v>3</v>
      </c>
      <c r="K847">
        <v>11</v>
      </c>
      <c r="L847">
        <v>650</v>
      </c>
      <c r="M847" t="s">
        <v>36</v>
      </c>
      <c r="N847" t="s">
        <v>15</v>
      </c>
      <c r="O847" t="s">
        <v>16</v>
      </c>
      <c r="P847" t="s">
        <v>23</v>
      </c>
      <c r="Q847" t="str">
        <f t="shared" si="105"/>
        <v>10</v>
      </c>
      <c r="R847" s="5">
        <v>46201</v>
      </c>
      <c r="S847" s="8">
        <f t="shared" si="106"/>
        <v>75.384615384615387</v>
      </c>
      <c r="T847">
        <f t="shared" si="107"/>
        <v>588000</v>
      </c>
      <c r="U847" t="str">
        <f t="shared" si="108"/>
        <v>Mid</v>
      </c>
      <c r="V847" t="str">
        <f t="shared" si="109"/>
        <v>Medium</v>
      </c>
      <c r="W847" t="str">
        <f>IF(S847 &lt; VLOOKUP(E847, Locality_Tier_Benchmarks!A:B, 2, FALSE) * 0.7, "Below Tier Range", "Normal")</f>
        <v>Normal</v>
      </c>
      <c r="X847" t="str">
        <f t="shared" si="110"/>
        <v>Normal</v>
      </c>
      <c r="Y847" t="str">
        <f t="shared" si="111"/>
        <v>Normal</v>
      </c>
      <c r="Z847" t="str">
        <f t="shared" si="104"/>
        <v>Pass</v>
      </c>
    </row>
    <row r="848" spans="1:26" x14ac:dyDescent="0.25">
      <c r="A848" s="2" t="s">
        <v>1706</v>
      </c>
      <c r="B848" t="s">
        <v>17</v>
      </c>
      <c r="C848" t="s">
        <v>512</v>
      </c>
      <c r="D848" s="2" t="str">
        <f>VLOOKUP(C848,Locality_Reference!A:C,2,)</f>
        <v>Central Line</v>
      </c>
      <c r="E848" s="2" t="str">
        <f>VLOOKUP(C848,Locality_Reference!A:C,3,)</f>
        <v>Mid Suburb</v>
      </c>
      <c r="F848" s="2" t="s">
        <v>1756</v>
      </c>
      <c r="G848" s="8">
        <v>60000</v>
      </c>
      <c r="H848">
        <v>3</v>
      </c>
      <c r="I848">
        <v>3</v>
      </c>
      <c r="J848">
        <v>5</v>
      </c>
      <c r="K848">
        <v>12</v>
      </c>
      <c r="L848">
        <v>680</v>
      </c>
      <c r="M848" t="s">
        <v>36</v>
      </c>
      <c r="N848" t="s">
        <v>15</v>
      </c>
      <c r="O848" t="s">
        <v>16</v>
      </c>
      <c r="P848" t="s">
        <v>34</v>
      </c>
      <c r="Q848" t="str">
        <f t="shared" si="105"/>
        <v/>
      </c>
      <c r="R848" s="5">
        <v>46196</v>
      </c>
      <c r="S848" s="8">
        <f t="shared" si="106"/>
        <v>88.235294117647058</v>
      </c>
      <c r="T848">
        <f t="shared" si="107"/>
        <v>720000</v>
      </c>
      <c r="U848" t="str">
        <f t="shared" si="108"/>
        <v>Mid</v>
      </c>
      <c r="V848" t="str">
        <f t="shared" si="109"/>
        <v>Medium</v>
      </c>
      <c r="W848" t="str">
        <f>IF(S848 &lt; VLOOKUP(E848, Locality_Tier_Benchmarks!A:B, 2, FALSE) * 0.7, "Below Tier Range", "Normal")</f>
        <v>Normal</v>
      </c>
      <c r="X848" t="str">
        <f t="shared" si="110"/>
        <v>Normal</v>
      </c>
      <c r="Y848" t="str">
        <f t="shared" si="111"/>
        <v>Normal</v>
      </c>
      <c r="Z848" t="str">
        <f t="shared" si="104"/>
        <v>Pass</v>
      </c>
    </row>
    <row r="849" spans="1:26" x14ac:dyDescent="0.25">
      <c r="A849" s="2" t="s">
        <v>1707</v>
      </c>
      <c r="B849" t="s">
        <v>17</v>
      </c>
      <c r="C849" t="s">
        <v>512</v>
      </c>
      <c r="D849" s="2" t="str">
        <f>VLOOKUP(C849,Locality_Reference!A:C,2,)</f>
        <v>Central Line</v>
      </c>
      <c r="E849" s="2" t="str">
        <f>VLOOKUP(C849,Locality_Reference!A:C,3,)</f>
        <v>Mid Suburb</v>
      </c>
      <c r="F849" s="2" t="s">
        <v>1749</v>
      </c>
      <c r="G849" s="8">
        <v>85000</v>
      </c>
      <c r="H849">
        <v>3</v>
      </c>
      <c r="I849">
        <v>2</v>
      </c>
      <c r="J849">
        <v>10</v>
      </c>
      <c r="K849">
        <v>58</v>
      </c>
      <c r="L849">
        <v>1081</v>
      </c>
      <c r="M849" t="s">
        <v>33</v>
      </c>
      <c r="N849" t="s">
        <v>29</v>
      </c>
      <c r="O849" t="s">
        <v>16</v>
      </c>
      <c r="P849" t="s">
        <v>47</v>
      </c>
      <c r="Q849" t="str">
        <f t="shared" si="105"/>
        <v>1</v>
      </c>
      <c r="R849" s="5">
        <v>46197</v>
      </c>
      <c r="S849" s="8">
        <f t="shared" si="106"/>
        <v>78.630897317298803</v>
      </c>
      <c r="T849">
        <f t="shared" si="107"/>
        <v>1020000</v>
      </c>
      <c r="U849" t="str">
        <f t="shared" si="108"/>
        <v>Premium</v>
      </c>
      <c r="V849" t="str">
        <f t="shared" si="109"/>
        <v>Large</v>
      </c>
      <c r="W849" t="str">
        <f>IF(S849 &lt; VLOOKUP(E849, Locality_Tier_Benchmarks!A:B, 2, FALSE) * 0.7, "Below Tier Range", "Normal")</f>
        <v>Normal</v>
      </c>
      <c r="X849" t="str">
        <f t="shared" si="110"/>
        <v>Normal</v>
      </c>
      <c r="Y849" t="str">
        <f t="shared" si="111"/>
        <v>Normal</v>
      </c>
      <c r="Z849" t="str">
        <f t="shared" si="104"/>
        <v>Pass</v>
      </c>
    </row>
    <row r="850" spans="1:26" x14ac:dyDescent="0.25">
      <c r="A850" s="2" t="s">
        <v>1708</v>
      </c>
      <c r="B850" t="s">
        <v>17</v>
      </c>
      <c r="C850" t="s">
        <v>512</v>
      </c>
      <c r="D850" s="2" t="str">
        <f>VLOOKUP(C850,Locality_Reference!A:C,2,)</f>
        <v>Central Line</v>
      </c>
      <c r="E850" s="2" t="str">
        <f>VLOOKUP(C850,Locality_Reference!A:C,3,)</f>
        <v>Mid Suburb</v>
      </c>
      <c r="F850" s="2" t="s">
        <v>1750</v>
      </c>
      <c r="G850" s="8">
        <v>85000</v>
      </c>
      <c r="H850">
        <v>3</v>
      </c>
      <c r="I850">
        <v>3</v>
      </c>
      <c r="J850">
        <v>14</v>
      </c>
      <c r="K850">
        <v>25</v>
      </c>
      <c r="L850">
        <v>891</v>
      </c>
      <c r="M850" t="s">
        <v>36</v>
      </c>
      <c r="N850" t="s">
        <v>29</v>
      </c>
      <c r="O850" t="s">
        <v>16</v>
      </c>
      <c r="P850" t="s">
        <v>34</v>
      </c>
      <c r="Q850" t="str">
        <f t="shared" si="105"/>
        <v/>
      </c>
      <c r="R850" s="5">
        <v>46182</v>
      </c>
      <c r="S850" s="8">
        <f t="shared" si="106"/>
        <v>95.398428731762067</v>
      </c>
      <c r="T850">
        <f t="shared" si="107"/>
        <v>1020000</v>
      </c>
      <c r="U850" t="str">
        <f t="shared" si="108"/>
        <v>Premium</v>
      </c>
      <c r="V850" t="str">
        <f t="shared" si="109"/>
        <v>Large</v>
      </c>
      <c r="W850" t="str">
        <f>IF(S850 &lt; VLOOKUP(E850, Locality_Tier_Benchmarks!A:B, 2, FALSE) * 0.7, "Below Tier Range", "Normal")</f>
        <v>Normal</v>
      </c>
      <c r="X850" t="str">
        <f t="shared" si="110"/>
        <v>Normal</v>
      </c>
      <c r="Y850" t="str">
        <f t="shared" si="111"/>
        <v>Normal</v>
      </c>
      <c r="Z850" t="str">
        <f t="shared" si="104"/>
        <v>Pass</v>
      </c>
    </row>
    <row r="851" spans="1:26" x14ac:dyDescent="0.25">
      <c r="A851" s="2" t="s">
        <v>1709</v>
      </c>
      <c r="B851" t="s">
        <v>17</v>
      </c>
      <c r="C851" t="s">
        <v>512</v>
      </c>
      <c r="D851" s="2" t="str">
        <f>VLOOKUP(C851,Locality_Reference!A:C,2,)</f>
        <v>Central Line</v>
      </c>
      <c r="E851" s="2" t="str">
        <f>VLOOKUP(C851,Locality_Reference!A:C,3,)</f>
        <v>Mid Suburb</v>
      </c>
      <c r="F851" s="2" t="s">
        <v>1753</v>
      </c>
      <c r="G851" s="8">
        <v>100000</v>
      </c>
      <c r="H851">
        <v>3</v>
      </c>
      <c r="I851">
        <v>3</v>
      </c>
      <c r="J851">
        <v>5</v>
      </c>
      <c r="K851">
        <v>21</v>
      </c>
      <c r="L851">
        <v>1500</v>
      </c>
      <c r="M851" t="s">
        <v>14</v>
      </c>
      <c r="N851" t="s">
        <v>1289</v>
      </c>
      <c r="O851" t="s">
        <v>16</v>
      </c>
      <c r="P851" t="s">
        <v>34</v>
      </c>
      <c r="Q851" t="str">
        <f t="shared" si="105"/>
        <v/>
      </c>
      <c r="R851" s="5">
        <v>46197</v>
      </c>
      <c r="S851" s="8">
        <f t="shared" si="106"/>
        <v>66.666666666666671</v>
      </c>
      <c r="T851">
        <f t="shared" si="107"/>
        <v>1200000</v>
      </c>
      <c r="U851" t="str">
        <f t="shared" si="108"/>
        <v>Premium</v>
      </c>
      <c r="V851" t="str">
        <f t="shared" si="109"/>
        <v>Spacious</v>
      </c>
      <c r="W851" t="str">
        <f>IF(S851 &lt; VLOOKUP(E851, Locality_Tier_Benchmarks!A:B, 2, FALSE) * 0.7, "Below Tier Range", "Normal")</f>
        <v>Normal</v>
      </c>
      <c r="X851" t="str">
        <f t="shared" si="110"/>
        <v>Normal</v>
      </c>
      <c r="Y851" t="str">
        <f t="shared" si="111"/>
        <v>Normal</v>
      </c>
      <c r="Z851" t="str">
        <f t="shared" si="104"/>
        <v>Pass</v>
      </c>
    </row>
    <row r="852" spans="1:26" x14ac:dyDescent="0.25">
      <c r="A852" s="2" t="s">
        <v>1710</v>
      </c>
      <c r="B852" t="s">
        <v>17</v>
      </c>
      <c r="C852" t="s">
        <v>512</v>
      </c>
      <c r="D852" s="2" t="str">
        <f>VLOOKUP(C852,Locality_Reference!A:C,2,)</f>
        <v>Central Line</v>
      </c>
      <c r="E852" s="2" t="str">
        <f>VLOOKUP(C852,Locality_Reference!A:C,3,)</f>
        <v>Mid Suburb</v>
      </c>
      <c r="F852" s="2" t="s">
        <v>1757</v>
      </c>
      <c r="G852" s="8">
        <v>85000</v>
      </c>
      <c r="H852">
        <v>3</v>
      </c>
      <c r="I852">
        <v>3</v>
      </c>
      <c r="J852">
        <v>8</v>
      </c>
      <c r="K852">
        <v>12</v>
      </c>
      <c r="L852">
        <v>1100</v>
      </c>
      <c r="M852" t="s">
        <v>14</v>
      </c>
      <c r="N852" t="s">
        <v>15</v>
      </c>
      <c r="O852" t="s">
        <v>16</v>
      </c>
      <c r="P852" t="s">
        <v>52</v>
      </c>
      <c r="Q852" t="str">
        <f t="shared" si="105"/>
        <v>7.5</v>
      </c>
      <c r="R852" s="5">
        <v>46167</v>
      </c>
      <c r="S852" s="8">
        <f t="shared" si="106"/>
        <v>77.272727272727266</v>
      </c>
      <c r="T852">
        <f t="shared" si="107"/>
        <v>1020000</v>
      </c>
      <c r="U852" t="str">
        <f t="shared" si="108"/>
        <v>Premium</v>
      </c>
      <c r="V852" t="str">
        <f t="shared" si="109"/>
        <v>Large</v>
      </c>
      <c r="W852" t="str">
        <f>IF(S852 &lt; VLOOKUP(E852, Locality_Tier_Benchmarks!A:B, 2, FALSE) * 0.7, "Below Tier Range", "Normal")</f>
        <v>Normal</v>
      </c>
      <c r="X852" t="str">
        <f t="shared" si="110"/>
        <v>Normal</v>
      </c>
      <c r="Y852" t="str">
        <f t="shared" si="111"/>
        <v>Normal</v>
      </c>
      <c r="Z852" t="str">
        <f t="shared" si="104"/>
        <v>Pass</v>
      </c>
    </row>
    <row r="853" spans="1:26" x14ac:dyDescent="0.25">
      <c r="A853" s="2" t="s">
        <v>1711</v>
      </c>
      <c r="B853" t="s">
        <v>366</v>
      </c>
      <c r="C853" t="s">
        <v>512</v>
      </c>
      <c r="D853" s="2" t="str">
        <f>VLOOKUP(C853,Locality_Reference!A:C,2,)</f>
        <v>Central Line</v>
      </c>
      <c r="E853" s="2" t="str">
        <f>VLOOKUP(C853,Locality_Reference!A:C,3,)</f>
        <v>Mid Suburb</v>
      </c>
      <c r="F853" s="2" t="s">
        <v>1758</v>
      </c>
      <c r="G853" s="8">
        <v>85000</v>
      </c>
      <c r="H853">
        <v>3</v>
      </c>
      <c r="I853">
        <v>2</v>
      </c>
      <c r="J853">
        <v>12</v>
      </c>
      <c r="K853">
        <v>48</v>
      </c>
      <c r="L853">
        <v>983</v>
      </c>
      <c r="M853" t="s">
        <v>36</v>
      </c>
      <c r="N853" t="s">
        <v>29</v>
      </c>
      <c r="O853" t="s">
        <v>16</v>
      </c>
      <c r="P853" t="s">
        <v>34</v>
      </c>
      <c r="Q853" t="str">
        <f t="shared" si="105"/>
        <v/>
      </c>
      <c r="R853" s="5">
        <v>46201</v>
      </c>
      <c r="S853" s="8">
        <f t="shared" si="106"/>
        <v>86.469989827060019</v>
      </c>
      <c r="T853">
        <f t="shared" si="107"/>
        <v>1020000</v>
      </c>
      <c r="U853" t="str">
        <f t="shared" si="108"/>
        <v>Premium</v>
      </c>
      <c r="V853" t="str">
        <f t="shared" si="109"/>
        <v>Large</v>
      </c>
      <c r="W853" t="str">
        <f>IF(S853 &lt; VLOOKUP(E853, Locality_Tier_Benchmarks!A:B, 2, FALSE) * 0.7, "Below Tier Range", "Normal")</f>
        <v>Normal</v>
      </c>
      <c r="X853" t="str">
        <f t="shared" si="110"/>
        <v>Normal</v>
      </c>
      <c r="Y853" t="str">
        <f t="shared" si="111"/>
        <v>Normal</v>
      </c>
      <c r="Z853" t="str">
        <f t="shared" si="104"/>
        <v>Pass</v>
      </c>
    </row>
    <row r="854" spans="1:26" x14ac:dyDescent="0.25">
      <c r="A854" s="2" t="s">
        <v>1712</v>
      </c>
      <c r="B854" t="s">
        <v>17</v>
      </c>
      <c r="C854" t="s">
        <v>1759</v>
      </c>
      <c r="D854" s="2" t="str">
        <f>VLOOKUP(C854,Locality_Reference!A:C,2,)</f>
        <v>Central Line</v>
      </c>
      <c r="E854" s="2" t="str">
        <f>VLOOKUP(C854,Locality_Reference!A:C,3,)</f>
        <v>Far Suburb</v>
      </c>
      <c r="F854" s="2" t="s">
        <v>1898</v>
      </c>
      <c r="G854" s="8">
        <v>34000</v>
      </c>
      <c r="H854">
        <v>1</v>
      </c>
      <c r="I854">
        <v>1</v>
      </c>
      <c r="J854">
        <v>10</v>
      </c>
      <c r="K854">
        <v>22</v>
      </c>
      <c r="L854">
        <v>320</v>
      </c>
      <c r="M854" t="s">
        <v>36</v>
      </c>
      <c r="N854" t="s">
        <v>15</v>
      </c>
      <c r="O854" t="s">
        <v>16</v>
      </c>
      <c r="P854" t="s">
        <v>31</v>
      </c>
      <c r="Q854" t="str">
        <f t="shared" si="105"/>
        <v>3</v>
      </c>
      <c r="R854" s="5">
        <v>46200</v>
      </c>
      <c r="S854" s="8">
        <f t="shared" si="106"/>
        <v>106.25</v>
      </c>
      <c r="T854">
        <f t="shared" si="107"/>
        <v>408000</v>
      </c>
      <c r="U854" t="str">
        <f t="shared" si="108"/>
        <v>Mid</v>
      </c>
      <c r="V854" t="str">
        <f t="shared" si="109"/>
        <v>Compact</v>
      </c>
      <c r="W854" t="str">
        <f>IF(S854 &lt; VLOOKUP(E854, Locality_Tier_Benchmarks!A:B, 2, FALSE) * 0.7, "Below Tier Range", "Normal")</f>
        <v>Normal</v>
      </c>
      <c r="X854" t="str">
        <f t="shared" si="110"/>
        <v>Normal</v>
      </c>
      <c r="Y854" t="str">
        <f t="shared" si="111"/>
        <v>Normal</v>
      </c>
      <c r="Z854" t="str">
        <f t="shared" si="104"/>
        <v>Pass</v>
      </c>
    </row>
    <row r="855" spans="1:26" x14ac:dyDescent="0.25">
      <c r="A855" s="2" t="s">
        <v>1713</v>
      </c>
      <c r="B855" t="s">
        <v>17</v>
      </c>
      <c r="C855" t="s">
        <v>1759</v>
      </c>
      <c r="D855" s="2" t="str">
        <f>VLOOKUP(C855,Locality_Reference!A:C,2,)</f>
        <v>Central Line</v>
      </c>
      <c r="E855" s="2" t="str">
        <f>VLOOKUP(C855,Locality_Reference!A:C,3,)</f>
        <v>Far Suburb</v>
      </c>
      <c r="F855" s="2" t="s">
        <v>1899</v>
      </c>
      <c r="G855" s="8">
        <v>28000</v>
      </c>
      <c r="H855">
        <v>1</v>
      </c>
      <c r="I855">
        <v>1</v>
      </c>
      <c r="J855">
        <v>3</v>
      </c>
      <c r="K855">
        <v>4</v>
      </c>
      <c r="L855">
        <v>450</v>
      </c>
      <c r="M855" t="s">
        <v>33</v>
      </c>
      <c r="N855" t="s">
        <v>15</v>
      </c>
      <c r="O855" t="s">
        <v>16</v>
      </c>
      <c r="P855" t="s">
        <v>34</v>
      </c>
      <c r="Q855" t="str">
        <f t="shared" si="105"/>
        <v/>
      </c>
      <c r="R855" s="5">
        <v>46194</v>
      </c>
      <c r="S855" s="8">
        <f t="shared" si="106"/>
        <v>62.222222222222221</v>
      </c>
      <c r="T855">
        <f t="shared" si="107"/>
        <v>336000</v>
      </c>
      <c r="U855" t="str">
        <f t="shared" si="108"/>
        <v>Budget</v>
      </c>
      <c r="V855" t="str">
        <f t="shared" si="109"/>
        <v>Compact</v>
      </c>
      <c r="W855" t="str">
        <f>IF(S855 &lt; VLOOKUP(E855, Locality_Tier_Benchmarks!A:B, 2, FALSE) * 0.7, "Below Tier Range", "Normal")</f>
        <v>Normal</v>
      </c>
      <c r="X855" t="str">
        <f t="shared" si="110"/>
        <v>Normal</v>
      </c>
      <c r="Y855" t="str">
        <f t="shared" si="111"/>
        <v>Normal</v>
      </c>
      <c r="Z855" t="str">
        <f t="shared" si="104"/>
        <v>Pass</v>
      </c>
    </row>
    <row r="856" spans="1:26" x14ac:dyDescent="0.25">
      <c r="A856" s="2" t="s">
        <v>1714</v>
      </c>
      <c r="B856" t="s">
        <v>17</v>
      </c>
      <c r="C856" t="s">
        <v>1759</v>
      </c>
      <c r="D856" s="2" t="str">
        <f>VLOOKUP(C856,Locality_Reference!A:C,2,)</f>
        <v>Central Line</v>
      </c>
      <c r="E856" s="2" t="str">
        <f>VLOOKUP(C856,Locality_Reference!A:C,3,)</f>
        <v>Far Suburb</v>
      </c>
      <c r="F856" s="2" t="s">
        <v>1900</v>
      </c>
      <c r="G856" s="8">
        <v>36000</v>
      </c>
      <c r="H856">
        <v>1</v>
      </c>
      <c r="I856">
        <v>2</v>
      </c>
      <c r="J856">
        <v>4</v>
      </c>
      <c r="K856">
        <v>4</v>
      </c>
      <c r="L856">
        <v>475</v>
      </c>
      <c r="M856" t="s">
        <v>14</v>
      </c>
      <c r="N856" t="s">
        <v>29</v>
      </c>
      <c r="O856" t="s">
        <v>16</v>
      </c>
      <c r="P856" t="s">
        <v>34</v>
      </c>
      <c r="Q856" t="str">
        <f t="shared" si="105"/>
        <v/>
      </c>
      <c r="R856" s="5">
        <v>46191</v>
      </c>
      <c r="S856" s="8">
        <f t="shared" si="106"/>
        <v>75.78947368421052</v>
      </c>
      <c r="T856">
        <f t="shared" si="107"/>
        <v>432000</v>
      </c>
      <c r="U856" t="str">
        <f t="shared" si="108"/>
        <v>Mid</v>
      </c>
      <c r="V856" t="str">
        <f t="shared" si="109"/>
        <v>Compact</v>
      </c>
      <c r="W856" t="str">
        <f>IF(S856 &lt; VLOOKUP(E856, Locality_Tier_Benchmarks!A:B, 2, FALSE) * 0.7, "Below Tier Range", "Normal")</f>
        <v>Normal</v>
      </c>
      <c r="X856" t="str">
        <f t="shared" si="110"/>
        <v>Normal</v>
      </c>
      <c r="Y856" t="str">
        <f t="shared" si="111"/>
        <v>Normal</v>
      </c>
      <c r="Z856" t="str">
        <f t="shared" si="104"/>
        <v>Pass</v>
      </c>
    </row>
    <row r="857" spans="1:26" x14ac:dyDescent="0.25">
      <c r="A857" s="2" t="s">
        <v>1715</v>
      </c>
      <c r="B857" t="s">
        <v>17</v>
      </c>
      <c r="C857" t="s">
        <v>1759</v>
      </c>
      <c r="D857" s="2" t="str">
        <f>VLOOKUP(C857,Locality_Reference!A:C,2,)</f>
        <v>Central Line</v>
      </c>
      <c r="E857" s="2" t="str">
        <f>VLOOKUP(C857,Locality_Reference!A:C,3,)</f>
        <v>Far Suburb</v>
      </c>
      <c r="F857" s="2" t="s">
        <v>1901</v>
      </c>
      <c r="G857" s="8">
        <v>32000</v>
      </c>
      <c r="H857">
        <v>1</v>
      </c>
      <c r="I857">
        <v>1</v>
      </c>
      <c r="J857">
        <v>4</v>
      </c>
      <c r="K857">
        <v>10</v>
      </c>
      <c r="L857">
        <v>450</v>
      </c>
      <c r="M857" t="s">
        <v>14</v>
      </c>
      <c r="N857" t="s">
        <v>15</v>
      </c>
      <c r="O857" t="s">
        <v>16</v>
      </c>
      <c r="P857" t="s">
        <v>34</v>
      </c>
      <c r="Q857" t="str">
        <f t="shared" si="105"/>
        <v/>
      </c>
      <c r="R857" s="5">
        <v>46199</v>
      </c>
      <c r="S857" s="8">
        <f t="shared" si="106"/>
        <v>71.111111111111114</v>
      </c>
      <c r="T857">
        <f t="shared" si="107"/>
        <v>384000</v>
      </c>
      <c r="U857" t="str">
        <f t="shared" si="108"/>
        <v>Mid</v>
      </c>
      <c r="V857" t="str">
        <f t="shared" si="109"/>
        <v>Compact</v>
      </c>
      <c r="W857" t="str">
        <f>IF(S857 &lt; VLOOKUP(E857, Locality_Tier_Benchmarks!A:B, 2, FALSE) * 0.7, "Below Tier Range", "Normal")</f>
        <v>Normal</v>
      </c>
      <c r="X857" t="str">
        <f t="shared" si="110"/>
        <v>Normal</v>
      </c>
      <c r="Y857" t="str">
        <f t="shared" si="111"/>
        <v>Normal</v>
      </c>
      <c r="Z857" t="str">
        <f t="shared" si="104"/>
        <v>Pass</v>
      </c>
    </row>
    <row r="858" spans="1:26" x14ac:dyDescent="0.25">
      <c r="A858" s="2" t="s">
        <v>1716</v>
      </c>
      <c r="B858" t="s">
        <v>17</v>
      </c>
      <c r="C858" t="s">
        <v>1759</v>
      </c>
      <c r="D858" s="2" t="str">
        <f>VLOOKUP(C858,Locality_Reference!A:C,2,)</f>
        <v>Central Line</v>
      </c>
      <c r="E858" s="2" t="str">
        <f>VLOOKUP(C858,Locality_Reference!A:C,3,)</f>
        <v>Far Suburb</v>
      </c>
      <c r="F858" s="2" t="s">
        <v>1902</v>
      </c>
      <c r="G858" s="8">
        <v>32000</v>
      </c>
      <c r="H858">
        <v>1</v>
      </c>
      <c r="I858">
        <v>2</v>
      </c>
      <c r="J858">
        <v>12</v>
      </c>
      <c r="K858">
        <v>18</v>
      </c>
      <c r="L858">
        <v>419</v>
      </c>
      <c r="M858" t="s">
        <v>36</v>
      </c>
      <c r="N858" t="s">
        <v>29</v>
      </c>
      <c r="O858" t="s">
        <v>16</v>
      </c>
      <c r="P858" t="s">
        <v>34</v>
      </c>
      <c r="Q858" t="str">
        <f t="shared" si="105"/>
        <v/>
      </c>
      <c r="R858" s="5">
        <v>46195</v>
      </c>
      <c r="S858" s="8">
        <f t="shared" si="106"/>
        <v>76.372315035799517</v>
      </c>
      <c r="T858">
        <f t="shared" si="107"/>
        <v>384000</v>
      </c>
      <c r="U858" t="str">
        <f t="shared" si="108"/>
        <v>Mid</v>
      </c>
      <c r="V858" t="str">
        <f t="shared" si="109"/>
        <v>Compact</v>
      </c>
      <c r="W858" t="str">
        <f>IF(S858 &lt; VLOOKUP(E858, Locality_Tier_Benchmarks!A:B, 2, FALSE) * 0.7, "Below Tier Range", "Normal")</f>
        <v>Normal</v>
      </c>
      <c r="X858" t="str">
        <f t="shared" si="110"/>
        <v>Normal</v>
      </c>
      <c r="Y858" t="str">
        <f t="shared" si="111"/>
        <v>Normal</v>
      </c>
      <c r="Z858" t="str">
        <f t="shared" si="104"/>
        <v>Pass</v>
      </c>
    </row>
    <row r="859" spans="1:26" x14ac:dyDescent="0.25">
      <c r="A859" s="2" t="s">
        <v>1717</v>
      </c>
      <c r="B859" t="s">
        <v>17</v>
      </c>
      <c r="C859" t="s">
        <v>1759</v>
      </c>
      <c r="D859" s="2" t="str">
        <f>VLOOKUP(C859,Locality_Reference!A:C,2,)</f>
        <v>Central Line</v>
      </c>
      <c r="E859" s="2" t="str">
        <f>VLOOKUP(C859,Locality_Reference!A:C,3,)</f>
        <v>Far Suburb</v>
      </c>
      <c r="F859" s="2" t="s">
        <v>1903</v>
      </c>
      <c r="G859" s="8">
        <v>62000</v>
      </c>
      <c r="H859">
        <v>2</v>
      </c>
      <c r="I859">
        <v>2</v>
      </c>
      <c r="J859">
        <v>8</v>
      </c>
      <c r="K859">
        <v>22</v>
      </c>
      <c r="L859">
        <v>850</v>
      </c>
      <c r="M859" t="s">
        <v>14</v>
      </c>
      <c r="N859" t="s">
        <v>15</v>
      </c>
      <c r="O859" t="s">
        <v>16</v>
      </c>
      <c r="P859" t="s">
        <v>52</v>
      </c>
      <c r="Q859" t="str">
        <f t="shared" si="105"/>
        <v>7.5</v>
      </c>
      <c r="R859" s="5">
        <v>46199</v>
      </c>
      <c r="S859" s="8">
        <f t="shared" si="106"/>
        <v>72.941176470588232</v>
      </c>
      <c r="T859">
        <f t="shared" si="107"/>
        <v>744000</v>
      </c>
      <c r="U859" t="str">
        <f t="shared" si="108"/>
        <v>Premium</v>
      </c>
      <c r="V859" t="str">
        <f t="shared" si="109"/>
        <v>Large</v>
      </c>
      <c r="W859" t="str">
        <f>IF(S859 &lt; VLOOKUP(E859, Locality_Tier_Benchmarks!A:B, 2, FALSE) * 0.7, "Below Tier Range", "Normal")</f>
        <v>Normal</v>
      </c>
      <c r="X859" t="str">
        <f t="shared" si="110"/>
        <v>Normal</v>
      </c>
      <c r="Y859" t="str">
        <f t="shared" si="111"/>
        <v>Normal</v>
      </c>
      <c r="Z859" t="str">
        <f t="shared" si="104"/>
        <v>Pass</v>
      </c>
    </row>
    <row r="860" spans="1:26" x14ac:dyDescent="0.25">
      <c r="A860" s="2" t="s">
        <v>1718</v>
      </c>
      <c r="B860" t="s">
        <v>17</v>
      </c>
      <c r="C860" t="s">
        <v>1759</v>
      </c>
      <c r="D860" s="2" t="str">
        <f>VLOOKUP(C860,Locality_Reference!A:C,2,)</f>
        <v>Central Line</v>
      </c>
      <c r="E860" s="2" t="str">
        <f>VLOOKUP(C860,Locality_Reference!A:C,3,)</f>
        <v>Far Suburb</v>
      </c>
      <c r="F860" s="2" t="s">
        <v>1904</v>
      </c>
      <c r="G860" s="8">
        <v>45000</v>
      </c>
      <c r="H860">
        <v>2</v>
      </c>
      <c r="I860">
        <v>2</v>
      </c>
      <c r="J860">
        <v>3</v>
      </c>
      <c r="K860">
        <v>11</v>
      </c>
      <c r="L860">
        <v>650</v>
      </c>
      <c r="M860" t="s">
        <v>33</v>
      </c>
      <c r="N860" t="s">
        <v>15</v>
      </c>
      <c r="O860" t="s">
        <v>16</v>
      </c>
      <c r="P860" t="s">
        <v>47</v>
      </c>
      <c r="Q860" t="str">
        <f t="shared" si="105"/>
        <v>1</v>
      </c>
      <c r="R860" s="5">
        <v>46165</v>
      </c>
      <c r="S860" s="8">
        <f t="shared" si="106"/>
        <v>69.230769230769226</v>
      </c>
      <c r="T860">
        <f t="shared" si="107"/>
        <v>540000</v>
      </c>
      <c r="U860" t="str">
        <f t="shared" si="108"/>
        <v>Mid</v>
      </c>
      <c r="V860" t="str">
        <f t="shared" si="109"/>
        <v>Medium</v>
      </c>
      <c r="W860" t="str">
        <f>IF(S860 &lt; VLOOKUP(E860, Locality_Tier_Benchmarks!A:B, 2, FALSE) * 0.7, "Below Tier Range", "Normal")</f>
        <v>Normal</v>
      </c>
      <c r="X860" t="str">
        <f t="shared" si="110"/>
        <v>Normal</v>
      </c>
      <c r="Y860" t="str">
        <f t="shared" si="111"/>
        <v>Normal</v>
      </c>
      <c r="Z860" t="str">
        <f t="shared" si="104"/>
        <v>Pass</v>
      </c>
    </row>
    <row r="861" spans="1:26" x14ac:dyDescent="0.25">
      <c r="A861" s="2" t="s">
        <v>1719</v>
      </c>
      <c r="B861" t="s">
        <v>17</v>
      </c>
      <c r="C861" t="s">
        <v>1759</v>
      </c>
      <c r="D861" s="2" t="str">
        <f>VLOOKUP(C861,Locality_Reference!A:C,2,)</f>
        <v>Central Line</v>
      </c>
      <c r="E861" s="2" t="str">
        <f>VLOOKUP(C861,Locality_Reference!A:C,3,)</f>
        <v>Far Suburb</v>
      </c>
      <c r="F861" s="2" t="s">
        <v>1905</v>
      </c>
      <c r="G861" s="8">
        <v>45000</v>
      </c>
      <c r="H861">
        <v>2</v>
      </c>
      <c r="I861">
        <v>2</v>
      </c>
      <c r="J861">
        <v>2</v>
      </c>
      <c r="K861">
        <v>9</v>
      </c>
      <c r="L861">
        <v>650</v>
      </c>
      <c r="M861" t="s">
        <v>33</v>
      </c>
      <c r="N861" t="s">
        <v>15</v>
      </c>
      <c r="O861" t="s">
        <v>16</v>
      </c>
      <c r="P861" t="s">
        <v>47</v>
      </c>
      <c r="Q861" t="str">
        <f t="shared" si="105"/>
        <v>1</v>
      </c>
      <c r="R861" s="5">
        <v>46158</v>
      </c>
      <c r="S861" s="8">
        <f t="shared" si="106"/>
        <v>69.230769230769226</v>
      </c>
      <c r="T861">
        <f t="shared" si="107"/>
        <v>540000</v>
      </c>
      <c r="U861" t="str">
        <f t="shared" si="108"/>
        <v>Mid</v>
      </c>
      <c r="V861" t="str">
        <f t="shared" si="109"/>
        <v>Medium</v>
      </c>
      <c r="W861" t="str">
        <f>IF(S861 &lt; VLOOKUP(E861, Locality_Tier_Benchmarks!A:B, 2, FALSE) * 0.7, "Below Tier Range", "Normal")</f>
        <v>Normal</v>
      </c>
      <c r="X861" t="str">
        <f t="shared" si="110"/>
        <v>Normal</v>
      </c>
      <c r="Y861" t="str">
        <f t="shared" si="111"/>
        <v>Normal</v>
      </c>
      <c r="Z861" t="str">
        <f t="shared" si="104"/>
        <v>Pass</v>
      </c>
    </row>
    <row r="862" spans="1:26" x14ac:dyDescent="0.25">
      <c r="A862" s="2" t="s">
        <v>1720</v>
      </c>
      <c r="B862" t="s">
        <v>17</v>
      </c>
      <c r="C862" t="s">
        <v>1759</v>
      </c>
      <c r="D862" s="2" t="str">
        <f>VLOOKUP(C862,Locality_Reference!A:C,2,)</f>
        <v>Central Line</v>
      </c>
      <c r="E862" s="2" t="str">
        <f>VLOOKUP(C862,Locality_Reference!A:C,3,)</f>
        <v>Far Suburb</v>
      </c>
      <c r="F862" s="2" t="s">
        <v>1906</v>
      </c>
      <c r="G862" s="8">
        <v>45000</v>
      </c>
      <c r="H862">
        <v>2</v>
      </c>
      <c r="I862">
        <v>2</v>
      </c>
      <c r="J862">
        <v>2</v>
      </c>
      <c r="K862">
        <v>7</v>
      </c>
      <c r="L862">
        <v>700</v>
      </c>
      <c r="M862" t="s">
        <v>36</v>
      </c>
      <c r="N862" t="s">
        <v>29</v>
      </c>
      <c r="O862" t="s">
        <v>16</v>
      </c>
      <c r="P862" t="s">
        <v>34</v>
      </c>
      <c r="Q862" t="str">
        <f t="shared" si="105"/>
        <v/>
      </c>
      <c r="R862" s="5">
        <v>46182</v>
      </c>
      <c r="S862" s="8">
        <f t="shared" si="106"/>
        <v>64.285714285714292</v>
      </c>
      <c r="T862">
        <f t="shared" si="107"/>
        <v>540000</v>
      </c>
      <c r="U862" t="str">
        <f t="shared" si="108"/>
        <v>Mid</v>
      </c>
      <c r="V862" t="str">
        <f t="shared" si="109"/>
        <v>Medium</v>
      </c>
      <c r="W862" t="str">
        <f>IF(S862 &lt; VLOOKUP(E862, Locality_Tier_Benchmarks!A:B, 2, FALSE) * 0.7, "Below Tier Range", "Normal")</f>
        <v>Normal</v>
      </c>
      <c r="X862" t="str">
        <f t="shared" si="110"/>
        <v>Normal</v>
      </c>
      <c r="Y862" t="str">
        <f t="shared" si="111"/>
        <v>Normal</v>
      </c>
      <c r="Z862" t="str">
        <f t="shared" si="104"/>
        <v>Pass</v>
      </c>
    </row>
    <row r="863" spans="1:26" x14ac:dyDescent="0.25">
      <c r="A863" s="2" t="s">
        <v>1721</v>
      </c>
      <c r="B863" t="s">
        <v>17</v>
      </c>
      <c r="C863" t="s">
        <v>1759</v>
      </c>
      <c r="D863" s="2" t="str">
        <f>VLOOKUP(C863,Locality_Reference!A:C,2,)</f>
        <v>Central Line</v>
      </c>
      <c r="E863" s="2" t="str">
        <f>VLOOKUP(C863,Locality_Reference!A:C,3,)</f>
        <v>Far Suburb</v>
      </c>
      <c r="F863" s="2" t="s">
        <v>1907</v>
      </c>
      <c r="G863" s="8">
        <v>39900</v>
      </c>
      <c r="H863">
        <v>2</v>
      </c>
      <c r="I863">
        <v>2</v>
      </c>
      <c r="J863">
        <v>4</v>
      </c>
      <c r="K863">
        <v>18</v>
      </c>
      <c r="L863">
        <v>800</v>
      </c>
      <c r="M863" t="s">
        <v>33</v>
      </c>
      <c r="N863" t="s">
        <v>15</v>
      </c>
      <c r="O863" t="s">
        <v>16</v>
      </c>
      <c r="P863" t="s">
        <v>31</v>
      </c>
      <c r="Q863" t="str">
        <f t="shared" si="105"/>
        <v>3</v>
      </c>
      <c r="R863" s="5">
        <v>46158</v>
      </c>
      <c r="S863" s="8">
        <f t="shared" si="106"/>
        <v>49.875</v>
      </c>
      <c r="T863">
        <f t="shared" si="107"/>
        <v>478800</v>
      </c>
      <c r="U863" t="str">
        <f t="shared" si="108"/>
        <v>Mid</v>
      </c>
      <c r="V863" t="str">
        <f t="shared" si="109"/>
        <v>Medium</v>
      </c>
      <c r="W863" t="str">
        <f>IF(S863 &lt; VLOOKUP(E863, Locality_Tier_Benchmarks!A:B, 2, FALSE) * 0.7, "Below Tier Range", "Normal")</f>
        <v>Normal</v>
      </c>
      <c r="X863" t="str">
        <f t="shared" si="110"/>
        <v>Normal</v>
      </c>
      <c r="Y863" t="str">
        <f t="shared" si="111"/>
        <v>Normal</v>
      </c>
      <c r="Z863" t="str">
        <f t="shared" si="104"/>
        <v>Pass</v>
      </c>
    </row>
    <row r="864" spans="1:26" x14ac:dyDescent="0.25">
      <c r="A864" s="2" t="s">
        <v>1722</v>
      </c>
      <c r="B864" t="s">
        <v>17</v>
      </c>
      <c r="C864" t="s">
        <v>1759</v>
      </c>
      <c r="D864" s="2" t="str">
        <f>VLOOKUP(C864,Locality_Reference!A:C,2,)</f>
        <v>Central Line</v>
      </c>
      <c r="E864" s="2" t="str">
        <f>VLOOKUP(C864,Locality_Reference!A:C,3,)</f>
        <v>Far Suburb</v>
      </c>
      <c r="F864" s="2" t="s">
        <v>1908</v>
      </c>
      <c r="G864" s="8">
        <v>80000</v>
      </c>
      <c r="H864">
        <v>3</v>
      </c>
      <c r="I864">
        <v>3</v>
      </c>
      <c r="J864">
        <v>6</v>
      </c>
      <c r="K864">
        <v>7</v>
      </c>
      <c r="L864">
        <v>1004</v>
      </c>
      <c r="M864" t="s">
        <v>33</v>
      </c>
      <c r="N864" t="s">
        <v>15</v>
      </c>
      <c r="O864" t="s">
        <v>16</v>
      </c>
      <c r="P864" t="s">
        <v>52</v>
      </c>
      <c r="Q864" t="str">
        <f t="shared" si="105"/>
        <v>7.5</v>
      </c>
      <c r="R864" s="5">
        <v>46203</v>
      </c>
      <c r="S864" s="8">
        <f t="shared" si="106"/>
        <v>79.681274900398407</v>
      </c>
      <c r="T864">
        <f t="shared" si="107"/>
        <v>960000</v>
      </c>
      <c r="U864" t="str">
        <f t="shared" si="108"/>
        <v>Premium</v>
      </c>
      <c r="V864" t="str">
        <f t="shared" si="109"/>
        <v>Large</v>
      </c>
      <c r="W864" t="str">
        <f>IF(S864 &lt; VLOOKUP(E864, Locality_Tier_Benchmarks!A:B, 2, FALSE) * 0.7, "Below Tier Range", "Normal")</f>
        <v>Normal</v>
      </c>
      <c r="X864" t="str">
        <f t="shared" si="110"/>
        <v>Normal</v>
      </c>
      <c r="Y864" t="str">
        <f t="shared" si="111"/>
        <v>Normal</v>
      </c>
      <c r="Z864" t="str">
        <f t="shared" si="104"/>
        <v>Pass</v>
      </c>
    </row>
    <row r="865" spans="1:26" x14ac:dyDescent="0.25">
      <c r="A865" s="2" t="s">
        <v>1761</v>
      </c>
      <c r="B865" t="s">
        <v>17</v>
      </c>
      <c r="C865" t="s">
        <v>1759</v>
      </c>
      <c r="D865" s="2" t="str">
        <f>VLOOKUP(C865,Locality_Reference!A:C,2,)</f>
        <v>Central Line</v>
      </c>
      <c r="E865" s="2" t="str">
        <f>VLOOKUP(C865,Locality_Reference!A:C,3,)</f>
        <v>Far Suburb</v>
      </c>
      <c r="F865" s="2" t="s">
        <v>1909</v>
      </c>
      <c r="G865" s="8">
        <v>115000</v>
      </c>
      <c r="H865">
        <v>3</v>
      </c>
      <c r="I865">
        <v>3</v>
      </c>
      <c r="J865">
        <v>5</v>
      </c>
      <c r="K865">
        <v>7</v>
      </c>
      <c r="L865">
        <v>1250</v>
      </c>
      <c r="M865" t="s">
        <v>14</v>
      </c>
      <c r="N865" t="s">
        <v>15</v>
      </c>
      <c r="O865" t="s">
        <v>16</v>
      </c>
      <c r="P865" t="s">
        <v>31</v>
      </c>
      <c r="Q865" t="str">
        <f t="shared" si="105"/>
        <v>3</v>
      </c>
      <c r="R865" s="5">
        <v>46168</v>
      </c>
      <c r="S865" s="8">
        <f t="shared" si="106"/>
        <v>92</v>
      </c>
      <c r="T865">
        <f t="shared" si="107"/>
        <v>1380000</v>
      </c>
      <c r="U865" t="str">
        <f t="shared" si="108"/>
        <v>Luxury</v>
      </c>
      <c r="V865" t="str">
        <f t="shared" si="109"/>
        <v>Spacious</v>
      </c>
      <c r="W865" t="str">
        <f>IF(S865 &lt; VLOOKUP(E865, Locality_Tier_Benchmarks!A:B, 2, FALSE) * 0.7, "Below Tier Range", "Normal")</f>
        <v>Normal</v>
      </c>
      <c r="X865" t="str">
        <f t="shared" si="110"/>
        <v>Normal</v>
      </c>
      <c r="Y865" t="str">
        <f t="shared" si="111"/>
        <v>Normal</v>
      </c>
      <c r="Z865" t="str">
        <f t="shared" si="104"/>
        <v>Pass</v>
      </c>
    </row>
    <row r="866" spans="1:26" x14ac:dyDescent="0.25">
      <c r="A866" s="2" t="s">
        <v>1762</v>
      </c>
      <c r="B866" t="s">
        <v>366</v>
      </c>
      <c r="C866" t="s">
        <v>1759</v>
      </c>
      <c r="D866" s="2" t="str">
        <f>VLOOKUP(C866,Locality_Reference!A:C,2,)</f>
        <v>Central Line</v>
      </c>
      <c r="E866" s="2" t="str">
        <f>VLOOKUP(C866,Locality_Reference!A:C,3,)</f>
        <v>Far Suburb</v>
      </c>
      <c r="F866" s="2" t="s">
        <v>1910</v>
      </c>
      <c r="G866" s="8">
        <v>100000</v>
      </c>
      <c r="H866">
        <v>3</v>
      </c>
      <c r="I866">
        <v>3</v>
      </c>
      <c r="J866">
        <v>3</v>
      </c>
      <c r="K866">
        <v>36</v>
      </c>
      <c r="L866">
        <v>1080</v>
      </c>
      <c r="M866" t="s">
        <v>33</v>
      </c>
      <c r="N866" t="s">
        <v>29</v>
      </c>
      <c r="O866" t="s">
        <v>16</v>
      </c>
      <c r="P866" t="s">
        <v>34</v>
      </c>
      <c r="Q866" t="str">
        <f t="shared" si="105"/>
        <v/>
      </c>
      <c r="R866" s="5">
        <v>46201</v>
      </c>
      <c r="S866" s="8">
        <f t="shared" si="106"/>
        <v>92.592592592592595</v>
      </c>
      <c r="T866">
        <f t="shared" si="107"/>
        <v>1200000</v>
      </c>
      <c r="U866" t="str">
        <f t="shared" si="108"/>
        <v>Premium</v>
      </c>
      <c r="V866" t="str">
        <f t="shared" si="109"/>
        <v>Large</v>
      </c>
      <c r="W866" t="str">
        <f>IF(S866 &lt; VLOOKUP(E866, Locality_Tier_Benchmarks!A:B, 2, FALSE) * 0.7, "Below Tier Range", "Normal")</f>
        <v>Normal</v>
      </c>
      <c r="X866" t="str">
        <f t="shared" si="110"/>
        <v>Normal</v>
      </c>
      <c r="Y866" t="str">
        <f t="shared" si="111"/>
        <v>Normal</v>
      </c>
      <c r="Z866" t="str">
        <f t="shared" si="104"/>
        <v>Pass</v>
      </c>
    </row>
    <row r="867" spans="1:26" x14ac:dyDescent="0.25">
      <c r="A867" s="2" t="s">
        <v>1763</v>
      </c>
      <c r="B867" t="s">
        <v>366</v>
      </c>
      <c r="C867" t="s">
        <v>1759</v>
      </c>
      <c r="D867" s="2" t="str">
        <f>VLOOKUP(C867,Locality_Reference!A:C,2,)</f>
        <v>Central Line</v>
      </c>
      <c r="E867" s="2" t="str">
        <f>VLOOKUP(C867,Locality_Reference!A:C,3,)</f>
        <v>Far Suburb</v>
      </c>
      <c r="F867" s="2" t="s">
        <v>1746</v>
      </c>
      <c r="G867" s="8">
        <v>98000</v>
      </c>
      <c r="H867">
        <v>3</v>
      </c>
      <c r="I867">
        <v>3</v>
      </c>
      <c r="J867">
        <v>27</v>
      </c>
      <c r="K867">
        <v>50</v>
      </c>
      <c r="L867">
        <v>813</v>
      </c>
      <c r="M867" t="s">
        <v>36</v>
      </c>
      <c r="N867" t="s">
        <v>29</v>
      </c>
      <c r="O867" t="s">
        <v>16</v>
      </c>
      <c r="P867" t="s">
        <v>34</v>
      </c>
      <c r="Q867" t="str">
        <f t="shared" si="105"/>
        <v/>
      </c>
      <c r="R867" s="5">
        <v>46203</v>
      </c>
      <c r="S867" s="8">
        <f t="shared" si="106"/>
        <v>120.54120541205413</v>
      </c>
      <c r="T867">
        <f t="shared" si="107"/>
        <v>1176000</v>
      </c>
      <c r="U867" t="str">
        <f t="shared" si="108"/>
        <v>Premium</v>
      </c>
      <c r="V867" t="str">
        <f t="shared" si="109"/>
        <v>Large</v>
      </c>
      <c r="W867" t="str">
        <f>IF(S867 &lt; VLOOKUP(E867, Locality_Tier_Benchmarks!A:B, 2, FALSE) * 0.7, "Below Tier Range", "Normal")</f>
        <v>Normal</v>
      </c>
      <c r="X867" t="str">
        <f t="shared" si="110"/>
        <v>Normal</v>
      </c>
      <c r="Y867" t="str">
        <f t="shared" si="111"/>
        <v>Normal</v>
      </c>
      <c r="Z867" t="str">
        <f t="shared" si="104"/>
        <v>Pass</v>
      </c>
    </row>
    <row r="868" spans="1:26" x14ac:dyDescent="0.25">
      <c r="A868" s="2" t="s">
        <v>1764</v>
      </c>
      <c r="B868" t="s">
        <v>366</v>
      </c>
      <c r="C868" t="s">
        <v>1759</v>
      </c>
      <c r="D868" s="2" t="str">
        <f>VLOOKUP(C868,Locality_Reference!A:C,2,)</f>
        <v>Central Line</v>
      </c>
      <c r="E868" s="2" t="str">
        <f>VLOOKUP(C868,Locality_Reference!A:C,3,)</f>
        <v>Far Suburb</v>
      </c>
      <c r="F868" s="2" t="s">
        <v>1911</v>
      </c>
      <c r="G868" s="8">
        <v>48000</v>
      </c>
      <c r="H868">
        <v>3</v>
      </c>
      <c r="I868">
        <v>3</v>
      </c>
      <c r="J868">
        <v>17</v>
      </c>
      <c r="K868">
        <v>17</v>
      </c>
      <c r="L868">
        <v>1350</v>
      </c>
      <c r="M868" t="s">
        <v>14</v>
      </c>
      <c r="N868" t="s">
        <v>29</v>
      </c>
      <c r="O868" t="s">
        <v>16</v>
      </c>
      <c r="P868" t="s">
        <v>52</v>
      </c>
      <c r="Q868" t="str">
        <f t="shared" si="105"/>
        <v>7.5</v>
      </c>
      <c r="R868" s="5">
        <v>46159</v>
      </c>
      <c r="S868" s="8">
        <f t="shared" si="106"/>
        <v>35.555555555555557</v>
      </c>
      <c r="T868">
        <f t="shared" si="107"/>
        <v>576000</v>
      </c>
      <c r="U868" t="str">
        <f t="shared" si="108"/>
        <v>Mid</v>
      </c>
      <c r="V868" t="str">
        <f t="shared" si="109"/>
        <v>Spacious</v>
      </c>
      <c r="W868" t="str">
        <f>IF(S868 &lt; VLOOKUP(E868, Locality_Tier_Benchmarks!A:B, 2, FALSE) * 0.7, "Below Tier Range", "Normal")</f>
        <v>Normal</v>
      </c>
      <c r="X868" t="str">
        <f t="shared" si="110"/>
        <v>Normal</v>
      </c>
      <c r="Y868" t="str">
        <f t="shared" si="111"/>
        <v>Normal</v>
      </c>
      <c r="Z868" t="str">
        <f t="shared" si="104"/>
        <v>Pass</v>
      </c>
    </row>
    <row r="869" spans="1:26" x14ac:dyDescent="0.25">
      <c r="A869" s="2" t="s">
        <v>1765</v>
      </c>
      <c r="B869" t="s">
        <v>17</v>
      </c>
      <c r="C869" t="s">
        <v>1760</v>
      </c>
      <c r="D869" s="2" t="str">
        <f>VLOOKUP(C869,Locality_Reference!A:C,2,)</f>
        <v>Central Line</v>
      </c>
      <c r="E869" s="2" t="str">
        <f>VLOOKUP(C869,Locality_Reference!A:C,3,)</f>
        <v>Far Suburb</v>
      </c>
      <c r="F869" s="2" t="s">
        <v>1912</v>
      </c>
      <c r="G869" s="8">
        <v>34000</v>
      </c>
      <c r="H869">
        <v>1</v>
      </c>
      <c r="I869">
        <v>2</v>
      </c>
      <c r="J869">
        <v>4</v>
      </c>
      <c r="K869">
        <v>7</v>
      </c>
      <c r="L869">
        <v>430</v>
      </c>
      <c r="M869" t="s">
        <v>36</v>
      </c>
      <c r="N869" t="s">
        <v>15</v>
      </c>
      <c r="O869" t="s">
        <v>16</v>
      </c>
      <c r="P869" t="s">
        <v>34</v>
      </c>
      <c r="Q869" t="str">
        <f t="shared" si="105"/>
        <v/>
      </c>
      <c r="R869" s="5">
        <v>46196</v>
      </c>
      <c r="S869" s="8">
        <f t="shared" si="106"/>
        <v>79.069767441860463</v>
      </c>
      <c r="T869">
        <f t="shared" si="107"/>
        <v>408000</v>
      </c>
      <c r="U869" t="str">
        <f t="shared" si="108"/>
        <v>Mid</v>
      </c>
      <c r="V869" t="str">
        <f t="shared" si="109"/>
        <v>Compact</v>
      </c>
      <c r="W869" t="str">
        <f>IF(S869 &lt; VLOOKUP(E869, Locality_Tier_Benchmarks!A:B, 2, FALSE) * 0.7, "Below Tier Range", "Normal")</f>
        <v>Normal</v>
      </c>
      <c r="X869" t="str">
        <f t="shared" si="110"/>
        <v>Normal</v>
      </c>
      <c r="Y869" t="str">
        <f t="shared" si="111"/>
        <v>Normal</v>
      </c>
      <c r="Z869" t="str">
        <f t="shared" si="104"/>
        <v>Pass</v>
      </c>
    </row>
    <row r="870" spans="1:26" x14ac:dyDescent="0.25">
      <c r="A870" s="2" t="s">
        <v>1766</v>
      </c>
      <c r="B870" t="s">
        <v>17</v>
      </c>
      <c r="C870" t="s">
        <v>1760</v>
      </c>
      <c r="D870" s="2" t="str">
        <f>VLOOKUP(C870,Locality_Reference!A:C,2,)</f>
        <v>Central Line</v>
      </c>
      <c r="E870" s="2" t="str">
        <f>VLOOKUP(C870,Locality_Reference!A:C,3,)</f>
        <v>Far Suburb</v>
      </c>
      <c r="F870" s="2" t="s">
        <v>1913</v>
      </c>
      <c r="G870" s="8">
        <v>36000</v>
      </c>
      <c r="H870">
        <v>1</v>
      </c>
      <c r="I870">
        <v>2</v>
      </c>
      <c r="J870">
        <v>4</v>
      </c>
      <c r="K870">
        <v>7</v>
      </c>
      <c r="L870">
        <v>450</v>
      </c>
      <c r="M870" t="s">
        <v>14</v>
      </c>
      <c r="N870" t="s">
        <v>29</v>
      </c>
      <c r="O870" t="s">
        <v>16</v>
      </c>
      <c r="P870" t="s">
        <v>34</v>
      </c>
      <c r="Q870" t="str">
        <f t="shared" si="105"/>
        <v/>
      </c>
      <c r="R870" s="5">
        <v>46202</v>
      </c>
      <c r="S870" s="8">
        <f t="shared" si="106"/>
        <v>80</v>
      </c>
      <c r="T870">
        <f t="shared" si="107"/>
        <v>432000</v>
      </c>
      <c r="U870" t="str">
        <f t="shared" si="108"/>
        <v>Mid</v>
      </c>
      <c r="V870" t="str">
        <f t="shared" si="109"/>
        <v>Compact</v>
      </c>
      <c r="W870" t="str">
        <f>IF(S870 &lt; VLOOKUP(E870, Locality_Tier_Benchmarks!A:B, 2, FALSE) * 0.7, "Below Tier Range", "Normal")</f>
        <v>Normal</v>
      </c>
      <c r="X870" t="str">
        <f t="shared" si="110"/>
        <v>Normal</v>
      </c>
      <c r="Y870" t="str">
        <f t="shared" si="111"/>
        <v>Normal</v>
      </c>
      <c r="Z870" t="str">
        <f t="shared" si="104"/>
        <v>Pass</v>
      </c>
    </row>
    <row r="871" spans="1:26" x14ac:dyDescent="0.25">
      <c r="A871" s="2" t="s">
        <v>1767</v>
      </c>
      <c r="B871" t="s">
        <v>17</v>
      </c>
      <c r="C871" t="s">
        <v>1760</v>
      </c>
      <c r="D871" s="2" t="str">
        <f>VLOOKUP(C871,Locality_Reference!A:C,2,)</f>
        <v>Central Line</v>
      </c>
      <c r="E871" s="2" t="str">
        <f>VLOOKUP(C871,Locality_Reference!A:C,3,)</f>
        <v>Far Suburb</v>
      </c>
      <c r="F871" s="2" t="s">
        <v>1914</v>
      </c>
      <c r="G871" s="8">
        <v>25000</v>
      </c>
      <c r="H871">
        <v>1</v>
      </c>
      <c r="I871">
        <v>1</v>
      </c>
      <c r="J871">
        <v>1</v>
      </c>
      <c r="K871">
        <v>3</v>
      </c>
      <c r="L871">
        <v>450</v>
      </c>
      <c r="M871" t="s">
        <v>36</v>
      </c>
      <c r="N871" t="s">
        <v>15</v>
      </c>
      <c r="O871" t="s">
        <v>16</v>
      </c>
      <c r="P871" t="s">
        <v>34</v>
      </c>
      <c r="Q871" t="str">
        <f t="shared" si="105"/>
        <v/>
      </c>
      <c r="R871" s="5">
        <v>46199</v>
      </c>
      <c r="S871" s="8">
        <f t="shared" si="106"/>
        <v>55.555555555555557</v>
      </c>
      <c r="T871">
        <f t="shared" si="107"/>
        <v>300000</v>
      </c>
      <c r="U871" t="str">
        <f t="shared" si="108"/>
        <v>Budget</v>
      </c>
      <c r="V871" t="str">
        <f t="shared" si="109"/>
        <v>Compact</v>
      </c>
      <c r="W871" t="str">
        <f>IF(S871 &lt; VLOOKUP(E871, Locality_Tier_Benchmarks!A:B, 2, FALSE) * 0.7, "Below Tier Range", "Normal")</f>
        <v>Normal</v>
      </c>
      <c r="X871" t="str">
        <f t="shared" si="110"/>
        <v>Normal</v>
      </c>
      <c r="Y871" t="str">
        <f t="shared" si="111"/>
        <v>Normal</v>
      </c>
      <c r="Z871" t="str">
        <f t="shared" si="104"/>
        <v>Pass</v>
      </c>
    </row>
    <row r="872" spans="1:26" x14ac:dyDescent="0.25">
      <c r="A872" s="2" t="s">
        <v>1768</v>
      </c>
      <c r="B872" t="s">
        <v>17</v>
      </c>
      <c r="C872" t="s">
        <v>1760</v>
      </c>
      <c r="D872" s="2" t="str">
        <f>VLOOKUP(C872,Locality_Reference!A:C,2,)</f>
        <v>Central Line</v>
      </c>
      <c r="E872" s="2" t="str">
        <f>VLOOKUP(C872,Locality_Reference!A:C,3,)</f>
        <v>Far Suburb</v>
      </c>
      <c r="F872" s="2" t="s">
        <v>1915</v>
      </c>
      <c r="G872" s="8">
        <v>30000</v>
      </c>
      <c r="H872">
        <v>1</v>
      </c>
      <c r="I872">
        <v>2</v>
      </c>
      <c r="J872">
        <v>3</v>
      </c>
      <c r="K872">
        <v>7</v>
      </c>
      <c r="L872">
        <v>450</v>
      </c>
      <c r="M872" t="s">
        <v>33</v>
      </c>
      <c r="N872" t="s">
        <v>29</v>
      </c>
      <c r="O872" t="s">
        <v>16</v>
      </c>
      <c r="P872" t="s">
        <v>23</v>
      </c>
      <c r="Q872" t="str">
        <f t="shared" si="105"/>
        <v>10</v>
      </c>
      <c r="R872" s="5">
        <v>46184</v>
      </c>
      <c r="S872" s="8">
        <f t="shared" si="106"/>
        <v>66.666666666666671</v>
      </c>
      <c r="T872">
        <f t="shared" si="107"/>
        <v>360000</v>
      </c>
      <c r="U872" t="str">
        <f t="shared" si="108"/>
        <v>Budget</v>
      </c>
      <c r="V872" t="str">
        <f t="shared" si="109"/>
        <v>Compact</v>
      </c>
      <c r="W872" t="str">
        <f>IF(S872 &lt; VLOOKUP(E872, Locality_Tier_Benchmarks!A:B, 2, FALSE) * 0.7, "Below Tier Range", "Normal")</f>
        <v>Normal</v>
      </c>
      <c r="X872" t="str">
        <f t="shared" si="110"/>
        <v>Normal</v>
      </c>
      <c r="Y872" t="str">
        <f t="shared" si="111"/>
        <v>Normal</v>
      </c>
      <c r="Z872" t="str">
        <f t="shared" si="104"/>
        <v>Pass</v>
      </c>
    </row>
    <row r="873" spans="1:26" x14ac:dyDescent="0.25">
      <c r="A873" s="2" t="s">
        <v>1769</v>
      </c>
      <c r="B873" t="s">
        <v>17</v>
      </c>
      <c r="C873" t="s">
        <v>1760</v>
      </c>
      <c r="D873" s="2" t="str">
        <f>VLOOKUP(C873,Locality_Reference!A:C,2,)</f>
        <v>Central Line</v>
      </c>
      <c r="E873" s="2" t="str">
        <f>VLOOKUP(C873,Locality_Reference!A:C,3,)</f>
        <v>Far Suburb</v>
      </c>
      <c r="F873" s="2" t="s">
        <v>1916</v>
      </c>
      <c r="G873" s="8">
        <v>26000</v>
      </c>
      <c r="H873">
        <v>1</v>
      </c>
      <c r="I873">
        <v>1</v>
      </c>
      <c r="J873">
        <v>9</v>
      </c>
      <c r="K873">
        <v>14</v>
      </c>
      <c r="L873">
        <v>370</v>
      </c>
      <c r="M873" t="s">
        <v>36</v>
      </c>
      <c r="N873" t="s">
        <v>29</v>
      </c>
      <c r="O873" t="s">
        <v>16</v>
      </c>
      <c r="P873" t="s">
        <v>34</v>
      </c>
      <c r="Q873" t="str">
        <f t="shared" si="105"/>
        <v/>
      </c>
      <c r="R873" s="5">
        <v>46199</v>
      </c>
      <c r="S873" s="8">
        <f t="shared" si="106"/>
        <v>70.270270270270274</v>
      </c>
      <c r="T873">
        <f t="shared" si="107"/>
        <v>312000</v>
      </c>
      <c r="U873" t="str">
        <f t="shared" si="108"/>
        <v>Budget</v>
      </c>
      <c r="V873" t="str">
        <f t="shared" si="109"/>
        <v>Compact</v>
      </c>
      <c r="W873" t="str">
        <f>IF(S873 &lt; VLOOKUP(E873, Locality_Tier_Benchmarks!A:B, 2, FALSE) * 0.7, "Below Tier Range", "Normal")</f>
        <v>Normal</v>
      </c>
      <c r="X873" t="str">
        <f t="shared" si="110"/>
        <v>Normal</v>
      </c>
      <c r="Y873" t="str">
        <f t="shared" si="111"/>
        <v>Normal</v>
      </c>
      <c r="Z873" t="str">
        <f t="shared" si="104"/>
        <v>Pass</v>
      </c>
    </row>
    <row r="874" spans="1:26" x14ac:dyDescent="0.25">
      <c r="A874" s="2" t="s">
        <v>1770</v>
      </c>
      <c r="B874" t="s">
        <v>17</v>
      </c>
      <c r="C874" t="s">
        <v>1760</v>
      </c>
      <c r="D874" s="2" t="str">
        <f>VLOOKUP(C874,Locality_Reference!A:C,2,)</f>
        <v>Central Line</v>
      </c>
      <c r="E874" s="2" t="str">
        <f>VLOOKUP(C874,Locality_Reference!A:C,3,)</f>
        <v>Far Suburb</v>
      </c>
      <c r="F874" s="2" t="s">
        <v>1917</v>
      </c>
      <c r="G874" s="8">
        <v>63000</v>
      </c>
      <c r="H874">
        <v>2</v>
      </c>
      <c r="I874">
        <v>2</v>
      </c>
      <c r="J874">
        <v>19</v>
      </c>
      <c r="K874">
        <v>36</v>
      </c>
      <c r="L874">
        <v>800</v>
      </c>
      <c r="M874" t="s">
        <v>36</v>
      </c>
      <c r="N874" t="s">
        <v>29</v>
      </c>
      <c r="O874" t="s">
        <v>16</v>
      </c>
      <c r="P874" t="s">
        <v>34</v>
      </c>
      <c r="Q874" t="str">
        <f t="shared" si="105"/>
        <v/>
      </c>
      <c r="R874" s="5">
        <v>46161</v>
      </c>
      <c r="S874" s="8">
        <f t="shared" si="106"/>
        <v>78.75</v>
      </c>
      <c r="T874">
        <f t="shared" si="107"/>
        <v>756000</v>
      </c>
      <c r="U874" t="str">
        <f t="shared" si="108"/>
        <v>Premium</v>
      </c>
      <c r="V874" t="str">
        <f t="shared" si="109"/>
        <v>Medium</v>
      </c>
      <c r="W874" t="str">
        <f>IF(S874 &lt; VLOOKUP(E874, Locality_Tier_Benchmarks!A:B, 2, FALSE) * 0.7, "Below Tier Range", "Normal")</f>
        <v>Normal</v>
      </c>
      <c r="X874" t="str">
        <f t="shared" si="110"/>
        <v>Normal</v>
      </c>
      <c r="Y874" t="str">
        <f t="shared" si="111"/>
        <v>Normal</v>
      </c>
      <c r="Z874" t="str">
        <f t="shared" si="104"/>
        <v>Pass</v>
      </c>
    </row>
    <row r="875" spans="1:26" x14ac:dyDescent="0.25">
      <c r="A875" s="2" t="s">
        <v>1771</v>
      </c>
      <c r="B875" t="s">
        <v>17</v>
      </c>
      <c r="C875" t="s">
        <v>1760</v>
      </c>
      <c r="D875" s="2" t="str">
        <f>VLOOKUP(C875,Locality_Reference!A:C,2,)</f>
        <v>Central Line</v>
      </c>
      <c r="E875" s="2" t="str">
        <f>VLOOKUP(C875,Locality_Reference!A:C,3,)</f>
        <v>Far Suburb</v>
      </c>
      <c r="F875" s="2" t="s">
        <v>1918</v>
      </c>
      <c r="G875" s="8">
        <v>55000</v>
      </c>
      <c r="H875">
        <v>2</v>
      </c>
      <c r="I875">
        <v>2</v>
      </c>
      <c r="J875">
        <v>16</v>
      </c>
      <c r="K875">
        <v>23</v>
      </c>
      <c r="L875">
        <v>665</v>
      </c>
      <c r="M875" t="s">
        <v>33</v>
      </c>
      <c r="N875" t="s">
        <v>15</v>
      </c>
      <c r="O875" t="s">
        <v>16</v>
      </c>
      <c r="P875" t="s">
        <v>34</v>
      </c>
      <c r="Q875" t="str">
        <f t="shared" si="105"/>
        <v/>
      </c>
      <c r="R875" s="5">
        <v>46190</v>
      </c>
      <c r="S875" s="8">
        <f t="shared" si="106"/>
        <v>82.706766917293237</v>
      </c>
      <c r="T875">
        <f t="shared" si="107"/>
        <v>660000</v>
      </c>
      <c r="U875" t="str">
        <f t="shared" si="108"/>
        <v>Mid</v>
      </c>
      <c r="V875" t="str">
        <f t="shared" si="109"/>
        <v>Medium</v>
      </c>
      <c r="W875" t="str">
        <f>IF(S875 &lt; VLOOKUP(E875, Locality_Tier_Benchmarks!A:B, 2, FALSE) * 0.7, "Below Tier Range", "Normal")</f>
        <v>Normal</v>
      </c>
      <c r="X875" t="str">
        <f t="shared" si="110"/>
        <v>Normal</v>
      </c>
      <c r="Y875" t="str">
        <f t="shared" si="111"/>
        <v>Normal</v>
      </c>
      <c r="Z875" t="str">
        <f t="shared" si="104"/>
        <v>Pass</v>
      </c>
    </row>
    <row r="876" spans="1:26" x14ac:dyDescent="0.25">
      <c r="A876" s="2" t="s">
        <v>1772</v>
      </c>
      <c r="B876" t="s">
        <v>17</v>
      </c>
      <c r="C876" t="s">
        <v>1760</v>
      </c>
      <c r="D876" s="2" t="str">
        <f>VLOOKUP(C876,Locality_Reference!A:C,2,)</f>
        <v>Central Line</v>
      </c>
      <c r="E876" s="2" t="str">
        <f>VLOOKUP(C876,Locality_Reference!A:C,3,)</f>
        <v>Far Suburb</v>
      </c>
      <c r="F876" s="2" t="s">
        <v>1919</v>
      </c>
      <c r="G876" s="8">
        <v>45000</v>
      </c>
      <c r="H876">
        <v>2</v>
      </c>
      <c r="I876">
        <v>2</v>
      </c>
      <c r="J876">
        <v>10</v>
      </c>
      <c r="K876">
        <v>22</v>
      </c>
      <c r="L876">
        <v>550</v>
      </c>
      <c r="M876" t="s">
        <v>36</v>
      </c>
      <c r="N876" t="s">
        <v>29</v>
      </c>
      <c r="O876" t="s">
        <v>16</v>
      </c>
      <c r="P876" t="s">
        <v>34</v>
      </c>
      <c r="Q876" t="str">
        <f t="shared" si="105"/>
        <v/>
      </c>
      <c r="R876" s="5">
        <v>46199</v>
      </c>
      <c r="S876" s="8">
        <f t="shared" si="106"/>
        <v>81.818181818181813</v>
      </c>
      <c r="T876">
        <f t="shared" si="107"/>
        <v>540000</v>
      </c>
      <c r="U876" t="str">
        <f t="shared" si="108"/>
        <v>Mid</v>
      </c>
      <c r="V876" t="str">
        <f t="shared" si="109"/>
        <v>Medium</v>
      </c>
      <c r="W876" t="str">
        <f>IF(S876 &lt; VLOOKUP(E876, Locality_Tier_Benchmarks!A:B, 2, FALSE) * 0.7, "Below Tier Range", "Normal")</f>
        <v>Normal</v>
      </c>
      <c r="X876" t="str">
        <f t="shared" si="110"/>
        <v>Normal</v>
      </c>
      <c r="Y876" t="str">
        <f t="shared" si="111"/>
        <v>Normal</v>
      </c>
      <c r="Z876" t="str">
        <f t="shared" si="104"/>
        <v>Pass</v>
      </c>
    </row>
    <row r="877" spans="1:26" x14ac:dyDescent="0.25">
      <c r="A877" s="2" t="s">
        <v>1773</v>
      </c>
      <c r="B877" t="s">
        <v>17</v>
      </c>
      <c r="C877" t="s">
        <v>1760</v>
      </c>
      <c r="D877" s="2" t="str">
        <f>VLOOKUP(C877,Locality_Reference!A:C,2,)</f>
        <v>Central Line</v>
      </c>
      <c r="E877" s="2" t="str">
        <f>VLOOKUP(C877,Locality_Reference!A:C,3,)</f>
        <v>Far Suburb</v>
      </c>
      <c r="F877" s="2" t="s">
        <v>1920</v>
      </c>
      <c r="G877" s="8">
        <v>45000</v>
      </c>
      <c r="H877">
        <v>2</v>
      </c>
      <c r="I877">
        <v>2</v>
      </c>
      <c r="J877">
        <v>16</v>
      </c>
      <c r="K877">
        <v>22</v>
      </c>
      <c r="L877">
        <v>576</v>
      </c>
      <c r="M877" t="s">
        <v>36</v>
      </c>
      <c r="N877" t="s">
        <v>29</v>
      </c>
      <c r="O877" t="s">
        <v>16</v>
      </c>
      <c r="P877" t="s">
        <v>34</v>
      </c>
      <c r="Q877" t="str">
        <f t="shared" si="105"/>
        <v/>
      </c>
      <c r="R877" s="5">
        <v>46200</v>
      </c>
      <c r="S877" s="8">
        <f t="shared" si="106"/>
        <v>78.125</v>
      </c>
      <c r="T877">
        <f t="shared" si="107"/>
        <v>540000</v>
      </c>
      <c r="U877" t="str">
        <f t="shared" si="108"/>
        <v>Mid</v>
      </c>
      <c r="V877" t="str">
        <f t="shared" si="109"/>
        <v>Medium</v>
      </c>
      <c r="W877" t="str">
        <f>IF(S877 &lt; VLOOKUP(E877, Locality_Tier_Benchmarks!A:B, 2, FALSE) * 0.7, "Below Tier Range", "Normal")</f>
        <v>Normal</v>
      </c>
      <c r="X877" t="str">
        <f t="shared" si="110"/>
        <v>Normal</v>
      </c>
      <c r="Y877" t="str">
        <f t="shared" si="111"/>
        <v>Normal</v>
      </c>
      <c r="Z877" t="str">
        <f t="shared" si="104"/>
        <v>Pass</v>
      </c>
    </row>
    <row r="878" spans="1:26" x14ac:dyDescent="0.25">
      <c r="A878" s="2" t="s">
        <v>1774</v>
      </c>
      <c r="B878" t="s">
        <v>17</v>
      </c>
      <c r="C878" t="s">
        <v>1760</v>
      </c>
      <c r="D878" s="2" t="str">
        <f>VLOOKUP(C878,Locality_Reference!A:C,2,)</f>
        <v>Central Line</v>
      </c>
      <c r="E878" s="2" t="str">
        <f>VLOOKUP(C878,Locality_Reference!A:C,3,)</f>
        <v>Far Suburb</v>
      </c>
      <c r="F878" s="2" t="s">
        <v>1921</v>
      </c>
      <c r="G878" s="8">
        <v>55000</v>
      </c>
      <c r="H878">
        <v>3</v>
      </c>
      <c r="I878">
        <v>2</v>
      </c>
      <c r="J878">
        <v>6</v>
      </c>
      <c r="K878">
        <v>22</v>
      </c>
      <c r="L878">
        <v>800</v>
      </c>
      <c r="M878" t="s">
        <v>36</v>
      </c>
      <c r="N878" t="s">
        <v>15</v>
      </c>
      <c r="O878" t="s">
        <v>16</v>
      </c>
      <c r="P878" t="s">
        <v>23</v>
      </c>
      <c r="Q878" t="str">
        <f t="shared" si="105"/>
        <v>10</v>
      </c>
      <c r="R878" s="5">
        <v>46150</v>
      </c>
      <c r="S878" s="8">
        <f t="shared" si="106"/>
        <v>68.75</v>
      </c>
      <c r="T878">
        <f t="shared" si="107"/>
        <v>660000</v>
      </c>
      <c r="U878" t="str">
        <f t="shared" si="108"/>
        <v>Mid</v>
      </c>
      <c r="V878" t="str">
        <f t="shared" si="109"/>
        <v>Medium</v>
      </c>
      <c r="W878" t="str">
        <f>IF(S878 &lt; VLOOKUP(E878, Locality_Tier_Benchmarks!A:B, 2, FALSE) * 0.7, "Below Tier Range", "Normal")</f>
        <v>Normal</v>
      </c>
      <c r="X878" t="str">
        <f t="shared" si="110"/>
        <v>Normal</v>
      </c>
      <c r="Y878" t="str">
        <f t="shared" si="111"/>
        <v>Normal</v>
      </c>
      <c r="Z878" t="str">
        <f t="shared" si="104"/>
        <v>Pass</v>
      </c>
    </row>
    <row r="879" spans="1:26" x14ac:dyDescent="0.25">
      <c r="A879" s="2" t="s">
        <v>1775</v>
      </c>
      <c r="B879" t="s">
        <v>17</v>
      </c>
      <c r="C879" t="s">
        <v>1760</v>
      </c>
      <c r="D879" s="2" t="str">
        <f>VLOOKUP(C879,Locality_Reference!A:C,2,)</f>
        <v>Central Line</v>
      </c>
      <c r="E879" s="2" t="str">
        <f>VLOOKUP(C879,Locality_Reference!A:C,3,)</f>
        <v>Far Suburb</v>
      </c>
      <c r="F879" s="2" t="s">
        <v>1920</v>
      </c>
      <c r="G879" s="8">
        <v>70000</v>
      </c>
      <c r="H879">
        <v>3</v>
      </c>
      <c r="I879">
        <v>3</v>
      </c>
      <c r="J879">
        <v>21</v>
      </c>
      <c r="K879">
        <v>22</v>
      </c>
      <c r="L879">
        <v>1000</v>
      </c>
      <c r="M879" t="s">
        <v>36</v>
      </c>
      <c r="N879" t="s">
        <v>29</v>
      </c>
      <c r="O879" t="s">
        <v>16</v>
      </c>
      <c r="P879" t="s">
        <v>34</v>
      </c>
      <c r="Q879" t="str">
        <f t="shared" si="105"/>
        <v/>
      </c>
      <c r="R879" s="5">
        <v>46200</v>
      </c>
      <c r="S879" s="8">
        <f t="shared" si="106"/>
        <v>70</v>
      </c>
      <c r="T879">
        <f t="shared" si="107"/>
        <v>840000</v>
      </c>
      <c r="U879" t="str">
        <f t="shared" si="108"/>
        <v>Premium</v>
      </c>
      <c r="V879" t="str">
        <f t="shared" si="109"/>
        <v>Large</v>
      </c>
      <c r="W879" t="str">
        <f>IF(S879 &lt; VLOOKUP(E879, Locality_Tier_Benchmarks!A:B, 2, FALSE) * 0.7, "Below Tier Range", "Normal")</f>
        <v>Normal</v>
      </c>
      <c r="X879" t="str">
        <f t="shared" si="110"/>
        <v>Normal</v>
      </c>
      <c r="Y879" t="str">
        <f t="shared" si="111"/>
        <v>Normal</v>
      </c>
      <c r="Z879" t="str">
        <f t="shared" si="104"/>
        <v>Pass</v>
      </c>
    </row>
    <row r="880" spans="1:26" x14ac:dyDescent="0.25">
      <c r="A880" s="2" t="s">
        <v>1776</v>
      </c>
      <c r="B880" t="s">
        <v>17</v>
      </c>
      <c r="C880" t="s">
        <v>1760</v>
      </c>
      <c r="D880" s="2" t="str">
        <f>VLOOKUP(C880,Locality_Reference!A:C,2,)</f>
        <v>Central Line</v>
      </c>
      <c r="E880" s="2" t="str">
        <f>VLOOKUP(C880,Locality_Reference!A:C,3,)</f>
        <v>Far Suburb</v>
      </c>
      <c r="F880" s="2" t="s">
        <v>1918</v>
      </c>
      <c r="G880" s="8">
        <v>69000</v>
      </c>
      <c r="H880">
        <v>3</v>
      </c>
      <c r="I880">
        <v>3</v>
      </c>
      <c r="J880">
        <v>3</v>
      </c>
      <c r="K880">
        <v>23</v>
      </c>
      <c r="L880">
        <v>1000</v>
      </c>
      <c r="M880" t="s">
        <v>36</v>
      </c>
      <c r="N880" t="s">
        <v>29</v>
      </c>
      <c r="O880" t="s">
        <v>16</v>
      </c>
      <c r="P880" t="s">
        <v>34</v>
      </c>
      <c r="Q880" t="str">
        <f t="shared" si="105"/>
        <v/>
      </c>
      <c r="R880" s="5">
        <v>46195</v>
      </c>
      <c r="S880" s="8">
        <f t="shared" si="106"/>
        <v>69</v>
      </c>
      <c r="T880">
        <f t="shared" si="107"/>
        <v>828000</v>
      </c>
      <c r="U880" t="str">
        <f t="shared" si="108"/>
        <v>Premium</v>
      </c>
      <c r="V880" t="str">
        <f t="shared" si="109"/>
        <v>Large</v>
      </c>
      <c r="W880" t="str">
        <f>IF(S880 &lt; VLOOKUP(E880, Locality_Tier_Benchmarks!A:B, 2, FALSE) * 0.7, "Below Tier Range", "Normal")</f>
        <v>Normal</v>
      </c>
      <c r="X880" t="str">
        <f t="shared" si="110"/>
        <v>Normal</v>
      </c>
      <c r="Y880" t="str">
        <f t="shared" si="111"/>
        <v>Normal</v>
      </c>
      <c r="Z880" t="str">
        <f t="shared" si="104"/>
        <v>Pass</v>
      </c>
    </row>
    <row r="881" spans="1:26" x14ac:dyDescent="0.25">
      <c r="A881" s="2" t="s">
        <v>1777</v>
      </c>
      <c r="B881" t="s">
        <v>17</v>
      </c>
      <c r="C881" t="s">
        <v>1760</v>
      </c>
      <c r="D881" s="2" t="str">
        <f>VLOOKUP(C881,Locality_Reference!A:C,2,)</f>
        <v>Central Line</v>
      </c>
      <c r="E881" s="2" t="str">
        <f>VLOOKUP(C881,Locality_Reference!A:C,3,)</f>
        <v>Far Suburb</v>
      </c>
      <c r="F881" s="2" t="s">
        <v>1917</v>
      </c>
      <c r="G881" s="8">
        <v>80000</v>
      </c>
      <c r="H881">
        <v>3</v>
      </c>
      <c r="I881">
        <v>3</v>
      </c>
      <c r="J881">
        <v>27</v>
      </c>
      <c r="K881">
        <v>36</v>
      </c>
      <c r="L881">
        <v>900</v>
      </c>
      <c r="M881" t="s">
        <v>14</v>
      </c>
      <c r="N881" t="s">
        <v>29</v>
      </c>
      <c r="O881" t="s">
        <v>16</v>
      </c>
      <c r="P881" t="s">
        <v>34</v>
      </c>
      <c r="Q881" t="str">
        <f t="shared" si="105"/>
        <v/>
      </c>
      <c r="R881" s="5">
        <v>46172</v>
      </c>
      <c r="S881" s="8">
        <f t="shared" si="106"/>
        <v>88.888888888888886</v>
      </c>
      <c r="T881">
        <f t="shared" si="107"/>
        <v>960000</v>
      </c>
      <c r="U881" t="str">
        <f t="shared" si="108"/>
        <v>Premium</v>
      </c>
      <c r="V881" t="str">
        <f t="shared" si="109"/>
        <v>Large</v>
      </c>
      <c r="W881" t="str">
        <f>IF(S881 &lt; VLOOKUP(E881, Locality_Tier_Benchmarks!A:B, 2, FALSE) * 0.7, "Below Tier Range", "Normal")</f>
        <v>Normal</v>
      </c>
      <c r="X881" t="str">
        <f t="shared" si="110"/>
        <v>Normal</v>
      </c>
      <c r="Y881" t="str">
        <f t="shared" si="111"/>
        <v>Normal</v>
      </c>
      <c r="Z881" t="str">
        <f t="shared" si="104"/>
        <v>Pass</v>
      </c>
    </row>
    <row r="882" spans="1:26" x14ac:dyDescent="0.25">
      <c r="A882" s="2" t="s">
        <v>1778</v>
      </c>
      <c r="B882" t="s">
        <v>17</v>
      </c>
      <c r="C882" t="s">
        <v>1760</v>
      </c>
      <c r="D882" s="2" t="str">
        <f>VLOOKUP(C882,Locality_Reference!A:C,2,)</f>
        <v>Central Line</v>
      </c>
      <c r="E882" s="2" t="str">
        <f>VLOOKUP(C882,Locality_Reference!A:C,3,)</f>
        <v>Far Suburb</v>
      </c>
      <c r="F882" s="2" t="s">
        <v>1922</v>
      </c>
      <c r="G882" s="8">
        <v>73000</v>
      </c>
      <c r="H882">
        <v>3</v>
      </c>
      <c r="I882">
        <v>2</v>
      </c>
      <c r="J882">
        <v>17</v>
      </c>
      <c r="K882">
        <v>43</v>
      </c>
      <c r="L882">
        <v>800</v>
      </c>
      <c r="M882" t="s">
        <v>14</v>
      </c>
      <c r="N882" t="s">
        <v>15</v>
      </c>
      <c r="O882" t="s">
        <v>16</v>
      </c>
      <c r="P882" t="s">
        <v>34</v>
      </c>
      <c r="Q882" t="str">
        <f t="shared" si="105"/>
        <v/>
      </c>
      <c r="R882" s="5">
        <v>46149</v>
      </c>
      <c r="S882" s="8">
        <f t="shared" si="106"/>
        <v>91.25</v>
      </c>
      <c r="T882">
        <f t="shared" si="107"/>
        <v>876000</v>
      </c>
      <c r="U882" t="str">
        <f t="shared" si="108"/>
        <v>Premium</v>
      </c>
      <c r="V882" t="str">
        <f t="shared" si="109"/>
        <v>Medium</v>
      </c>
      <c r="W882" t="str">
        <f>IF(S882 &lt; VLOOKUP(E882, Locality_Tier_Benchmarks!A:B, 2, FALSE) * 0.7, "Below Tier Range", "Normal")</f>
        <v>Normal</v>
      </c>
      <c r="X882" t="str">
        <f t="shared" si="110"/>
        <v>Normal</v>
      </c>
      <c r="Y882" t="str">
        <f t="shared" si="111"/>
        <v>Normal</v>
      </c>
      <c r="Z882" t="str">
        <f t="shared" si="104"/>
        <v>Pass</v>
      </c>
    </row>
    <row r="883" spans="1:26" x14ac:dyDescent="0.25">
      <c r="A883" s="2" t="s">
        <v>1779</v>
      </c>
      <c r="B883" t="s">
        <v>17</v>
      </c>
      <c r="C883" t="s">
        <v>492</v>
      </c>
      <c r="D883" s="2" t="str">
        <f>VLOOKUP(C883,Locality_Reference!A:C,2,)</f>
        <v>Central Line</v>
      </c>
      <c r="E883" s="2" t="str">
        <f>VLOOKUP(C883,Locality_Reference!A:C,3,)</f>
        <v>Far Suburb</v>
      </c>
      <c r="F883" s="2" t="s">
        <v>1923</v>
      </c>
      <c r="G883" s="8">
        <v>47000</v>
      </c>
      <c r="H883">
        <v>1</v>
      </c>
      <c r="I883">
        <v>1</v>
      </c>
      <c r="J883">
        <v>15</v>
      </c>
      <c r="K883">
        <v>47</v>
      </c>
      <c r="L883">
        <v>471</v>
      </c>
      <c r="M883" t="s">
        <v>36</v>
      </c>
      <c r="N883" t="s">
        <v>29</v>
      </c>
      <c r="O883" t="s">
        <v>16</v>
      </c>
      <c r="P883" t="s">
        <v>34</v>
      </c>
      <c r="Q883" t="str">
        <f t="shared" si="105"/>
        <v/>
      </c>
      <c r="R883" s="5">
        <v>46174</v>
      </c>
      <c r="S883" s="8">
        <f t="shared" si="106"/>
        <v>99.787685774946922</v>
      </c>
      <c r="T883">
        <f t="shared" si="107"/>
        <v>564000</v>
      </c>
      <c r="U883" t="str">
        <f t="shared" si="108"/>
        <v>Mid</v>
      </c>
      <c r="V883" t="str">
        <f t="shared" si="109"/>
        <v>Compact</v>
      </c>
      <c r="W883" t="str">
        <f>IF(S883 &lt; VLOOKUP(E883, Locality_Tier_Benchmarks!A:B, 2, FALSE) * 0.7, "Below Tier Range", "Normal")</f>
        <v>Normal</v>
      </c>
      <c r="X883" t="str">
        <f t="shared" si="110"/>
        <v>Normal</v>
      </c>
      <c r="Y883" t="str">
        <f t="shared" si="111"/>
        <v>Normal</v>
      </c>
      <c r="Z883" t="str">
        <f t="shared" si="104"/>
        <v>Pass</v>
      </c>
    </row>
    <row r="884" spans="1:26" x14ac:dyDescent="0.25">
      <c r="A884" s="2" t="s">
        <v>1780</v>
      </c>
      <c r="B884" t="s">
        <v>17</v>
      </c>
      <c r="C884" t="s">
        <v>492</v>
      </c>
      <c r="D884" s="2" t="str">
        <f>VLOOKUP(C884,Locality_Reference!A:C,2,)</f>
        <v>Central Line</v>
      </c>
      <c r="E884" s="2" t="str">
        <f>VLOOKUP(C884,Locality_Reference!A:C,3,)</f>
        <v>Far Suburb</v>
      </c>
      <c r="F884" s="2" t="s">
        <v>1924</v>
      </c>
      <c r="G884" s="8">
        <v>33000</v>
      </c>
      <c r="H884">
        <v>1</v>
      </c>
      <c r="I884">
        <v>1</v>
      </c>
      <c r="J884">
        <v>5</v>
      </c>
      <c r="K884">
        <v>7</v>
      </c>
      <c r="L884">
        <v>451</v>
      </c>
      <c r="M884" t="s">
        <v>36</v>
      </c>
      <c r="N884" t="s">
        <v>15</v>
      </c>
      <c r="O884" t="s">
        <v>16</v>
      </c>
      <c r="P884" t="s">
        <v>23</v>
      </c>
      <c r="Q884" t="str">
        <f t="shared" si="105"/>
        <v>10</v>
      </c>
      <c r="R884" s="5">
        <v>46204</v>
      </c>
      <c r="S884" s="8">
        <f t="shared" si="106"/>
        <v>73.170731707317074</v>
      </c>
      <c r="T884">
        <f t="shared" si="107"/>
        <v>396000</v>
      </c>
      <c r="U884" t="str">
        <f t="shared" si="108"/>
        <v>Mid</v>
      </c>
      <c r="V884" t="str">
        <f t="shared" si="109"/>
        <v>Compact</v>
      </c>
      <c r="W884" t="str">
        <f>IF(S884 &lt; VLOOKUP(E884, Locality_Tier_Benchmarks!A:B, 2, FALSE) * 0.7, "Below Tier Range", "Normal")</f>
        <v>Normal</v>
      </c>
      <c r="X884" t="str">
        <f t="shared" si="110"/>
        <v>Normal</v>
      </c>
      <c r="Y884" t="str">
        <f t="shared" si="111"/>
        <v>Normal</v>
      </c>
      <c r="Z884" t="str">
        <f t="shared" si="104"/>
        <v>Pass</v>
      </c>
    </row>
    <row r="885" spans="1:26" x14ac:dyDescent="0.25">
      <c r="A885" s="2" t="s">
        <v>1781</v>
      </c>
      <c r="B885" t="s">
        <v>17</v>
      </c>
      <c r="C885" t="s">
        <v>492</v>
      </c>
      <c r="D885" s="2" t="str">
        <f>VLOOKUP(C885,Locality_Reference!A:C,2,)</f>
        <v>Central Line</v>
      </c>
      <c r="E885" s="2" t="str">
        <f>VLOOKUP(C885,Locality_Reference!A:C,3,)</f>
        <v>Far Suburb</v>
      </c>
      <c r="F885" s="2" t="s">
        <v>1925</v>
      </c>
      <c r="G885" s="8">
        <v>40000</v>
      </c>
      <c r="H885">
        <v>1</v>
      </c>
      <c r="I885">
        <v>2</v>
      </c>
      <c r="J885">
        <v>5</v>
      </c>
      <c r="K885">
        <v>9</v>
      </c>
      <c r="L885">
        <v>450</v>
      </c>
      <c r="M885" t="s">
        <v>33</v>
      </c>
      <c r="N885" t="s">
        <v>29</v>
      </c>
      <c r="O885" t="s">
        <v>16</v>
      </c>
      <c r="P885" t="s">
        <v>34</v>
      </c>
      <c r="Q885" t="str">
        <f t="shared" si="105"/>
        <v/>
      </c>
      <c r="R885" s="5">
        <v>46199</v>
      </c>
      <c r="S885" s="8">
        <f t="shared" si="106"/>
        <v>88.888888888888886</v>
      </c>
      <c r="T885">
        <f t="shared" si="107"/>
        <v>480000</v>
      </c>
      <c r="U885" t="str">
        <f t="shared" si="108"/>
        <v>Mid</v>
      </c>
      <c r="V885" t="str">
        <f t="shared" si="109"/>
        <v>Compact</v>
      </c>
      <c r="W885" t="str">
        <f>IF(S885 &lt; VLOOKUP(E885, Locality_Tier_Benchmarks!A:B, 2, FALSE) * 0.7, "Below Tier Range", "Normal")</f>
        <v>Normal</v>
      </c>
      <c r="X885" t="str">
        <f t="shared" si="110"/>
        <v>Normal</v>
      </c>
      <c r="Y885" t="str">
        <f t="shared" si="111"/>
        <v>Normal</v>
      </c>
      <c r="Z885" t="str">
        <f t="shared" si="104"/>
        <v>Pass</v>
      </c>
    </row>
    <row r="886" spans="1:26" x14ac:dyDescent="0.25">
      <c r="A886" s="2" t="s">
        <v>1782</v>
      </c>
      <c r="B886" t="s">
        <v>17</v>
      </c>
      <c r="C886" t="s">
        <v>492</v>
      </c>
      <c r="D886" s="2" t="str">
        <f>VLOOKUP(C886,Locality_Reference!A:C,2,)</f>
        <v>Central Line</v>
      </c>
      <c r="E886" s="2" t="str">
        <f>VLOOKUP(C886,Locality_Reference!A:C,3,)</f>
        <v>Far Suburb</v>
      </c>
      <c r="F886" s="2" t="s">
        <v>1926</v>
      </c>
      <c r="G886" s="8">
        <v>32000</v>
      </c>
      <c r="H886">
        <v>1</v>
      </c>
      <c r="I886">
        <v>2</v>
      </c>
      <c r="J886">
        <v>3</v>
      </c>
      <c r="K886">
        <v>7</v>
      </c>
      <c r="L886">
        <v>477</v>
      </c>
      <c r="M886" t="s">
        <v>36</v>
      </c>
      <c r="N886" t="s">
        <v>15</v>
      </c>
      <c r="O886" t="s">
        <v>16</v>
      </c>
      <c r="P886" t="s">
        <v>23</v>
      </c>
      <c r="Q886" t="str">
        <f t="shared" si="105"/>
        <v>10</v>
      </c>
      <c r="R886" s="5">
        <v>46196</v>
      </c>
      <c r="S886" s="8">
        <f t="shared" si="106"/>
        <v>67.085953878406713</v>
      </c>
      <c r="T886">
        <f t="shared" si="107"/>
        <v>384000</v>
      </c>
      <c r="U886" t="str">
        <f t="shared" si="108"/>
        <v>Mid</v>
      </c>
      <c r="V886" t="str">
        <f t="shared" si="109"/>
        <v>Compact</v>
      </c>
      <c r="W886" t="str">
        <f>IF(S886 &lt; VLOOKUP(E886, Locality_Tier_Benchmarks!A:B, 2, FALSE) * 0.7, "Below Tier Range", "Normal")</f>
        <v>Normal</v>
      </c>
      <c r="X886" t="str">
        <f t="shared" si="110"/>
        <v>Normal</v>
      </c>
      <c r="Y886" t="str">
        <f t="shared" si="111"/>
        <v>Normal</v>
      </c>
      <c r="Z886" t="str">
        <f t="shared" si="104"/>
        <v>Pass</v>
      </c>
    </row>
    <row r="887" spans="1:26" x14ac:dyDescent="0.25">
      <c r="A887" s="2" t="s">
        <v>1783</v>
      </c>
      <c r="B887" t="s">
        <v>17</v>
      </c>
      <c r="C887" t="s">
        <v>492</v>
      </c>
      <c r="D887" s="2" t="str">
        <f>VLOOKUP(C887,Locality_Reference!A:C,2,)</f>
        <v>Central Line</v>
      </c>
      <c r="E887" s="2" t="str">
        <f>VLOOKUP(C887,Locality_Reference!A:C,3,)</f>
        <v>Far Suburb</v>
      </c>
      <c r="F887" s="2" t="s">
        <v>1927</v>
      </c>
      <c r="G887" s="8">
        <v>35500</v>
      </c>
      <c r="H887">
        <v>1</v>
      </c>
      <c r="I887">
        <v>2</v>
      </c>
      <c r="J887">
        <v>14</v>
      </c>
      <c r="K887">
        <v>21</v>
      </c>
      <c r="L887">
        <v>450</v>
      </c>
      <c r="M887" t="s">
        <v>36</v>
      </c>
      <c r="N887" t="s">
        <v>15</v>
      </c>
      <c r="O887" t="s">
        <v>16</v>
      </c>
      <c r="P887" t="s">
        <v>23</v>
      </c>
      <c r="Q887" t="str">
        <f t="shared" si="105"/>
        <v>10</v>
      </c>
      <c r="R887" s="5">
        <v>46196</v>
      </c>
      <c r="S887" s="8">
        <f t="shared" si="106"/>
        <v>78.888888888888886</v>
      </c>
      <c r="T887">
        <f t="shared" si="107"/>
        <v>426000</v>
      </c>
      <c r="U887" t="str">
        <f t="shared" si="108"/>
        <v>Mid</v>
      </c>
      <c r="V887" t="str">
        <f t="shared" si="109"/>
        <v>Compact</v>
      </c>
      <c r="W887" t="str">
        <f>IF(S887 &lt; VLOOKUP(E887, Locality_Tier_Benchmarks!A:B, 2, FALSE) * 0.7, "Below Tier Range", "Normal")</f>
        <v>Normal</v>
      </c>
      <c r="X887" t="str">
        <f t="shared" si="110"/>
        <v>Normal</v>
      </c>
      <c r="Y887" t="str">
        <f t="shared" si="111"/>
        <v>Normal</v>
      </c>
      <c r="Z887" t="str">
        <f t="shared" si="104"/>
        <v>Pass</v>
      </c>
    </row>
    <row r="888" spans="1:26" x14ac:dyDescent="0.25">
      <c r="A888" s="2" t="s">
        <v>1784</v>
      </c>
      <c r="B888" t="s">
        <v>17</v>
      </c>
      <c r="C888" t="s">
        <v>492</v>
      </c>
      <c r="D888" s="2" t="str">
        <f>VLOOKUP(C888,Locality_Reference!A:C,2,)</f>
        <v>Central Line</v>
      </c>
      <c r="E888" s="2" t="str">
        <f>VLOOKUP(C888,Locality_Reference!A:C,3,)</f>
        <v>Far Suburb</v>
      </c>
      <c r="F888" s="2" t="s">
        <v>1928</v>
      </c>
      <c r="G888" s="8">
        <v>61999</v>
      </c>
      <c r="H888">
        <v>2</v>
      </c>
      <c r="I888">
        <v>2</v>
      </c>
      <c r="J888">
        <v>10</v>
      </c>
      <c r="K888">
        <v>47</v>
      </c>
      <c r="L888">
        <v>802</v>
      </c>
      <c r="M888" t="s">
        <v>36</v>
      </c>
      <c r="N888" t="s">
        <v>15</v>
      </c>
      <c r="O888" t="s">
        <v>16</v>
      </c>
      <c r="P888" t="s">
        <v>47</v>
      </c>
      <c r="Q888" t="str">
        <f t="shared" si="105"/>
        <v>1</v>
      </c>
      <c r="R888" s="5">
        <v>46177</v>
      </c>
      <c r="S888" s="8">
        <f t="shared" si="106"/>
        <v>77.305486284289273</v>
      </c>
      <c r="T888">
        <f t="shared" si="107"/>
        <v>743988</v>
      </c>
      <c r="U888" t="str">
        <f t="shared" si="108"/>
        <v>Premium</v>
      </c>
      <c r="V888" t="str">
        <f t="shared" si="109"/>
        <v>Large</v>
      </c>
      <c r="W888" t="str">
        <f>IF(S888 &lt; VLOOKUP(E888, Locality_Tier_Benchmarks!A:B, 2, FALSE) * 0.7, "Below Tier Range", "Normal")</f>
        <v>Normal</v>
      </c>
      <c r="X888" t="str">
        <f t="shared" si="110"/>
        <v>Normal</v>
      </c>
      <c r="Y888" t="str">
        <f t="shared" si="111"/>
        <v>Normal</v>
      </c>
      <c r="Z888" t="str">
        <f t="shared" si="104"/>
        <v>Pass</v>
      </c>
    </row>
    <row r="889" spans="1:26" x14ac:dyDescent="0.25">
      <c r="A889" s="2" t="s">
        <v>1785</v>
      </c>
      <c r="B889" t="s">
        <v>17</v>
      </c>
      <c r="C889" t="s">
        <v>492</v>
      </c>
      <c r="D889" s="2" t="str">
        <f>VLOOKUP(C889,Locality_Reference!A:C,2,)</f>
        <v>Central Line</v>
      </c>
      <c r="E889" s="2" t="str">
        <f>VLOOKUP(C889,Locality_Reference!A:C,3,)</f>
        <v>Far Suburb</v>
      </c>
      <c r="F889" s="2" t="s">
        <v>1929</v>
      </c>
      <c r="G889" s="8">
        <v>60000</v>
      </c>
      <c r="H889">
        <v>2</v>
      </c>
      <c r="I889">
        <v>2</v>
      </c>
      <c r="J889">
        <v>30</v>
      </c>
      <c r="K889">
        <v>45</v>
      </c>
      <c r="L889">
        <v>688</v>
      </c>
      <c r="M889" t="s">
        <v>36</v>
      </c>
      <c r="N889" t="s">
        <v>15</v>
      </c>
      <c r="O889" t="s">
        <v>16</v>
      </c>
      <c r="P889" t="s">
        <v>34</v>
      </c>
      <c r="Q889" t="str">
        <f t="shared" si="105"/>
        <v/>
      </c>
      <c r="R889" s="5">
        <v>46192</v>
      </c>
      <c r="S889" s="8">
        <f t="shared" si="106"/>
        <v>87.20930232558139</v>
      </c>
      <c r="T889">
        <f t="shared" si="107"/>
        <v>720000</v>
      </c>
      <c r="U889" t="str">
        <f t="shared" si="108"/>
        <v>Mid</v>
      </c>
      <c r="V889" t="str">
        <f t="shared" si="109"/>
        <v>Medium</v>
      </c>
      <c r="W889" t="str">
        <f>IF(S889 &lt; VLOOKUP(E889, Locality_Tier_Benchmarks!A:B, 2, FALSE) * 0.7, "Below Tier Range", "Normal")</f>
        <v>Normal</v>
      </c>
      <c r="X889" t="str">
        <f t="shared" si="110"/>
        <v>Normal</v>
      </c>
      <c r="Y889" t="str">
        <f t="shared" si="111"/>
        <v>Normal</v>
      </c>
      <c r="Z889" t="str">
        <f t="shared" si="104"/>
        <v>Pass</v>
      </c>
    </row>
    <row r="890" spans="1:26" x14ac:dyDescent="0.25">
      <c r="A890" s="2" t="s">
        <v>1786</v>
      </c>
      <c r="B890" t="s">
        <v>17</v>
      </c>
      <c r="C890" t="s">
        <v>492</v>
      </c>
      <c r="D890" s="2" t="str">
        <f>VLOOKUP(C890,Locality_Reference!A:C,2,)</f>
        <v>Central Line</v>
      </c>
      <c r="E890" s="2" t="str">
        <f>VLOOKUP(C890,Locality_Reference!A:C,3,)</f>
        <v>Far Suburb</v>
      </c>
      <c r="F890" s="2" t="s">
        <v>1930</v>
      </c>
      <c r="G890" s="8">
        <v>66000</v>
      </c>
      <c r="H890">
        <v>2</v>
      </c>
      <c r="I890">
        <v>2</v>
      </c>
      <c r="J890">
        <v>29</v>
      </c>
      <c r="K890">
        <v>57</v>
      </c>
      <c r="L890">
        <v>754</v>
      </c>
      <c r="M890" t="s">
        <v>36</v>
      </c>
      <c r="N890" t="s">
        <v>29</v>
      </c>
      <c r="O890" t="s">
        <v>16</v>
      </c>
      <c r="P890" t="s">
        <v>47</v>
      </c>
      <c r="Q890" t="str">
        <f t="shared" si="105"/>
        <v>1</v>
      </c>
      <c r="R890" s="5">
        <v>46195</v>
      </c>
      <c r="S890" s="8">
        <f t="shared" si="106"/>
        <v>87.533156498673733</v>
      </c>
      <c r="T890">
        <f t="shared" si="107"/>
        <v>792000</v>
      </c>
      <c r="U890" t="str">
        <f t="shared" si="108"/>
        <v>Premium</v>
      </c>
      <c r="V890" t="str">
        <f t="shared" si="109"/>
        <v>Medium</v>
      </c>
      <c r="W890" t="str">
        <f>IF(S890 &lt; VLOOKUP(E890, Locality_Tier_Benchmarks!A:B, 2, FALSE) * 0.7, "Below Tier Range", "Normal")</f>
        <v>Normal</v>
      </c>
      <c r="X890" t="str">
        <f t="shared" si="110"/>
        <v>Normal</v>
      </c>
      <c r="Y890" t="str">
        <f t="shared" si="111"/>
        <v>Normal</v>
      </c>
      <c r="Z890" t="str">
        <f t="shared" si="104"/>
        <v>Pass</v>
      </c>
    </row>
    <row r="891" spans="1:26" x14ac:dyDescent="0.25">
      <c r="A891" s="2" t="s">
        <v>1787</v>
      </c>
      <c r="B891" t="s">
        <v>17</v>
      </c>
      <c r="C891" t="s">
        <v>492</v>
      </c>
      <c r="D891" s="2" t="str">
        <f>VLOOKUP(C891,Locality_Reference!A:C,2,)</f>
        <v>Central Line</v>
      </c>
      <c r="E891" s="2" t="str">
        <f>VLOOKUP(C891,Locality_Reference!A:C,3,)</f>
        <v>Far Suburb</v>
      </c>
      <c r="F891" s="2" t="s">
        <v>1923</v>
      </c>
      <c r="G891" s="8">
        <v>55000</v>
      </c>
      <c r="H891">
        <v>2</v>
      </c>
      <c r="I891">
        <v>2</v>
      </c>
      <c r="J891">
        <v>25</v>
      </c>
      <c r="K891">
        <v>47</v>
      </c>
      <c r="L891">
        <v>618</v>
      </c>
      <c r="M891" t="s">
        <v>36</v>
      </c>
      <c r="N891" t="s">
        <v>29</v>
      </c>
      <c r="O891" t="s">
        <v>16</v>
      </c>
      <c r="P891" t="s">
        <v>34</v>
      </c>
      <c r="Q891" t="str">
        <f t="shared" si="105"/>
        <v/>
      </c>
      <c r="R891" s="5">
        <v>46172</v>
      </c>
      <c r="S891" s="8">
        <f t="shared" si="106"/>
        <v>88.996763754045304</v>
      </c>
      <c r="T891">
        <f t="shared" si="107"/>
        <v>660000</v>
      </c>
      <c r="U891" t="str">
        <f t="shared" si="108"/>
        <v>Mid</v>
      </c>
      <c r="V891" t="str">
        <f t="shared" si="109"/>
        <v>Medium</v>
      </c>
      <c r="W891" t="str">
        <f>IF(S891 &lt; VLOOKUP(E891, Locality_Tier_Benchmarks!A:B, 2, FALSE) * 0.7, "Below Tier Range", "Normal")</f>
        <v>Normal</v>
      </c>
      <c r="X891" t="str">
        <f t="shared" si="110"/>
        <v>Normal</v>
      </c>
      <c r="Y891" t="str">
        <f t="shared" si="111"/>
        <v>Normal</v>
      </c>
      <c r="Z891" t="str">
        <f t="shared" si="104"/>
        <v>Pass</v>
      </c>
    </row>
    <row r="892" spans="1:26" x14ac:dyDescent="0.25">
      <c r="A892" s="2" t="s">
        <v>1788</v>
      </c>
      <c r="B892" t="s">
        <v>17</v>
      </c>
      <c r="C892" t="s">
        <v>492</v>
      </c>
      <c r="D892" s="2" t="str">
        <f>VLOOKUP(C892,Locality_Reference!A:C,2,)</f>
        <v>Central Line</v>
      </c>
      <c r="E892" s="2" t="str">
        <f>VLOOKUP(C892,Locality_Reference!A:C,3,)</f>
        <v>Far Suburb</v>
      </c>
      <c r="F892" s="2" t="s">
        <v>1931</v>
      </c>
      <c r="G892" s="8">
        <v>60000</v>
      </c>
      <c r="H892">
        <v>2</v>
      </c>
      <c r="I892">
        <v>2</v>
      </c>
      <c r="J892">
        <v>12</v>
      </c>
      <c r="K892">
        <v>46</v>
      </c>
      <c r="L892">
        <v>690</v>
      </c>
      <c r="M892" t="s">
        <v>33</v>
      </c>
      <c r="N892" t="s">
        <v>29</v>
      </c>
      <c r="O892" t="s">
        <v>16</v>
      </c>
      <c r="P892" t="s">
        <v>31</v>
      </c>
      <c r="Q892" t="str">
        <f t="shared" si="105"/>
        <v>3</v>
      </c>
      <c r="R892" s="5">
        <v>46198</v>
      </c>
      <c r="S892" s="8">
        <f t="shared" si="106"/>
        <v>86.956521739130437</v>
      </c>
      <c r="T892">
        <f t="shared" si="107"/>
        <v>720000</v>
      </c>
      <c r="U892" t="str">
        <f t="shared" si="108"/>
        <v>Mid</v>
      </c>
      <c r="V892" t="str">
        <f t="shared" si="109"/>
        <v>Medium</v>
      </c>
      <c r="W892" t="str">
        <f>IF(S892 &lt; VLOOKUP(E892, Locality_Tier_Benchmarks!A:B, 2, FALSE) * 0.7, "Below Tier Range", "Normal")</f>
        <v>Normal</v>
      </c>
      <c r="X892" t="str">
        <f t="shared" si="110"/>
        <v>Normal</v>
      </c>
      <c r="Y892" t="str">
        <f t="shared" si="111"/>
        <v>Normal</v>
      </c>
      <c r="Z892" t="str">
        <f t="shared" si="104"/>
        <v>Pass</v>
      </c>
    </row>
    <row r="893" spans="1:26" x14ac:dyDescent="0.25">
      <c r="A893" s="2" t="s">
        <v>1789</v>
      </c>
      <c r="B893" t="s">
        <v>17</v>
      </c>
      <c r="C893" t="s">
        <v>492</v>
      </c>
      <c r="D893" s="2" t="str">
        <f>VLOOKUP(C893,Locality_Reference!A:C,2,)</f>
        <v>Central Line</v>
      </c>
      <c r="E893" s="2" t="str">
        <f>VLOOKUP(C893,Locality_Reference!A:C,3,)</f>
        <v>Far Suburb</v>
      </c>
      <c r="F893" s="2" t="s">
        <v>1930</v>
      </c>
      <c r="G893" s="8">
        <v>84999</v>
      </c>
      <c r="H893">
        <v>3</v>
      </c>
      <c r="I893">
        <v>3</v>
      </c>
      <c r="J893">
        <v>28</v>
      </c>
      <c r="K893">
        <v>57</v>
      </c>
      <c r="L893">
        <v>1036</v>
      </c>
      <c r="M893" t="s">
        <v>36</v>
      </c>
      <c r="N893" t="s">
        <v>15</v>
      </c>
      <c r="O893" t="s">
        <v>16</v>
      </c>
      <c r="P893" t="s">
        <v>47</v>
      </c>
      <c r="Q893" t="str">
        <f t="shared" si="105"/>
        <v>1</v>
      </c>
      <c r="R893" s="5">
        <v>46183</v>
      </c>
      <c r="S893" s="8">
        <f t="shared" si="106"/>
        <v>82.045366795366789</v>
      </c>
      <c r="T893">
        <f t="shared" si="107"/>
        <v>1019988</v>
      </c>
      <c r="U893" t="str">
        <f t="shared" si="108"/>
        <v>Premium</v>
      </c>
      <c r="V893" t="str">
        <f t="shared" si="109"/>
        <v>Large</v>
      </c>
      <c r="W893" t="str">
        <f>IF(S893 &lt; VLOOKUP(E893, Locality_Tier_Benchmarks!A:B, 2, FALSE) * 0.7, "Below Tier Range", "Normal")</f>
        <v>Normal</v>
      </c>
      <c r="X893" t="str">
        <f t="shared" si="110"/>
        <v>Normal</v>
      </c>
      <c r="Y893" t="str">
        <f t="shared" si="111"/>
        <v>Normal</v>
      </c>
      <c r="Z893" t="str">
        <f t="shared" si="104"/>
        <v>Pass</v>
      </c>
    </row>
    <row r="894" spans="1:26" x14ac:dyDescent="0.25">
      <c r="A894" s="2" t="s">
        <v>1790</v>
      </c>
      <c r="B894" t="s">
        <v>17</v>
      </c>
      <c r="C894" t="s">
        <v>492</v>
      </c>
      <c r="D894" s="2" t="str">
        <f>VLOOKUP(C894,Locality_Reference!A:C,2,)</f>
        <v>Central Line</v>
      </c>
      <c r="E894" s="2" t="str">
        <f>VLOOKUP(C894,Locality_Reference!A:C,3,)</f>
        <v>Far Suburb</v>
      </c>
      <c r="F894" s="2" t="s">
        <v>1928</v>
      </c>
      <c r="G894" s="8">
        <v>73000</v>
      </c>
      <c r="H894">
        <v>3</v>
      </c>
      <c r="I894">
        <v>3</v>
      </c>
      <c r="J894">
        <v>24</v>
      </c>
      <c r="K894">
        <v>45</v>
      </c>
      <c r="L894">
        <v>1022</v>
      </c>
      <c r="M894" t="s">
        <v>36</v>
      </c>
      <c r="N894" t="s">
        <v>29</v>
      </c>
      <c r="O894" t="s">
        <v>16</v>
      </c>
      <c r="P894" t="s">
        <v>34</v>
      </c>
      <c r="Q894" t="str">
        <f t="shared" si="105"/>
        <v/>
      </c>
      <c r="R894" s="5">
        <v>46182</v>
      </c>
      <c r="S894" s="8">
        <f t="shared" si="106"/>
        <v>71.428571428571431</v>
      </c>
      <c r="T894">
        <f t="shared" si="107"/>
        <v>876000</v>
      </c>
      <c r="U894" t="str">
        <f t="shared" si="108"/>
        <v>Premium</v>
      </c>
      <c r="V894" t="str">
        <f t="shared" si="109"/>
        <v>Large</v>
      </c>
      <c r="W894" t="str">
        <f>IF(S894 &lt; VLOOKUP(E894, Locality_Tier_Benchmarks!A:B, 2, FALSE) * 0.7, "Below Tier Range", "Normal")</f>
        <v>Normal</v>
      </c>
      <c r="X894" t="str">
        <f t="shared" si="110"/>
        <v>Normal</v>
      </c>
      <c r="Y894" t="str">
        <f t="shared" si="111"/>
        <v>Normal</v>
      </c>
      <c r="Z894" t="str">
        <f t="shared" si="104"/>
        <v>Pass</v>
      </c>
    </row>
    <row r="895" spans="1:26" x14ac:dyDescent="0.25">
      <c r="A895" s="2" t="s">
        <v>1791</v>
      </c>
      <c r="B895" t="s">
        <v>17</v>
      </c>
      <c r="C895" t="s">
        <v>492</v>
      </c>
      <c r="D895" s="2" t="str">
        <f>VLOOKUP(C895,Locality_Reference!A:C,2,)</f>
        <v>Central Line</v>
      </c>
      <c r="E895" s="2" t="str">
        <f>VLOOKUP(C895,Locality_Reference!A:C,3,)</f>
        <v>Far Suburb</v>
      </c>
      <c r="F895" s="2" t="s">
        <v>1932</v>
      </c>
      <c r="G895" s="8">
        <v>110000</v>
      </c>
      <c r="H895">
        <v>3</v>
      </c>
      <c r="I895">
        <v>3</v>
      </c>
      <c r="J895">
        <v>19</v>
      </c>
      <c r="K895">
        <v>54</v>
      </c>
      <c r="L895">
        <v>1480</v>
      </c>
      <c r="M895" t="s">
        <v>36</v>
      </c>
      <c r="N895" t="s">
        <v>15</v>
      </c>
      <c r="O895" t="s">
        <v>16</v>
      </c>
      <c r="P895" t="s">
        <v>31</v>
      </c>
      <c r="Q895" t="str">
        <f t="shared" si="105"/>
        <v>3</v>
      </c>
      <c r="R895" s="5">
        <v>46179</v>
      </c>
      <c r="S895" s="8">
        <f t="shared" si="106"/>
        <v>74.324324324324323</v>
      </c>
      <c r="T895">
        <f t="shared" si="107"/>
        <v>1320000</v>
      </c>
      <c r="U895" t="str">
        <f t="shared" si="108"/>
        <v>Luxury</v>
      </c>
      <c r="V895" t="str">
        <f t="shared" si="109"/>
        <v>Spacious</v>
      </c>
      <c r="W895" t="str">
        <f>IF(S895 &lt; VLOOKUP(E895, Locality_Tier_Benchmarks!A:B, 2, FALSE) * 0.7, "Below Tier Range", "Normal")</f>
        <v>Normal</v>
      </c>
      <c r="X895" t="str">
        <f t="shared" si="110"/>
        <v>Normal</v>
      </c>
      <c r="Y895" t="str">
        <f t="shared" si="111"/>
        <v>Normal</v>
      </c>
      <c r="Z895" t="str">
        <f t="shared" si="104"/>
        <v>Pass</v>
      </c>
    </row>
    <row r="896" spans="1:26" x14ac:dyDescent="0.25">
      <c r="A896" s="2" t="s">
        <v>1792</v>
      </c>
      <c r="B896" t="s">
        <v>17</v>
      </c>
      <c r="C896" t="s">
        <v>492</v>
      </c>
      <c r="D896" s="2" t="str">
        <f>VLOOKUP(C896,Locality_Reference!A:C,2,)</f>
        <v>Central Line</v>
      </c>
      <c r="E896" s="2" t="str">
        <f>VLOOKUP(C896,Locality_Reference!A:C,3,)</f>
        <v>Far Suburb</v>
      </c>
      <c r="F896" s="2" t="s">
        <v>1933</v>
      </c>
      <c r="G896" s="8">
        <v>110000</v>
      </c>
      <c r="H896">
        <v>3</v>
      </c>
      <c r="I896">
        <v>3</v>
      </c>
      <c r="J896">
        <v>32</v>
      </c>
      <c r="K896">
        <v>54</v>
      </c>
      <c r="L896">
        <v>1535</v>
      </c>
      <c r="M896" t="s">
        <v>36</v>
      </c>
      <c r="N896" t="s">
        <v>15</v>
      </c>
      <c r="O896" t="s">
        <v>16</v>
      </c>
      <c r="P896" t="s">
        <v>34</v>
      </c>
      <c r="Q896" t="str">
        <f t="shared" si="105"/>
        <v/>
      </c>
      <c r="R896" s="5">
        <v>46184</v>
      </c>
      <c r="S896" s="8">
        <f t="shared" si="106"/>
        <v>71.661237785016283</v>
      </c>
      <c r="T896">
        <f t="shared" si="107"/>
        <v>1320000</v>
      </c>
      <c r="U896" t="str">
        <f t="shared" si="108"/>
        <v>Luxury</v>
      </c>
      <c r="V896" t="str">
        <f t="shared" si="109"/>
        <v>Spacious</v>
      </c>
      <c r="W896" t="str">
        <f>IF(S896 &lt; VLOOKUP(E896, Locality_Tier_Benchmarks!A:B, 2, FALSE) * 0.7, "Below Tier Range", "Normal")</f>
        <v>Normal</v>
      </c>
      <c r="X896" t="str">
        <f t="shared" si="110"/>
        <v>Normal</v>
      </c>
      <c r="Y896" t="str">
        <f t="shared" si="111"/>
        <v>Normal</v>
      </c>
      <c r="Z896" t="str">
        <f t="shared" si="104"/>
        <v>Pass</v>
      </c>
    </row>
    <row r="897" spans="1:26" x14ac:dyDescent="0.25">
      <c r="A897" s="2" t="s">
        <v>1793</v>
      </c>
      <c r="B897" t="s">
        <v>17</v>
      </c>
      <c r="C897" t="s">
        <v>492</v>
      </c>
      <c r="D897" s="2" t="str">
        <f>VLOOKUP(C897,Locality_Reference!A:C,2,)</f>
        <v>Central Line</v>
      </c>
      <c r="E897" s="2" t="str">
        <f>VLOOKUP(C897,Locality_Reference!A:C,3,)</f>
        <v>Far Suburb</v>
      </c>
      <c r="F897" s="2" t="s">
        <v>1934</v>
      </c>
      <c r="G897" s="8">
        <v>75000</v>
      </c>
      <c r="H897">
        <v>3</v>
      </c>
      <c r="I897">
        <v>2</v>
      </c>
      <c r="J897">
        <v>17</v>
      </c>
      <c r="K897">
        <v>41</v>
      </c>
      <c r="L897">
        <v>925</v>
      </c>
      <c r="M897" t="s">
        <v>36</v>
      </c>
      <c r="N897" t="s">
        <v>15</v>
      </c>
      <c r="O897" t="s">
        <v>16</v>
      </c>
      <c r="P897" t="s">
        <v>34</v>
      </c>
      <c r="Q897" t="str">
        <f t="shared" si="105"/>
        <v/>
      </c>
      <c r="R897" s="5">
        <v>46193</v>
      </c>
      <c r="S897" s="8">
        <f t="shared" si="106"/>
        <v>81.081081081081081</v>
      </c>
      <c r="T897">
        <f t="shared" si="107"/>
        <v>900000</v>
      </c>
      <c r="U897" t="str">
        <f t="shared" si="108"/>
        <v>Premium</v>
      </c>
      <c r="V897" t="str">
        <f t="shared" si="109"/>
        <v>Large</v>
      </c>
      <c r="W897" t="str">
        <f>IF(S897 &lt; VLOOKUP(E897, Locality_Tier_Benchmarks!A:B, 2, FALSE) * 0.7, "Below Tier Range", "Normal")</f>
        <v>Normal</v>
      </c>
      <c r="X897" t="str">
        <f t="shared" si="110"/>
        <v>Normal</v>
      </c>
      <c r="Y897" t="str">
        <f t="shared" si="111"/>
        <v>Normal</v>
      </c>
      <c r="Z897" t="str">
        <f t="shared" si="104"/>
        <v>Pass</v>
      </c>
    </row>
    <row r="898" spans="1:26" x14ac:dyDescent="0.25">
      <c r="A898" s="2" t="s">
        <v>1794</v>
      </c>
      <c r="B898" t="s">
        <v>17</v>
      </c>
      <c r="C898" t="s">
        <v>493</v>
      </c>
      <c r="D898" s="2" t="str">
        <f>VLOOKUP(C898,Locality_Reference!A:C,2,)</f>
        <v>Central Line</v>
      </c>
      <c r="E898" s="2" t="str">
        <f>VLOOKUP(C898,Locality_Reference!A:C,3,)</f>
        <v>Far Suburb</v>
      </c>
      <c r="F898" s="2" t="s">
        <v>1935</v>
      </c>
      <c r="G898" s="8">
        <v>27000</v>
      </c>
      <c r="H898">
        <v>1</v>
      </c>
      <c r="I898">
        <v>1</v>
      </c>
      <c r="J898">
        <v>4</v>
      </c>
      <c r="K898">
        <v>7</v>
      </c>
      <c r="L898">
        <v>450</v>
      </c>
      <c r="M898" t="s">
        <v>33</v>
      </c>
      <c r="N898" t="s">
        <v>15</v>
      </c>
      <c r="O898" t="s">
        <v>16</v>
      </c>
      <c r="P898" t="s">
        <v>34</v>
      </c>
      <c r="Q898" t="str">
        <f t="shared" si="105"/>
        <v/>
      </c>
      <c r="R898" s="5">
        <v>46196</v>
      </c>
      <c r="S898" s="8">
        <f t="shared" si="106"/>
        <v>60</v>
      </c>
      <c r="T898">
        <f t="shared" si="107"/>
        <v>324000</v>
      </c>
      <c r="U898" t="str">
        <f t="shared" si="108"/>
        <v>Budget</v>
      </c>
      <c r="V898" t="str">
        <f t="shared" si="109"/>
        <v>Compact</v>
      </c>
      <c r="W898" t="str">
        <f>IF(S898 &lt; VLOOKUP(E898, Locality_Tier_Benchmarks!A:B, 2, FALSE) * 0.7, "Below Tier Range", "Normal")</f>
        <v>Normal</v>
      </c>
      <c r="X898" t="str">
        <f t="shared" si="110"/>
        <v>Normal</v>
      </c>
      <c r="Y898" t="str">
        <f t="shared" si="111"/>
        <v>Normal</v>
      </c>
      <c r="Z898" t="str">
        <f t="shared" ref="Z898:Z961" si="112">IF(OR(W898&lt;&gt;"Normal",X898&lt;&gt;"Normal",Y898&lt;&gt;"Normal"),"Review","Pass")</f>
        <v>Pass</v>
      </c>
    </row>
    <row r="899" spans="1:26" x14ac:dyDescent="0.25">
      <c r="A899" s="2" t="s">
        <v>1795</v>
      </c>
      <c r="B899" t="s">
        <v>17</v>
      </c>
      <c r="C899" t="s">
        <v>493</v>
      </c>
      <c r="D899" s="2" t="str">
        <f>VLOOKUP(C899,Locality_Reference!A:C,2,)</f>
        <v>Central Line</v>
      </c>
      <c r="E899" s="2" t="str">
        <f>VLOOKUP(C899,Locality_Reference!A:C,3,)</f>
        <v>Far Suburb</v>
      </c>
      <c r="F899" s="2" t="s">
        <v>1936</v>
      </c>
      <c r="G899" s="8">
        <v>32000</v>
      </c>
      <c r="H899">
        <v>1</v>
      </c>
      <c r="I899">
        <v>2</v>
      </c>
      <c r="J899">
        <v>21</v>
      </c>
      <c r="K899">
        <v>23</v>
      </c>
      <c r="L899">
        <v>485</v>
      </c>
      <c r="M899" t="s">
        <v>33</v>
      </c>
      <c r="N899" t="s">
        <v>15</v>
      </c>
      <c r="O899" t="s">
        <v>16</v>
      </c>
      <c r="P899" t="s">
        <v>52</v>
      </c>
      <c r="Q899" t="str">
        <f t="shared" ref="Q899:Q962" si="113">IF(P899="20+ Years","20",IF(P899="15-20 Years","17.5",IF(P899="10+ Years","10",IF(P899="5-10 Years","7.5",IF(P899="1-5 Years","3",IF(P899="0-1 Year","1",""))))))</f>
        <v>7.5</v>
      </c>
      <c r="R899" s="5">
        <v>46192</v>
      </c>
      <c r="S899" s="8">
        <f t="shared" ref="S899:S962" si="114">G899/L899</f>
        <v>65.979381443298962</v>
      </c>
      <c r="T899">
        <f t="shared" ref="T899:T962" si="115">G899*12</f>
        <v>384000</v>
      </c>
      <c r="U899" t="str">
        <f t="shared" ref="U899:U962" si="116">IF(G899&lt;=30000,"Budget",IF(G899&lt;=60000,"Mid",IF(G899&lt;=100000,"Premium","Luxury")))</f>
        <v>Mid</v>
      </c>
      <c r="V899" t="str">
        <f t="shared" ref="V899:V962" si="117">IF(L899&lt;=500,"Compact",IF(L899&lt;=800,"Medium",IF(L899&lt;=1200,"Large","Spacious")))</f>
        <v>Compact</v>
      </c>
      <c r="W899" t="str">
        <f>IF(S899 &lt; VLOOKUP(E899, Locality_Tier_Benchmarks!A:B, 2, FALSE) * 0.7, "Below Tier Range", "Normal")</f>
        <v>Normal</v>
      </c>
      <c r="X899" t="str">
        <f t="shared" ref="X899:X962" si="118">IF(G899&lt;7000,"Below Absolute Floor","Normal")</f>
        <v>Normal</v>
      </c>
      <c r="Y899" t="str">
        <f t="shared" ref="Y899:Y962" si="119">IF(S899&gt;500,"Possible Typo - Check Zero","Normal")</f>
        <v>Normal</v>
      </c>
      <c r="Z899" t="str">
        <f t="shared" si="112"/>
        <v>Pass</v>
      </c>
    </row>
    <row r="900" spans="1:26" x14ac:dyDescent="0.25">
      <c r="A900" s="2" t="s">
        <v>1796</v>
      </c>
      <c r="B900" t="s">
        <v>17</v>
      </c>
      <c r="C900" t="s">
        <v>493</v>
      </c>
      <c r="D900" s="2" t="str">
        <f>VLOOKUP(C900,Locality_Reference!A:C,2,)</f>
        <v>Central Line</v>
      </c>
      <c r="E900" s="2" t="str">
        <f>VLOOKUP(C900,Locality_Reference!A:C,3,)</f>
        <v>Far Suburb</v>
      </c>
      <c r="F900" s="2" t="s">
        <v>1937</v>
      </c>
      <c r="G900" s="8">
        <v>24000</v>
      </c>
      <c r="H900">
        <v>1</v>
      </c>
      <c r="I900">
        <v>1</v>
      </c>
      <c r="J900">
        <v>6</v>
      </c>
      <c r="K900">
        <v>8</v>
      </c>
      <c r="L900">
        <v>400</v>
      </c>
      <c r="M900" t="s">
        <v>14</v>
      </c>
      <c r="N900" t="s">
        <v>15</v>
      </c>
      <c r="O900" t="s">
        <v>16</v>
      </c>
      <c r="P900" t="s">
        <v>23</v>
      </c>
      <c r="Q900" t="str">
        <f t="shared" si="113"/>
        <v>10</v>
      </c>
      <c r="R900" s="5">
        <v>46203</v>
      </c>
      <c r="S900" s="8">
        <f t="shared" si="114"/>
        <v>60</v>
      </c>
      <c r="T900">
        <f t="shared" si="115"/>
        <v>288000</v>
      </c>
      <c r="U900" t="str">
        <f t="shared" si="116"/>
        <v>Budget</v>
      </c>
      <c r="V900" t="str">
        <f t="shared" si="117"/>
        <v>Compact</v>
      </c>
      <c r="W900" t="str">
        <f>IF(S900 &lt; VLOOKUP(E900, Locality_Tier_Benchmarks!A:B, 2, FALSE) * 0.7, "Below Tier Range", "Normal")</f>
        <v>Normal</v>
      </c>
      <c r="X900" t="str">
        <f t="shared" si="118"/>
        <v>Normal</v>
      </c>
      <c r="Y900" t="str">
        <f t="shared" si="119"/>
        <v>Normal</v>
      </c>
      <c r="Z900" t="str">
        <f t="shared" si="112"/>
        <v>Pass</v>
      </c>
    </row>
    <row r="901" spans="1:26" x14ac:dyDescent="0.25">
      <c r="A901" s="2" t="s">
        <v>1797</v>
      </c>
      <c r="B901" t="s">
        <v>17</v>
      </c>
      <c r="C901" t="s">
        <v>493</v>
      </c>
      <c r="D901" s="2" t="str">
        <f>VLOOKUP(C901,Locality_Reference!A:C,2,)</f>
        <v>Central Line</v>
      </c>
      <c r="E901" s="2" t="str">
        <f>VLOOKUP(C901,Locality_Reference!A:C,3,)</f>
        <v>Far Suburb</v>
      </c>
      <c r="F901" s="2" t="s">
        <v>1938</v>
      </c>
      <c r="G901" s="8">
        <v>32000</v>
      </c>
      <c r="H901">
        <v>1</v>
      </c>
      <c r="I901">
        <v>1</v>
      </c>
      <c r="J901">
        <v>1</v>
      </c>
      <c r="K901">
        <v>10</v>
      </c>
      <c r="L901">
        <v>480</v>
      </c>
      <c r="M901" t="s">
        <v>36</v>
      </c>
      <c r="N901" t="s">
        <v>15</v>
      </c>
      <c r="O901" t="s">
        <v>16</v>
      </c>
      <c r="P901" t="s">
        <v>23</v>
      </c>
      <c r="Q901" t="str">
        <f t="shared" si="113"/>
        <v>10</v>
      </c>
      <c r="R901" s="5">
        <v>46192</v>
      </c>
      <c r="S901" s="8">
        <f t="shared" si="114"/>
        <v>66.666666666666671</v>
      </c>
      <c r="T901">
        <f t="shared" si="115"/>
        <v>384000</v>
      </c>
      <c r="U901" t="str">
        <f t="shared" si="116"/>
        <v>Mid</v>
      </c>
      <c r="V901" t="str">
        <f t="shared" si="117"/>
        <v>Compact</v>
      </c>
      <c r="W901" t="str">
        <f>IF(S901 &lt; VLOOKUP(E901, Locality_Tier_Benchmarks!A:B, 2, FALSE) * 0.7, "Below Tier Range", "Normal")</f>
        <v>Normal</v>
      </c>
      <c r="X901" t="str">
        <f t="shared" si="118"/>
        <v>Normal</v>
      </c>
      <c r="Y901" t="str">
        <f t="shared" si="119"/>
        <v>Normal</v>
      </c>
      <c r="Z901" t="str">
        <f t="shared" si="112"/>
        <v>Pass</v>
      </c>
    </row>
    <row r="902" spans="1:26" x14ac:dyDescent="0.25">
      <c r="A902" s="2" t="s">
        <v>1798</v>
      </c>
      <c r="B902" t="s">
        <v>17</v>
      </c>
      <c r="C902" t="s">
        <v>493</v>
      </c>
      <c r="D902" s="2" t="str">
        <f>VLOOKUP(C902,Locality_Reference!A:C,2,)</f>
        <v>Central Line</v>
      </c>
      <c r="E902" s="2" t="str">
        <f>VLOOKUP(C902,Locality_Reference!A:C,3,)</f>
        <v>Far Suburb</v>
      </c>
      <c r="F902" s="2" t="s">
        <v>1939</v>
      </c>
      <c r="G902" s="8">
        <v>26000</v>
      </c>
      <c r="H902">
        <v>1</v>
      </c>
      <c r="I902">
        <v>1</v>
      </c>
      <c r="J902">
        <v>0</v>
      </c>
      <c r="K902">
        <v>4</v>
      </c>
      <c r="L902">
        <v>410</v>
      </c>
      <c r="M902" t="s">
        <v>36</v>
      </c>
      <c r="N902" t="s">
        <v>15</v>
      </c>
      <c r="O902" t="s">
        <v>16</v>
      </c>
      <c r="P902" t="s">
        <v>23</v>
      </c>
      <c r="Q902" t="str">
        <f t="shared" si="113"/>
        <v>10</v>
      </c>
      <c r="R902" s="5">
        <v>46164</v>
      </c>
      <c r="S902" s="8">
        <f t="shared" si="114"/>
        <v>63.414634146341463</v>
      </c>
      <c r="T902">
        <f t="shared" si="115"/>
        <v>312000</v>
      </c>
      <c r="U902" t="str">
        <f t="shared" si="116"/>
        <v>Budget</v>
      </c>
      <c r="V902" t="str">
        <f t="shared" si="117"/>
        <v>Compact</v>
      </c>
      <c r="W902" t="str">
        <f>IF(S902 &lt; VLOOKUP(E902, Locality_Tier_Benchmarks!A:B, 2, FALSE) * 0.7, "Below Tier Range", "Normal")</f>
        <v>Normal</v>
      </c>
      <c r="X902" t="str">
        <f t="shared" si="118"/>
        <v>Normal</v>
      </c>
      <c r="Y902" t="str">
        <f t="shared" si="119"/>
        <v>Normal</v>
      </c>
      <c r="Z902" t="str">
        <f t="shared" si="112"/>
        <v>Pass</v>
      </c>
    </row>
    <row r="903" spans="1:26" x14ac:dyDescent="0.25">
      <c r="A903" s="2" t="s">
        <v>1799</v>
      </c>
      <c r="B903" t="s">
        <v>17</v>
      </c>
      <c r="C903" t="s">
        <v>493</v>
      </c>
      <c r="D903" s="2" t="str">
        <f>VLOOKUP(C903,Locality_Reference!A:C,2,)</f>
        <v>Central Line</v>
      </c>
      <c r="E903" s="2" t="str">
        <f>VLOOKUP(C903,Locality_Reference!A:C,3,)</f>
        <v>Far Suburb</v>
      </c>
      <c r="F903" s="2" t="s">
        <v>1940</v>
      </c>
      <c r="G903" s="8">
        <v>42000</v>
      </c>
      <c r="H903">
        <v>2</v>
      </c>
      <c r="I903">
        <v>1</v>
      </c>
      <c r="J903">
        <v>6</v>
      </c>
      <c r="K903">
        <v>6</v>
      </c>
      <c r="L903">
        <v>680</v>
      </c>
      <c r="M903" t="s">
        <v>36</v>
      </c>
      <c r="N903" t="s">
        <v>15</v>
      </c>
      <c r="O903" t="s">
        <v>16</v>
      </c>
      <c r="P903" t="s">
        <v>23</v>
      </c>
      <c r="Q903" t="str">
        <f t="shared" si="113"/>
        <v>10</v>
      </c>
      <c r="R903" s="5">
        <v>46161</v>
      </c>
      <c r="S903" s="8">
        <f t="shared" si="114"/>
        <v>61.764705882352942</v>
      </c>
      <c r="T903">
        <f t="shared" si="115"/>
        <v>504000</v>
      </c>
      <c r="U903" t="str">
        <f t="shared" si="116"/>
        <v>Mid</v>
      </c>
      <c r="V903" t="str">
        <f t="shared" si="117"/>
        <v>Medium</v>
      </c>
      <c r="W903" t="str">
        <f>IF(S903 &lt; VLOOKUP(E903, Locality_Tier_Benchmarks!A:B, 2, FALSE) * 0.7, "Below Tier Range", "Normal")</f>
        <v>Normal</v>
      </c>
      <c r="X903" t="str">
        <f t="shared" si="118"/>
        <v>Normal</v>
      </c>
      <c r="Y903" t="str">
        <f t="shared" si="119"/>
        <v>Normal</v>
      </c>
      <c r="Z903" t="str">
        <f t="shared" si="112"/>
        <v>Pass</v>
      </c>
    </row>
    <row r="904" spans="1:26" x14ac:dyDescent="0.25">
      <c r="A904" s="2" t="s">
        <v>1800</v>
      </c>
      <c r="B904" t="s">
        <v>17</v>
      </c>
      <c r="C904" t="s">
        <v>493</v>
      </c>
      <c r="D904" s="2" t="str">
        <f>VLOOKUP(C904,Locality_Reference!A:C,2,)</f>
        <v>Central Line</v>
      </c>
      <c r="E904" s="2" t="str">
        <f>VLOOKUP(C904,Locality_Reference!A:C,3,)</f>
        <v>Far Suburb</v>
      </c>
      <c r="F904" s="2" t="s">
        <v>1941</v>
      </c>
      <c r="G904" s="8">
        <v>47000</v>
      </c>
      <c r="H904">
        <v>2</v>
      </c>
      <c r="I904">
        <v>2</v>
      </c>
      <c r="J904">
        <v>10</v>
      </c>
      <c r="K904">
        <v>39</v>
      </c>
      <c r="L904">
        <v>653</v>
      </c>
      <c r="M904" t="s">
        <v>36</v>
      </c>
      <c r="N904" t="s">
        <v>15</v>
      </c>
      <c r="O904" t="s">
        <v>16</v>
      </c>
      <c r="P904" t="s">
        <v>34</v>
      </c>
      <c r="Q904" t="str">
        <f t="shared" si="113"/>
        <v/>
      </c>
      <c r="R904" s="5">
        <v>46196</v>
      </c>
      <c r="S904" s="8">
        <f t="shared" si="114"/>
        <v>71.975497702909649</v>
      </c>
      <c r="T904">
        <f t="shared" si="115"/>
        <v>564000</v>
      </c>
      <c r="U904" t="str">
        <f t="shared" si="116"/>
        <v>Mid</v>
      </c>
      <c r="V904" t="str">
        <f t="shared" si="117"/>
        <v>Medium</v>
      </c>
      <c r="W904" t="str">
        <f>IF(S904 &lt; VLOOKUP(E904, Locality_Tier_Benchmarks!A:B, 2, FALSE) * 0.7, "Below Tier Range", "Normal")</f>
        <v>Normal</v>
      </c>
      <c r="X904" t="str">
        <f t="shared" si="118"/>
        <v>Normal</v>
      </c>
      <c r="Y904" t="str">
        <f t="shared" si="119"/>
        <v>Normal</v>
      </c>
      <c r="Z904" t="str">
        <f t="shared" si="112"/>
        <v>Pass</v>
      </c>
    </row>
    <row r="905" spans="1:26" x14ac:dyDescent="0.25">
      <c r="A905" s="2" t="s">
        <v>1801</v>
      </c>
      <c r="B905" t="s">
        <v>17</v>
      </c>
      <c r="C905" t="s">
        <v>493</v>
      </c>
      <c r="D905" s="2" t="str">
        <f>VLOOKUP(C905,Locality_Reference!A:C,2,)</f>
        <v>Central Line</v>
      </c>
      <c r="E905" s="2" t="str">
        <f>VLOOKUP(C905,Locality_Reference!A:C,3,)</f>
        <v>Far Suburb</v>
      </c>
      <c r="F905" s="2" t="s">
        <v>1942</v>
      </c>
      <c r="G905" s="8">
        <v>52000</v>
      </c>
      <c r="H905">
        <v>2</v>
      </c>
      <c r="I905">
        <v>2</v>
      </c>
      <c r="J905">
        <v>13</v>
      </c>
      <c r="K905">
        <v>18</v>
      </c>
      <c r="L905">
        <v>727</v>
      </c>
      <c r="M905" t="s">
        <v>36</v>
      </c>
      <c r="N905" t="s">
        <v>15</v>
      </c>
      <c r="O905" t="s">
        <v>16</v>
      </c>
      <c r="P905" t="s">
        <v>52</v>
      </c>
      <c r="Q905" t="str">
        <f t="shared" si="113"/>
        <v>7.5</v>
      </c>
      <c r="R905" s="5">
        <v>46193</v>
      </c>
      <c r="S905" s="8">
        <f t="shared" si="114"/>
        <v>71.526822558459429</v>
      </c>
      <c r="T905">
        <f t="shared" si="115"/>
        <v>624000</v>
      </c>
      <c r="U905" t="str">
        <f t="shared" si="116"/>
        <v>Mid</v>
      </c>
      <c r="V905" t="str">
        <f t="shared" si="117"/>
        <v>Medium</v>
      </c>
      <c r="W905" t="str">
        <f>IF(S905 &lt; VLOOKUP(E905, Locality_Tier_Benchmarks!A:B, 2, FALSE) * 0.7, "Below Tier Range", "Normal")</f>
        <v>Normal</v>
      </c>
      <c r="X905" t="str">
        <f t="shared" si="118"/>
        <v>Normal</v>
      </c>
      <c r="Y905" t="str">
        <f t="shared" si="119"/>
        <v>Normal</v>
      </c>
      <c r="Z905" t="str">
        <f t="shared" si="112"/>
        <v>Pass</v>
      </c>
    </row>
    <row r="906" spans="1:26" x14ac:dyDescent="0.25">
      <c r="A906" s="2" t="s">
        <v>1802</v>
      </c>
      <c r="B906" t="s">
        <v>17</v>
      </c>
      <c r="C906" t="s">
        <v>493</v>
      </c>
      <c r="D906" s="2" t="str">
        <f>VLOOKUP(C906,Locality_Reference!A:C,2,)</f>
        <v>Central Line</v>
      </c>
      <c r="E906" s="2" t="str">
        <f>VLOOKUP(C906,Locality_Reference!A:C,3,)</f>
        <v>Far Suburb</v>
      </c>
      <c r="F906" s="2" t="s">
        <v>1943</v>
      </c>
      <c r="G906" s="8">
        <v>42000</v>
      </c>
      <c r="H906">
        <v>2</v>
      </c>
      <c r="I906">
        <v>2</v>
      </c>
      <c r="J906">
        <v>15</v>
      </c>
      <c r="K906">
        <v>21</v>
      </c>
      <c r="L906">
        <v>550</v>
      </c>
      <c r="M906" t="s">
        <v>36</v>
      </c>
      <c r="N906" t="s">
        <v>15</v>
      </c>
      <c r="O906" t="s">
        <v>16</v>
      </c>
      <c r="P906" t="s">
        <v>47</v>
      </c>
      <c r="Q906" t="str">
        <f t="shared" si="113"/>
        <v>1</v>
      </c>
      <c r="R906" s="5">
        <v>46196</v>
      </c>
      <c r="S906" s="8">
        <f t="shared" si="114"/>
        <v>76.36363636363636</v>
      </c>
      <c r="T906">
        <f t="shared" si="115"/>
        <v>504000</v>
      </c>
      <c r="U906" t="str">
        <f t="shared" si="116"/>
        <v>Mid</v>
      </c>
      <c r="V906" t="str">
        <f t="shared" si="117"/>
        <v>Medium</v>
      </c>
      <c r="W906" t="str">
        <f>IF(S906 &lt; VLOOKUP(E906, Locality_Tier_Benchmarks!A:B, 2, FALSE) * 0.7, "Below Tier Range", "Normal")</f>
        <v>Normal</v>
      </c>
      <c r="X906" t="str">
        <f t="shared" si="118"/>
        <v>Normal</v>
      </c>
      <c r="Y906" t="str">
        <f t="shared" si="119"/>
        <v>Normal</v>
      </c>
      <c r="Z906" t="str">
        <f t="shared" si="112"/>
        <v>Pass</v>
      </c>
    </row>
    <row r="907" spans="1:26" x14ac:dyDescent="0.25">
      <c r="A907" s="2" t="s">
        <v>1803</v>
      </c>
      <c r="B907" t="s">
        <v>17</v>
      </c>
      <c r="C907" t="s">
        <v>493</v>
      </c>
      <c r="D907" s="2" t="str">
        <f>VLOOKUP(C907,Locality_Reference!A:C,2,)</f>
        <v>Central Line</v>
      </c>
      <c r="E907" s="2" t="str">
        <f>VLOOKUP(C907,Locality_Reference!A:C,3,)</f>
        <v>Far Suburb</v>
      </c>
      <c r="F907" s="2" t="s">
        <v>1944</v>
      </c>
      <c r="G907" s="8">
        <v>39000</v>
      </c>
      <c r="H907">
        <v>2</v>
      </c>
      <c r="I907">
        <v>2</v>
      </c>
      <c r="J907">
        <v>3</v>
      </c>
      <c r="K907">
        <v>7</v>
      </c>
      <c r="L907">
        <v>630</v>
      </c>
      <c r="M907" t="s">
        <v>36</v>
      </c>
      <c r="N907" t="s">
        <v>15</v>
      </c>
      <c r="O907" t="s">
        <v>16</v>
      </c>
      <c r="P907" t="s">
        <v>34</v>
      </c>
      <c r="Q907" t="str">
        <f t="shared" si="113"/>
        <v/>
      </c>
      <c r="R907" s="5">
        <v>46200</v>
      </c>
      <c r="S907" s="8">
        <f t="shared" si="114"/>
        <v>61.904761904761905</v>
      </c>
      <c r="T907">
        <f t="shared" si="115"/>
        <v>468000</v>
      </c>
      <c r="U907" t="str">
        <f t="shared" si="116"/>
        <v>Mid</v>
      </c>
      <c r="V907" t="str">
        <f t="shared" si="117"/>
        <v>Medium</v>
      </c>
      <c r="W907" t="str">
        <f>IF(S907 &lt; VLOOKUP(E907, Locality_Tier_Benchmarks!A:B, 2, FALSE) * 0.7, "Below Tier Range", "Normal")</f>
        <v>Normal</v>
      </c>
      <c r="X907" t="str">
        <f t="shared" si="118"/>
        <v>Normal</v>
      </c>
      <c r="Y907" t="str">
        <f t="shared" si="119"/>
        <v>Normal</v>
      </c>
      <c r="Z907" t="str">
        <f t="shared" si="112"/>
        <v>Pass</v>
      </c>
    </row>
    <row r="908" spans="1:26" x14ac:dyDescent="0.25">
      <c r="A908" s="2" t="s">
        <v>1804</v>
      </c>
      <c r="B908" t="s">
        <v>17</v>
      </c>
      <c r="C908" t="s">
        <v>493</v>
      </c>
      <c r="D908" s="2" t="str">
        <f>VLOOKUP(C908,Locality_Reference!A:C,2,)</f>
        <v>Central Line</v>
      </c>
      <c r="E908" s="2" t="str">
        <f>VLOOKUP(C908,Locality_Reference!A:C,3,)</f>
        <v>Far Suburb</v>
      </c>
      <c r="F908" s="2" t="s">
        <v>1945</v>
      </c>
      <c r="G908" s="8">
        <v>53000</v>
      </c>
      <c r="H908">
        <v>3</v>
      </c>
      <c r="I908">
        <v>3</v>
      </c>
      <c r="J908">
        <v>10</v>
      </c>
      <c r="K908">
        <v>20</v>
      </c>
      <c r="L908">
        <v>750</v>
      </c>
      <c r="M908" t="s">
        <v>33</v>
      </c>
      <c r="N908" t="s">
        <v>15</v>
      </c>
      <c r="O908" t="s">
        <v>16</v>
      </c>
      <c r="P908" t="s">
        <v>31</v>
      </c>
      <c r="Q908" t="str">
        <f t="shared" si="113"/>
        <v>3</v>
      </c>
      <c r="R908" s="5">
        <v>46202</v>
      </c>
      <c r="S908" s="8">
        <f t="shared" si="114"/>
        <v>70.666666666666671</v>
      </c>
      <c r="T908">
        <f t="shared" si="115"/>
        <v>636000</v>
      </c>
      <c r="U908" t="str">
        <f t="shared" si="116"/>
        <v>Mid</v>
      </c>
      <c r="V908" t="str">
        <f t="shared" si="117"/>
        <v>Medium</v>
      </c>
      <c r="W908" t="str">
        <f>IF(S908 &lt; VLOOKUP(E908, Locality_Tier_Benchmarks!A:B, 2, FALSE) * 0.7, "Below Tier Range", "Normal")</f>
        <v>Normal</v>
      </c>
      <c r="X908" t="str">
        <f t="shared" si="118"/>
        <v>Normal</v>
      </c>
      <c r="Y908" t="str">
        <f t="shared" si="119"/>
        <v>Normal</v>
      </c>
      <c r="Z908" t="str">
        <f t="shared" si="112"/>
        <v>Pass</v>
      </c>
    </row>
    <row r="909" spans="1:26" x14ac:dyDescent="0.25">
      <c r="A909" s="2" t="s">
        <v>1805</v>
      </c>
      <c r="B909" t="s">
        <v>17</v>
      </c>
      <c r="C909" t="s">
        <v>493</v>
      </c>
      <c r="D909" s="2" t="str">
        <f>VLOOKUP(C909,Locality_Reference!A:C,2,)</f>
        <v>Central Line</v>
      </c>
      <c r="E909" s="2" t="str">
        <f>VLOOKUP(C909,Locality_Reference!A:C,3,)</f>
        <v>Far Suburb</v>
      </c>
      <c r="F909" s="2" t="s">
        <v>1946</v>
      </c>
      <c r="G909" s="8">
        <v>55000</v>
      </c>
      <c r="H909">
        <v>3</v>
      </c>
      <c r="I909">
        <v>2</v>
      </c>
      <c r="J909">
        <v>10</v>
      </c>
      <c r="K909">
        <v>12</v>
      </c>
      <c r="L909">
        <v>800</v>
      </c>
      <c r="M909" t="s">
        <v>36</v>
      </c>
      <c r="N909" t="s">
        <v>15</v>
      </c>
      <c r="O909" t="s">
        <v>16</v>
      </c>
      <c r="P909" t="s">
        <v>52</v>
      </c>
      <c r="Q909" t="str">
        <f t="shared" si="113"/>
        <v>7.5</v>
      </c>
      <c r="R909" s="5">
        <v>46196</v>
      </c>
      <c r="S909" s="8">
        <f t="shared" si="114"/>
        <v>68.75</v>
      </c>
      <c r="T909">
        <f t="shared" si="115"/>
        <v>660000</v>
      </c>
      <c r="U909" t="str">
        <f t="shared" si="116"/>
        <v>Mid</v>
      </c>
      <c r="V909" t="str">
        <f t="shared" si="117"/>
        <v>Medium</v>
      </c>
      <c r="W909" t="str">
        <f>IF(S909 &lt; VLOOKUP(E909, Locality_Tier_Benchmarks!A:B, 2, FALSE) * 0.7, "Below Tier Range", "Normal")</f>
        <v>Normal</v>
      </c>
      <c r="X909" t="str">
        <f t="shared" si="118"/>
        <v>Normal</v>
      </c>
      <c r="Y909" t="str">
        <f t="shared" si="119"/>
        <v>Normal</v>
      </c>
      <c r="Z909" t="str">
        <f t="shared" si="112"/>
        <v>Pass</v>
      </c>
    </row>
    <row r="910" spans="1:26" x14ac:dyDescent="0.25">
      <c r="A910" s="2" t="s">
        <v>1806</v>
      </c>
      <c r="B910" t="s">
        <v>17</v>
      </c>
      <c r="C910" t="s">
        <v>493</v>
      </c>
      <c r="D910" s="2" t="str">
        <f>VLOOKUP(C910,Locality_Reference!A:C,2,)</f>
        <v>Central Line</v>
      </c>
      <c r="E910" s="2" t="str">
        <f>VLOOKUP(C910,Locality_Reference!A:C,3,)</f>
        <v>Far Suburb</v>
      </c>
      <c r="F910" s="2" t="s">
        <v>1947</v>
      </c>
      <c r="G910" s="8">
        <v>75000</v>
      </c>
      <c r="H910">
        <v>3</v>
      </c>
      <c r="I910">
        <v>2</v>
      </c>
      <c r="J910">
        <v>9</v>
      </c>
      <c r="K910">
        <v>14</v>
      </c>
      <c r="L910">
        <v>845</v>
      </c>
      <c r="M910" t="s">
        <v>14</v>
      </c>
      <c r="N910" t="s">
        <v>15</v>
      </c>
      <c r="O910" t="s">
        <v>16</v>
      </c>
      <c r="P910" t="s">
        <v>23</v>
      </c>
      <c r="Q910" t="str">
        <f t="shared" si="113"/>
        <v>10</v>
      </c>
      <c r="R910" s="5">
        <v>46190</v>
      </c>
      <c r="S910" s="8">
        <f t="shared" si="114"/>
        <v>88.757396449704146</v>
      </c>
      <c r="T910">
        <f t="shared" si="115"/>
        <v>900000</v>
      </c>
      <c r="U910" t="str">
        <f t="shared" si="116"/>
        <v>Premium</v>
      </c>
      <c r="V910" t="str">
        <f t="shared" si="117"/>
        <v>Large</v>
      </c>
      <c r="W910" t="str">
        <f>IF(S910 &lt; VLOOKUP(E910, Locality_Tier_Benchmarks!A:B, 2, FALSE) * 0.7, "Below Tier Range", "Normal")</f>
        <v>Normal</v>
      </c>
      <c r="X910" t="str">
        <f t="shared" si="118"/>
        <v>Normal</v>
      </c>
      <c r="Y910" t="str">
        <f t="shared" si="119"/>
        <v>Normal</v>
      </c>
      <c r="Z910" t="str">
        <f t="shared" si="112"/>
        <v>Pass</v>
      </c>
    </row>
    <row r="911" spans="1:26" x14ac:dyDescent="0.25">
      <c r="A911" s="2" t="s">
        <v>1807</v>
      </c>
      <c r="B911" t="s">
        <v>17</v>
      </c>
      <c r="C911" t="s">
        <v>493</v>
      </c>
      <c r="D911" s="2" t="str">
        <f>VLOOKUP(C911,Locality_Reference!A:C,2,)</f>
        <v>Central Line</v>
      </c>
      <c r="E911" s="2" t="str">
        <f>VLOOKUP(C911,Locality_Reference!A:C,3,)</f>
        <v>Far Suburb</v>
      </c>
      <c r="F911" s="2" t="s">
        <v>1948</v>
      </c>
      <c r="G911" s="8">
        <v>70000</v>
      </c>
      <c r="H911">
        <v>3</v>
      </c>
      <c r="I911">
        <v>3</v>
      </c>
      <c r="J911">
        <v>7</v>
      </c>
      <c r="K911">
        <v>17</v>
      </c>
      <c r="L911">
        <v>950</v>
      </c>
      <c r="M911" t="s">
        <v>33</v>
      </c>
      <c r="N911" t="s">
        <v>15</v>
      </c>
      <c r="O911" t="s">
        <v>16</v>
      </c>
      <c r="P911" t="s">
        <v>47</v>
      </c>
      <c r="Q911" t="str">
        <f t="shared" si="113"/>
        <v>1</v>
      </c>
      <c r="R911" s="5">
        <v>46193</v>
      </c>
      <c r="S911" s="8">
        <f t="shared" si="114"/>
        <v>73.684210526315795</v>
      </c>
      <c r="T911">
        <f t="shared" si="115"/>
        <v>840000</v>
      </c>
      <c r="U911" t="str">
        <f t="shared" si="116"/>
        <v>Premium</v>
      </c>
      <c r="V911" t="str">
        <f t="shared" si="117"/>
        <v>Large</v>
      </c>
      <c r="W911" t="str">
        <f>IF(S911 &lt; VLOOKUP(E911, Locality_Tier_Benchmarks!A:B, 2, FALSE) * 0.7, "Below Tier Range", "Normal")</f>
        <v>Normal</v>
      </c>
      <c r="X911" t="str">
        <f t="shared" si="118"/>
        <v>Normal</v>
      </c>
      <c r="Y911" t="str">
        <f t="shared" si="119"/>
        <v>Normal</v>
      </c>
      <c r="Z911" t="str">
        <f t="shared" si="112"/>
        <v>Pass</v>
      </c>
    </row>
    <row r="912" spans="1:26" x14ac:dyDescent="0.25">
      <c r="A912" s="2" t="s">
        <v>1808</v>
      </c>
      <c r="B912" t="s">
        <v>17</v>
      </c>
      <c r="C912" t="s">
        <v>493</v>
      </c>
      <c r="D912" s="2" t="str">
        <f>VLOOKUP(C912,Locality_Reference!A:C,2,)</f>
        <v>Central Line</v>
      </c>
      <c r="E912" s="2" t="str">
        <f>VLOOKUP(C912,Locality_Reference!A:C,3,)</f>
        <v>Far Suburb</v>
      </c>
      <c r="F912" s="2" t="s">
        <v>1949</v>
      </c>
      <c r="G912" s="8">
        <v>60000</v>
      </c>
      <c r="H912">
        <v>3</v>
      </c>
      <c r="I912">
        <v>3</v>
      </c>
      <c r="J912">
        <v>4</v>
      </c>
      <c r="K912">
        <v>7</v>
      </c>
      <c r="L912">
        <v>1000</v>
      </c>
      <c r="M912" t="s">
        <v>36</v>
      </c>
      <c r="N912" t="s">
        <v>15</v>
      </c>
      <c r="O912" t="s">
        <v>16</v>
      </c>
      <c r="P912" t="s">
        <v>23</v>
      </c>
      <c r="Q912" t="str">
        <f t="shared" si="113"/>
        <v>10</v>
      </c>
      <c r="R912" s="5">
        <v>46198</v>
      </c>
      <c r="S912" s="8">
        <f t="shared" si="114"/>
        <v>60</v>
      </c>
      <c r="T912">
        <f t="shared" si="115"/>
        <v>720000</v>
      </c>
      <c r="U912" t="str">
        <f t="shared" si="116"/>
        <v>Mid</v>
      </c>
      <c r="V912" t="str">
        <f t="shared" si="117"/>
        <v>Large</v>
      </c>
      <c r="W912" t="str">
        <f>IF(S912 &lt; VLOOKUP(E912, Locality_Tier_Benchmarks!A:B, 2, FALSE) * 0.7, "Below Tier Range", "Normal")</f>
        <v>Normal</v>
      </c>
      <c r="X912" t="str">
        <f t="shared" si="118"/>
        <v>Normal</v>
      </c>
      <c r="Y912" t="str">
        <f t="shared" si="119"/>
        <v>Normal</v>
      </c>
      <c r="Z912" t="str">
        <f t="shared" si="112"/>
        <v>Pass</v>
      </c>
    </row>
    <row r="913" spans="1:26" x14ac:dyDescent="0.25">
      <c r="A913" s="2" t="s">
        <v>1809</v>
      </c>
      <c r="B913" t="s">
        <v>17</v>
      </c>
      <c r="C913" t="s">
        <v>494</v>
      </c>
      <c r="D913" s="2" t="str">
        <f>VLOOKUP(C913,Locality_Reference!A:C,2,)</f>
        <v>Central Line</v>
      </c>
      <c r="E913" s="2" t="str">
        <f>VLOOKUP(C913,Locality_Reference!A:C,3,)</f>
        <v>Far Suburb</v>
      </c>
      <c r="F913" s="2" t="s">
        <v>1950</v>
      </c>
      <c r="G913" s="8">
        <v>31000</v>
      </c>
      <c r="H913">
        <v>1</v>
      </c>
      <c r="I913">
        <v>2</v>
      </c>
      <c r="J913">
        <v>10</v>
      </c>
      <c r="K913">
        <v>18</v>
      </c>
      <c r="L913">
        <v>419</v>
      </c>
      <c r="M913" t="s">
        <v>33</v>
      </c>
      <c r="N913" t="s">
        <v>29</v>
      </c>
      <c r="O913" t="s">
        <v>16</v>
      </c>
      <c r="P913" t="s">
        <v>31</v>
      </c>
      <c r="Q913" t="str">
        <f t="shared" si="113"/>
        <v>3</v>
      </c>
      <c r="R913" s="5">
        <v>46154</v>
      </c>
      <c r="S913" s="8">
        <f t="shared" si="114"/>
        <v>73.985680190930793</v>
      </c>
      <c r="T913">
        <f t="shared" si="115"/>
        <v>372000</v>
      </c>
      <c r="U913" t="str">
        <f t="shared" si="116"/>
        <v>Mid</v>
      </c>
      <c r="V913" t="str">
        <f t="shared" si="117"/>
        <v>Compact</v>
      </c>
      <c r="W913" t="str">
        <f>IF(S913 &lt; VLOOKUP(E913, Locality_Tier_Benchmarks!A:B, 2, FALSE) * 0.7, "Below Tier Range", "Normal")</f>
        <v>Normal</v>
      </c>
      <c r="X913" t="str">
        <f t="shared" si="118"/>
        <v>Normal</v>
      </c>
      <c r="Y913" t="str">
        <f t="shared" si="119"/>
        <v>Normal</v>
      </c>
      <c r="Z913" t="str">
        <f t="shared" si="112"/>
        <v>Pass</v>
      </c>
    </row>
    <row r="914" spans="1:26" x14ac:dyDescent="0.25">
      <c r="A914" s="2" t="s">
        <v>1810</v>
      </c>
      <c r="B914" t="s">
        <v>17</v>
      </c>
      <c r="C914" t="s">
        <v>494</v>
      </c>
      <c r="D914" s="2" t="str">
        <f>VLOOKUP(C914,Locality_Reference!A:C,2,)</f>
        <v>Central Line</v>
      </c>
      <c r="E914" s="2" t="str">
        <f>VLOOKUP(C914,Locality_Reference!A:C,3,)</f>
        <v>Far Suburb</v>
      </c>
      <c r="F914" s="2" t="s">
        <v>1951</v>
      </c>
      <c r="G914" s="8">
        <v>32000</v>
      </c>
      <c r="H914">
        <v>1</v>
      </c>
      <c r="I914">
        <v>1</v>
      </c>
      <c r="J914">
        <v>3</v>
      </c>
      <c r="K914">
        <v>3</v>
      </c>
      <c r="L914">
        <v>580</v>
      </c>
      <c r="M914" t="s">
        <v>14</v>
      </c>
      <c r="N914" t="s">
        <v>29</v>
      </c>
      <c r="O914" t="s">
        <v>16</v>
      </c>
      <c r="P914" t="s">
        <v>23</v>
      </c>
      <c r="Q914" t="str">
        <f t="shared" si="113"/>
        <v>10</v>
      </c>
      <c r="R914" s="5">
        <v>46203</v>
      </c>
      <c r="S914" s="8">
        <f t="shared" si="114"/>
        <v>55.172413793103445</v>
      </c>
      <c r="T914">
        <f t="shared" si="115"/>
        <v>384000</v>
      </c>
      <c r="U914" t="str">
        <f t="shared" si="116"/>
        <v>Mid</v>
      </c>
      <c r="V914" t="str">
        <f t="shared" si="117"/>
        <v>Medium</v>
      </c>
      <c r="W914" t="str">
        <f>IF(S914 &lt; VLOOKUP(E914, Locality_Tier_Benchmarks!A:B, 2, FALSE) * 0.7, "Below Tier Range", "Normal")</f>
        <v>Normal</v>
      </c>
      <c r="X914" t="str">
        <f t="shared" si="118"/>
        <v>Normal</v>
      </c>
      <c r="Y914" t="str">
        <f t="shared" si="119"/>
        <v>Normal</v>
      </c>
      <c r="Z914" t="str">
        <f t="shared" si="112"/>
        <v>Pass</v>
      </c>
    </row>
    <row r="915" spans="1:26" x14ac:dyDescent="0.25">
      <c r="A915" s="2" t="s">
        <v>1811</v>
      </c>
      <c r="B915" t="s">
        <v>17</v>
      </c>
      <c r="C915" t="s">
        <v>494</v>
      </c>
      <c r="D915" s="2" t="str">
        <f>VLOOKUP(C915,Locality_Reference!A:C,2,)</f>
        <v>Central Line</v>
      </c>
      <c r="E915" s="2" t="str">
        <f>VLOOKUP(C915,Locality_Reference!A:C,3,)</f>
        <v>Far Suburb</v>
      </c>
      <c r="F915" s="2" t="s">
        <v>1952</v>
      </c>
      <c r="G915" s="8">
        <v>19888</v>
      </c>
      <c r="H915">
        <v>1</v>
      </c>
      <c r="I915">
        <v>2</v>
      </c>
      <c r="J915">
        <v>5</v>
      </c>
      <c r="K915">
        <v>30</v>
      </c>
      <c r="L915">
        <v>340</v>
      </c>
      <c r="M915" t="s">
        <v>36</v>
      </c>
      <c r="N915" t="s">
        <v>29</v>
      </c>
      <c r="O915" t="s">
        <v>16</v>
      </c>
      <c r="P915" t="s">
        <v>47</v>
      </c>
      <c r="Q915" t="str">
        <f t="shared" si="113"/>
        <v>1</v>
      </c>
      <c r="R915" s="5">
        <v>46198</v>
      </c>
      <c r="S915" s="8">
        <f t="shared" si="114"/>
        <v>58.494117647058822</v>
      </c>
      <c r="T915">
        <f t="shared" si="115"/>
        <v>238656</v>
      </c>
      <c r="U915" t="str">
        <f t="shared" si="116"/>
        <v>Budget</v>
      </c>
      <c r="V915" t="str">
        <f t="shared" si="117"/>
        <v>Compact</v>
      </c>
      <c r="W915" t="str">
        <f>IF(S915 &lt; VLOOKUP(E915, Locality_Tier_Benchmarks!A:B, 2, FALSE) * 0.7, "Below Tier Range", "Normal")</f>
        <v>Normal</v>
      </c>
      <c r="X915" t="str">
        <f t="shared" si="118"/>
        <v>Normal</v>
      </c>
      <c r="Y915" t="str">
        <f t="shared" si="119"/>
        <v>Normal</v>
      </c>
      <c r="Z915" t="str">
        <f t="shared" si="112"/>
        <v>Pass</v>
      </c>
    </row>
    <row r="916" spans="1:26" x14ac:dyDescent="0.25">
      <c r="A916" s="2" t="s">
        <v>1812</v>
      </c>
      <c r="B916" t="s">
        <v>17</v>
      </c>
      <c r="C916" t="s">
        <v>494</v>
      </c>
      <c r="D916" s="2" t="str">
        <f>VLOOKUP(C916,Locality_Reference!A:C,2,)</f>
        <v>Central Line</v>
      </c>
      <c r="E916" s="2" t="str">
        <f>VLOOKUP(C916,Locality_Reference!A:C,3,)</f>
        <v>Far Suburb</v>
      </c>
      <c r="F916" s="2" t="s">
        <v>1953</v>
      </c>
      <c r="G916" s="8">
        <v>15300</v>
      </c>
      <c r="H916">
        <v>1</v>
      </c>
      <c r="I916">
        <v>2</v>
      </c>
      <c r="J916">
        <v>12</v>
      </c>
      <c r="K916">
        <v>17</v>
      </c>
      <c r="L916">
        <v>481</v>
      </c>
      <c r="M916" t="s">
        <v>33</v>
      </c>
      <c r="N916" t="s">
        <v>29</v>
      </c>
      <c r="O916" t="s">
        <v>16</v>
      </c>
      <c r="P916" t="s">
        <v>31</v>
      </c>
      <c r="Q916" t="str">
        <f t="shared" si="113"/>
        <v>3</v>
      </c>
      <c r="R916" s="5">
        <v>46197</v>
      </c>
      <c r="S916" s="8">
        <f t="shared" si="114"/>
        <v>31.80873180873181</v>
      </c>
      <c r="T916">
        <f t="shared" si="115"/>
        <v>183600</v>
      </c>
      <c r="U916" t="str">
        <f t="shared" si="116"/>
        <v>Budget</v>
      </c>
      <c r="V916" t="str">
        <f t="shared" si="117"/>
        <v>Compact</v>
      </c>
      <c r="W916" t="str">
        <f>IF(S916 &lt; VLOOKUP(E916, Locality_Tier_Benchmarks!A:B, 2, FALSE) * 0.7, "Below Tier Range", "Normal")</f>
        <v>Normal</v>
      </c>
      <c r="X916" t="str">
        <f t="shared" si="118"/>
        <v>Normal</v>
      </c>
      <c r="Y916" t="str">
        <f t="shared" si="119"/>
        <v>Normal</v>
      </c>
      <c r="Z916" t="str">
        <f t="shared" si="112"/>
        <v>Pass</v>
      </c>
    </row>
    <row r="917" spans="1:26" x14ac:dyDescent="0.25">
      <c r="A917" s="2" t="s">
        <v>1813</v>
      </c>
      <c r="B917" t="s">
        <v>17</v>
      </c>
      <c r="C917" t="s">
        <v>494</v>
      </c>
      <c r="D917" s="2" t="str">
        <f>VLOOKUP(C917,Locality_Reference!A:C,2,)</f>
        <v>Central Line</v>
      </c>
      <c r="E917" s="2" t="str">
        <f>VLOOKUP(C917,Locality_Reference!A:C,3,)</f>
        <v>Far Suburb</v>
      </c>
      <c r="F917" s="2" t="s">
        <v>1954</v>
      </c>
      <c r="G917" s="8">
        <v>15100</v>
      </c>
      <c r="H917">
        <v>1</v>
      </c>
      <c r="I917">
        <v>1</v>
      </c>
      <c r="J917">
        <v>6</v>
      </c>
      <c r="K917">
        <v>27</v>
      </c>
      <c r="L917">
        <v>415</v>
      </c>
      <c r="M917" t="s">
        <v>33</v>
      </c>
      <c r="N917" t="s">
        <v>29</v>
      </c>
      <c r="O917" t="s">
        <v>16</v>
      </c>
      <c r="P917" t="s">
        <v>31</v>
      </c>
      <c r="Q917" t="str">
        <f t="shared" si="113"/>
        <v>3</v>
      </c>
      <c r="R917" s="5">
        <v>46197</v>
      </c>
      <c r="S917" s="8">
        <f t="shared" si="114"/>
        <v>36.385542168674696</v>
      </c>
      <c r="T917">
        <f t="shared" si="115"/>
        <v>181200</v>
      </c>
      <c r="U917" t="str">
        <f t="shared" si="116"/>
        <v>Budget</v>
      </c>
      <c r="V917" t="str">
        <f t="shared" si="117"/>
        <v>Compact</v>
      </c>
      <c r="W917" t="str">
        <f>IF(S917 &lt; VLOOKUP(E917, Locality_Tier_Benchmarks!A:B, 2, FALSE) * 0.7, "Below Tier Range", "Normal")</f>
        <v>Normal</v>
      </c>
      <c r="X917" t="str">
        <f t="shared" si="118"/>
        <v>Normal</v>
      </c>
      <c r="Y917" t="str">
        <f t="shared" si="119"/>
        <v>Normal</v>
      </c>
      <c r="Z917" t="str">
        <f t="shared" si="112"/>
        <v>Pass</v>
      </c>
    </row>
    <row r="918" spans="1:26" x14ac:dyDescent="0.25">
      <c r="A918" s="2" t="s">
        <v>1814</v>
      </c>
      <c r="B918" t="s">
        <v>17</v>
      </c>
      <c r="C918" t="s">
        <v>494</v>
      </c>
      <c r="D918" s="2" t="str">
        <f>VLOOKUP(C918,Locality_Reference!A:C,2,)</f>
        <v>Central Line</v>
      </c>
      <c r="E918" s="2" t="str">
        <f>VLOOKUP(C918,Locality_Reference!A:C,3,)</f>
        <v>Far Suburb</v>
      </c>
      <c r="F918" s="2" t="s">
        <v>1955</v>
      </c>
      <c r="G918" s="8">
        <v>47000</v>
      </c>
      <c r="H918">
        <v>2</v>
      </c>
      <c r="I918">
        <v>2</v>
      </c>
      <c r="J918">
        <v>7</v>
      </c>
      <c r="K918">
        <v>7</v>
      </c>
      <c r="L918">
        <v>710</v>
      </c>
      <c r="M918" t="s">
        <v>14</v>
      </c>
      <c r="N918" t="s">
        <v>15</v>
      </c>
      <c r="O918" t="s">
        <v>16</v>
      </c>
      <c r="P918" t="s">
        <v>52</v>
      </c>
      <c r="Q918" t="str">
        <f t="shared" si="113"/>
        <v>7.5</v>
      </c>
      <c r="R918" s="5">
        <v>46155</v>
      </c>
      <c r="S918" s="8">
        <f t="shared" si="114"/>
        <v>66.197183098591552</v>
      </c>
      <c r="T918">
        <f t="shared" si="115"/>
        <v>564000</v>
      </c>
      <c r="U918" t="str">
        <f t="shared" si="116"/>
        <v>Mid</v>
      </c>
      <c r="V918" t="str">
        <f t="shared" si="117"/>
        <v>Medium</v>
      </c>
      <c r="W918" t="str">
        <f>IF(S918 &lt; VLOOKUP(E918, Locality_Tier_Benchmarks!A:B, 2, FALSE) * 0.7, "Below Tier Range", "Normal")</f>
        <v>Normal</v>
      </c>
      <c r="X918" t="str">
        <f t="shared" si="118"/>
        <v>Normal</v>
      </c>
      <c r="Y918" t="str">
        <f t="shared" si="119"/>
        <v>Normal</v>
      </c>
      <c r="Z918" t="str">
        <f t="shared" si="112"/>
        <v>Pass</v>
      </c>
    </row>
    <row r="919" spans="1:26" x14ac:dyDescent="0.25">
      <c r="A919" s="2" t="s">
        <v>1815</v>
      </c>
      <c r="B919" t="s">
        <v>17</v>
      </c>
      <c r="C919" t="s">
        <v>494</v>
      </c>
      <c r="D919" s="2" t="str">
        <f>VLOOKUP(C919,Locality_Reference!A:C,2,)</f>
        <v>Central Line</v>
      </c>
      <c r="E919" s="2" t="str">
        <f>VLOOKUP(C919,Locality_Reference!A:C,3,)</f>
        <v>Far Suburb</v>
      </c>
      <c r="F919" s="2" t="s">
        <v>1956</v>
      </c>
      <c r="G919" s="8">
        <v>47000</v>
      </c>
      <c r="H919">
        <v>2</v>
      </c>
      <c r="I919">
        <v>2</v>
      </c>
      <c r="J919">
        <v>14</v>
      </c>
      <c r="K919">
        <v>26</v>
      </c>
      <c r="L919">
        <v>779</v>
      </c>
      <c r="M919" t="s">
        <v>36</v>
      </c>
      <c r="N919" t="s">
        <v>15</v>
      </c>
      <c r="O919" t="s">
        <v>16</v>
      </c>
      <c r="P919" t="s">
        <v>31</v>
      </c>
      <c r="Q919" t="str">
        <f t="shared" si="113"/>
        <v>3</v>
      </c>
      <c r="R919" s="5">
        <v>46175</v>
      </c>
      <c r="S919" s="8">
        <f t="shared" si="114"/>
        <v>60.333761232349168</v>
      </c>
      <c r="T919">
        <f t="shared" si="115"/>
        <v>564000</v>
      </c>
      <c r="U919" t="str">
        <f t="shared" si="116"/>
        <v>Mid</v>
      </c>
      <c r="V919" t="str">
        <f t="shared" si="117"/>
        <v>Medium</v>
      </c>
      <c r="W919" t="str">
        <f>IF(S919 &lt; VLOOKUP(E919, Locality_Tier_Benchmarks!A:B, 2, FALSE) * 0.7, "Below Tier Range", "Normal")</f>
        <v>Normal</v>
      </c>
      <c r="X919" t="str">
        <f t="shared" si="118"/>
        <v>Normal</v>
      </c>
      <c r="Y919" t="str">
        <f t="shared" si="119"/>
        <v>Normal</v>
      </c>
      <c r="Z919" t="str">
        <f t="shared" si="112"/>
        <v>Pass</v>
      </c>
    </row>
    <row r="920" spans="1:26" x14ac:dyDescent="0.25">
      <c r="A920" s="2" t="s">
        <v>1816</v>
      </c>
      <c r="B920" t="s">
        <v>17</v>
      </c>
      <c r="C920" t="s">
        <v>494</v>
      </c>
      <c r="D920" s="2" t="str">
        <f>VLOOKUP(C920,Locality_Reference!A:C,2,)</f>
        <v>Central Line</v>
      </c>
      <c r="E920" s="2" t="str">
        <f>VLOOKUP(C920,Locality_Reference!A:C,3,)</f>
        <v>Far Suburb</v>
      </c>
      <c r="F920" s="2" t="s">
        <v>1957</v>
      </c>
      <c r="G920" s="8">
        <v>35000</v>
      </c>
      <c r="H920">
        <v>2</v>
      </c>
      <c r="I920">
        <v>2</v>
      </c>
      <c r="J920">
        <v>29</v>
      </c>
      <c r="K920">
        <v>40</v>
      </c>
      <c r="L920">
        <v>568</v>
      </c>
      <c r="M920" t="s">
        <v>36</v>
      </c>
      <c r="N920" t="s">
        <v>15</v>
      </c>
      <c r="O920" t="s">
        <v>16</v>
      </c>
      <c r="P920" t="s">
        <v>31</v>
      </c>
      <c r="Q920" t="str">
        <f t="shared" si="113"/>
        <v>3</v>
      </c>
      <c r="R920" s="5">
        <v>46202</v>
      </c>
      <c r="S920" s="8">
        <f t="shared" si="114"/>
        <v>61.619718309859152</v>
      </c>
      <c r="T920">
        <f t="shared" si="115"/>
        <v>420000</v>
      </c>
      <c r="U920" t="str">
        <f t="shared" si="116"/>
        <v>Mid</v>
      </c>
      <c r="V920" t="str">
        <f t="shared" si="117"/>
        <v>Medium</v>
      </c>
      <c r="W920" t="str">
        <f>IF(S920 &lt; VLOOKUP(E920, Locality_Tier_Benchmarks!A:B, 2, FALSE) * 0.7, "Below Tier Range", "Normal")</f>
        <v>Normal</v>
      </c>
      <c r="X920" t="str">
        <f t="shared" si="118"/>
        <v>Normal</v>
      </c>
      <c r="Y920" t="str">
        <f t="shared" si="119"/>
        <v>Normal</v>
      </c>
      <c r="Z920" t="str">
        <f t="shared" si="112"/>
        <v>Pass</v>
      </c>
    </row>
    <row r="921" spans="1:26" x14ac:dyDescent="0.25">
      <c r="A921" s="2" t="s">
        <v>1817</v>
      </c>
      <c r="B921" t="s">
        <v>17</v>
      </c>
      <c r="C921" t="s">
        <v>494</v>
      </c>
      <c r="D921" s="2" t="str">
        <f>VLOOKUP(C921,Locality_Reference!A:C,2,)</f>
        <v>Central Line</v>
      </c>
      <c r="E921" s="2" t="str">
        <f>VLOOKUP(C921,Locality_Reference!A:C,3,)</f>
        <v>Far Suburb</v>
      </c>
      <c r="F921" s="2" t="s">
        <v>1958</v>
      </c>
      <c r="G921" s="8">
        <v>30000</v>
      </c>
      <c r="H921">
        <v>2</v>
      </c>
      <c r="I921">
        <v>2</v>
      </c>
      <c r="J921">
        <v>9</v>
      </c>
      <c r="K921">
        <v>23</v>
      </c>
      <c r="L921">
        <v>530</v>
      </c>
      <c r="M921" t="s">
        <v>36</v>
      </c>
      <c r="N921" t="s">
        <v>29</v>
      </c>
      <c r="O921" t="s">
        <v>16</v>
      </c>
      <c r="P921" t="s">
        <v>34</v>
      </c>
      <c r="Q921" t="str">
        <f t="shared" si="113"/>
        <v/>
      </c>
      <c r="R921" s="5">
        <v>46190</v>
      </c>
      <c r="S921" s="8">
        <f t="shared" si="114"/>
        <v>56.60377358490566</v>
      </c>
      <c r="T921">
        <f t="shared" si="115"/>
        <v>360000</v>
      </c>
      <c r="U921" t="str">
        <f t="shared" si="116"/>
        <v>Budget</v>
      </c>
      <c r="V921" t="str">
        <f t="shared" si="117"/>
        <v>Medium</v>
      </c>
      <c r="W921" t="str">
        <f>IF(S921 &lt; VLOOKUP(E921, Locality_Tier_Benchmarks!A:B, 2, FALSE) * 0.7, "Below Tier Range", "Normal")</f>
        <v>Normal</v>
      </c>
      <c r="X921" t="str">
        <f t="shared" si="118"/>
        <v>Normal</v>
      </c>
      <c r="Y921" t="str">
        <f t="shared" si="119"/>
        <v>Normal</v>
      </c>
      <c r="Z921" t="str">
        <f t="shared" si="112"/>
        <v>Pass</v>
      </c>
    </row>
    <row r="922" spans="1:26" x14ac:dyDescent="0.25">
      <c r="A922" s="2" t="s">
        <v>1818</v>
      </c>
      <c r="B922" t="s">
        <v>17</v>
      </c>
      <c r="C922" t="s">
        <v>494</v>
      </c>
      <c r="D922" s="2" t="str">
        <f>VLOOKUP(C922,Locality_Reference!A:C,2,)</f>
        <v>Central Line</v>
      </c>
      <c r="E922" s="2" t="str">
        <f>VLOOKUP(C922,Locality_Reference!A:C,3,)</f>
        <v>Far Suburb</v>
      </c>
      <c r="F922" s="2" t="s">
        <v>1959</v>
      </c>
      <c r="G922" s="8">
        <v>55000</v>
      </c>
      <c r="H922">
        <v>2</v>
      </c>
      <c r="I922">
        <v>2</v>
      </c>
      <c r="J922">
        <v>12</v>
      </c>
      <c r="K922">
        <v>26</v>
      </c>
      <c r="L922">
        <v>808</v>
      </c>
      <c r="M922" t="s">
        <v>36</v>
      </c>
      <c r="N922" t="s">
        <v>15</v>
      </c>
      <c r="O922" t="s">
        <v>16</v>
      </c>
      <c r="P922" t="s">
        <v>34</v>
      </c>
      <c r="Q922" t="str">
        <f t="shared" si="113"/>
        <v/>
      </c>
      <c r="R922" s="5">
        <v>46192</v>
      </c>
      <c r="S922" s="8">
        <f t="shared" si="114"/>
        <v>68.069306930693074</v>
      </c>
      <c r="T922">
        <f t="shared" si="115"/>
        <v>660000</v>
      </c>
      <c r="U922" t="str">
        <f t="shared" si="116"/>
        <v>Mid</v>
      </c>
      <c r="V922" t="str">
        <f t="shared" si="117"/>
        <v>Large</v>
      </c>
      <c r="W922" t="str">
        <f>IF(S922 &lt; VLOOKUP(E922, Locality_Tier_Benchmarks!A:B, 2, FALSE) * 0.7, "Below Tier Range", "Normal")</f>
        <v>Normal</v>
      </c>
      <c r="X922" t="str">
        <f t="shared" si="118"/>
        <v>Normal</v>
      </c>
      <c r="Y922" t="str">
        <f t="shared" si="119"/>
        <v>Normal</v>
      </c>
      <c r="Z922" t="str">
        <f t="shared" si="112"/>
        <v>Pass</v>
      </c>
    </row>
    <row r="923" spans="1:26" x14ac:dyDescent="0.25">
      <c r="A923" s="2" t="s">
        <v>1819</v>
      </c>
      <c r="B923" t="s">
        <v>17</v>
      </c>
      <c r="C923" t="s">
        <v>494</v>
      </c>
      <c r="D923" s="2" t="str">
        <f>VLOOKUP(C923,Locality_Reference!A:C,2,)</f>
        <v>Central Line</v>
      </c>
      <c r="E923" s="2" t="str">
        <f>VLOOKUP(C923,Locality_Reference!A:C,3,)</f>
        <v>Far Suburb</v>
      </c>
      <c r="F923" s="2" t="s">
        <v>1960</v>
      </c>
      <c r="G923" s="8">
        <v>84999</v>
      </c>
      <c r="H923">
        <v>3</v>
      </c>
      <c r="I923">
        <v>2</v>
      </c>
      <c r="J923">
        <v>18</v>
      </c>
      <c r="K923">
        <v>45</v>
      </c>
      <c r="L923">
        <v>1150</v>
      </c>
      <c r="M923" t="s">
        <v>14</v>
      </c>
      <c r="N923" t="s">
        <v>15</v>
      </c>
      <c r="O923" t="s">
        <v>16</v>
      </c>
      <c r="P923" t="s">
        <v>34</v>
      </c>
      <c r="Q923" t="str">
        <f t="shared" si="113"/>
        <v/>
      </c>
      <c r="R923" s="5">
        <v>46184</v>
      </c>
      <c r="S923" s="8">
        <f t="shared" si="114"/>
        <v>73.912173913043475</v>
      </c>
      <c r="T923">
        <f t="shared" si="115"/>
        <v>1019988</v>
      </c>
      <c r="U923" t="str">
        <f t="shared" si="116"/>
        <v>Premium</v>
      </c>
      <c r="V923" t="str">
        <f t="shared" si="117"/>
        <v>Large</v>
      </c>
      <c r="W923" t="str">
        <f>IF(S923 &lt; VLOOKUP(E923, Locality_Tier_Benchmarks!A:B, 2, FALSE) * 0.7, "Below Tier Range", "Normal")</f>
        <v>Normal</v>
      </c>
      <c r="X923" t="str">
        <f t="shared" si="118"/>
        <v>Normal</v>
      </c>
      <c r="Y923" t="str">
        <f t="shared" si="119"/>
        <v>Normal</v>
      </c>
      <c r="Z923" t="str">
        <f t="shared" si="112"/>
        <v>Pass</v>
      </c>
    </row>
    <row r="924" spans="1:26" x14ac:dyDescent="0.25">
      <c r="A924" s="2" t="s">
        <v>1820</v>
      </c>
      <c r="B924" t="s">
        <v>17</v>
      </c>
      <c r="C924" t="s">
        <v>494</v>
      </c>
      <c r="D924" s="2" t="str">
        <f>VLOOKUP(C924,Locality_Reference!A:C,2,)</f>
        <v>Central Line</v>
      </c>
      <c r="E924" s="2" t="str">
        <f>VLOOKUP(C924,Locality_Reference!A:C,3,)</f>
        <v>Far Suburb</v>
      </c>
      <c r="F924" s="2" t="s">
        <v>1961</v>
      </c>
      <c r="G924" s="8">
        <v>68000</v>
      </c>
      <c r="H924">
        <v>3</v>
      </c>
      <c r="I924">
        <v>3</v>
      </c>
      <c r="J924">
        <v>3</v>
      </c>
      <c r="K924">
        <v>29</v>
      </c>
      <c r="L924">
        <v>923</v>
      </c>
      <c r="M924" t="s">
        <v>33</v>
      </c>
      <c r="N924" t="s">
        <v>29</v>
      </c>
      <c r="O924" t="s">
        <v>16</v>
      </c>
      <c r="P924" t="s">
        <v>34</v>
      </c>
      <c r="Q924" t="str">
        <f t="shared" si="113"/>
        <v/>
      </c>
      <c r="R924" s="5">
        <v>46203</v>
      </c>
      <c r="S924" s="8">
        <f t="shared" si="114"/>
        <v>73.67280606717226</v>
      </c>
      <c r="T924">
        <f t="shared" si="115"/>
        <v>816000</v>
      </c>
      <c r="U924" t="str">
        <f t="shared" si="116"/>
        <v>Premium</v>
      </c>
      <c r="V924" t="str">
        <f t="shared" si="117"/>
        <v>Large</v>
      </c>
      <c r="W924" t="str">
        <f>IF(S924 &lt; VLOOKUP(E924, Locality_Tier_Benchmarks!A:B, 2, FALSE) * 0.7, "Below Tier Range", "Normal")</f>
        <v>Normal</v>
      </c>
      <c r="X924" t="str">
        <f t="shared" si="118"/>
        <v>Normal</v>
      </c>
      <c r="Y924" t="str">
        <f t="shared" si="119"/>
        <v>Normal</v>
      </c>
      <c r="Z924" t="str">
        <f t="shared" si="112"/>
        <v>Pass</v>
      </c>
    </row>
    <row r="925" spans="1:26" x14ac:dyDescent="0.25">
      <c r="A925" s="2" t="s">
        <v>1821</v>
      </c>
      <c r="B925" t="s">
        <v>17</v>
      </c>
      <c r="C925" t="s">
        <v>494</v>
      </c>
      <c r="D925" s="2" t="str">
        <f>VLOOKUP(C925,Locality_Reference!A:C,2,)</f>
        <v>Central Line</v>
      </c>
      <c r="E925" s="2" t="str">
        <f>VLOOKUP(C925,Locality_Reference!A:C,3,)</f>
        <v>Far Suburb</v>
      </c>
      <c r="F925" s="2" t="s">
        <v>1962</v>
      </c>
      <c r="G925" s="8">
        <v>34000</v>
      </c>
      <c r="H925">
        <v>3</v>
      </c>
      <c r="I925">
        <v>3</v>
      </c>
      <c r="J925">
        <v>1</v>
      </c>
      <c r="K925">
        <v>28</v>
      </c>
      <c r="L925">
        <v>1100</v>
      </c>
      <c r="M925" t="s">
        <v>36</v>
      </c>
      <c r="N925" t="s">
        <v>29</v>
      </c>
      <c r="O925" t="s">
        <v>16</v>
      </c>
      <c r="P925" t="s">
        <v>47</v>
      </c>
      <c r="Q925" t="str">
        <f t="shared" si="113"/>
        <v>1</v>
      </c>
      <c r="R925" s="5">
        <v>46197</v>
      </c>
      <c r="S925" s="8">
        <f t="shared" si="114"/>
        <v>30.90909090909091</v>
      </c>
      <c r="T925">
        <f t="shared" si="115"/>
        <v>408000</v>
      </c>
      <c r="U925" t="str">
        <f t="shared" si="116"/>
        <v>Mid</v>
      </c>
      <c r="V925" t="str">
        <f t="shared" si="117"/>
        <v>Large</v>
      </c>
      <c r="W925" t="str">
        <f>IF(S925 &lt; VLOOKUP(E925, Locality_Tier_Benchmarks!A:B, 2, FALSE) * 0.7, "Below Tier Range", "Normal")</f>
        <v>Normal</v>
      </c>
      <c r="X925" t="str">
        <f t="shared" si="118"/>
        <v>Normal</v>
      </c>
      <c r="Y925" t="str">
        <f t="shared" si="119"/>
        <v>Normal</v>
      </c>
      <c r="Z925" t="str">
        <f t="shared" si="112"/>
        <v>Pass</v>
      </c>
    </row>
    <row r="926" spans="1:26" x14ac:dyDescent="0.25">
      <c r="A926" s="2" t="s">
        <v>1822</v>
      </c>
      <c r="B926" t="s">
        <v>17</v>
      </c>
      <c r="C926" t="s">
        <v>494</v>
      </c>
      <c r="D926" s="2" t="str">
        <f>VLOOKUP(C926,Locality_Reference!A:C,2,)</f>
        <v>Central Line</v>
      </c>
      <c r="E926" s="2" t="str">
        <f>VLOOKUP(C926,Locality_Reference!A:C,3,)</f>
        <v>Far Suburb</v>
      </c>
      <c r="F926" s="2" t="s">
        <v>1959</v>
      </c>
      <c r="G926" s="8">
        <v>61999</v>
      </c>
      <c r="H926">
        <v>3</v>
      </c>
      <c r="I926">
        <v>3</v>
      </c>
      <c r="J926">
        <v>15</v>
      </c>
      <c r="K926">
        <v>26</v>
      </c>
      <c r="L926">
        <v>991</v>
      </c>
      <c r="M926" t="s">
        <v>36</v>
      </c>
      <c r="N926" t="s">
        <v>15</v>
      </c>
      <c r="O926" t="s">
        <v>16</v>
      </c>
      <c r="P926" t="s">
        <v>47</v>
      </c>
      <c r="Q926" t="str">
        <f t="shared" si="113"/>
        <v>1</v>
      </c>
      <c r="R926" s="5">
        <v>46180</v>
      </c>
      <c r="S926" s="8">
        <f t="shared" si="114"/>
        <v>62.562058526740664</v>
      </c>
      <c r="T926">
        <f t="shared" si="115"/>
        <v>743988</v>
      </c>
      <c r="U926" t="str">
        <f t="shared" si="116"/>
        <v>Premium</v>
      </c>
      <c r="V926" t="str">
        <f t="shared" si="117"/>
        <v>Large</v>
      </c>
      <c r="W926" t="str">
        <f>IF(S926 &lt; VLOOKUP(E926, Locality_Tier_Benchmarks!A:B, 2, FALSE) * 0.7, "Below Tier Range", "Normal")</f>
        <v>Normal</v>
      </c>
      <c r="X926" t="str">
        <f t="shared" si="118"/>
        <v>Normal</v>
      </c>
      <c r="Y926" t="str">
        <f t="shared" si="119"/>
        <v>Normal</v>
      </c>
      <c r="Z926" t="str">
        <f t="shared" si="112"/>
        <v>Pass</v>
      </c>
    </row>
    <row r="927" spans="1:26" x14ac:dyDescent="0.25">
      <c r="A927" s="2" t="s">
        <v>1823</v>
      </c>
      <c r="B927" t="s">
        <v>17</v>
      </c>
      <c r="C927" t="s">
        <v>494</v>
      </c>
      <c r="D927" s="2" t="str">
        <f>VLOOKUP(C927,Locality_Reference!A:C,2,)</f>
        <v>Central Line</v>
      </c>
      <c r="E927" s="2" t="str">
        <f>VLOOKUP(C927,Locality_Reference!A:C,3,)</f>
        <v>Far Suburb</v>
      </c>
      <c r="F927" s="2" t="s">
        <v>1963</v>
      </c>
      <c r="G927" s="8">
        <v>67000</v>
      </c>
      <c r="H927">
        <v>3</v>
      </c>
      <c r="I927">
        <v>3</v>
      </c>
      <c r="J927">
        <v>10</v>
      </c>
      <c r="K927">
        <v>13</v>
      </c>
      <c r="L927">
        <v>1100</v>
      </c>
      <c r="M927" t="s">
        <v>36</v>
      </c>
      <c r="N927" t="s">
        <v>15</v>
      </c>
      <c r="O927" t="s">
        <v>16</v>
      </c>
      <c r="P927" t="s">
        <v>52</v>
      </c>
      <c r="Q927" t="str">
        <f t="shared" si="113"/>
        <v>7.5</v>
      </c>
      <c r="R927" s="5">
        <v>46203</v>
      </c>
      <c r="S927" s="8">
        <f t="shared" si="114"/>
        <v>60.909090909090907</v>
      </c>
      <c r="T927">
        <f t="shared" si="115"/>
        <v>804000</v>
      </c>
      <c r="U927" t="str">
        <f t="shared" si="116"/>
        <v>Premium</v>
      </c>
      <c r="V927" t="str">
        <f t="shared" si="117"/>
        <v>Large</v>
      </c>
      <c r="W927" t="str">
        <f>IF(S927 &lt; VLOOKUP(E927, Locality_Tier_Benchmarks!A:B, 2, FALSE) * 0.7, "Below Tier Range", "Normal")</f>
        <v>Normal</v>
      </c>
      <c r="X927" t="str">
        <f t="shared" si="118"/>
        <v>Normal</v>
      </c>
      <c r="Y927" t="str">
        <f t="shared" si="119"/>
        <v>Normal</v>
      </c>
      <c r="Z927" t="str">
        <f t="shared" si="112"/>
        <v>Pass</v>
      </c>
    </row>
    <row r="928" spans="1:26" x14ac:dyDescent="0.25">
      <c r="A928" s="2" t="s">
        <v>1824</v>
      </c>
      <c r="B928" t="s">
        <v>17</v>
      </c>
      <c r="C928" t="s">
        <v>495</v>
      </c>
      <c r="D928" s="2" t="str">
        <f>VLOOKUP(C928,Locality_Reference!A:C,2,)</f>
        <v>Central Line</v>
      </c>
      <c r="E928" s="2" t="str">
        <f>VLOOKUP(C928,Locality_Reference!A:C,3,)</f>
        <v>Far Suburb</v>
      </c>
      <c r="F928" s="2" t="s">
        <v>1964</v>
      </c>
      <c r="G928" s="8">
        <v>26000</v>
      </c>
      <c r="H928">
        <v>1</v>
      </c>
      <c r="I928">
        <v>1</v>
      </c>
      <c r="J928">
        <v>0</v>
      </c>
      <c r="K928">
        <v>3</v>
      </c>
      <c r="L928">
        <v>535</v>
      </c>
      <c r="M928" t="s">
        <v>36</v>
      </c>
      <c r="N928" t="s">
        <v>15</v>
      </c>
      <c r="O928" t="s">
        <v>16</v>
      </c>
      <c r="P928" t="s">
        <v>34</v>
      </c>
      <c r="Q928" t="str">
        <f t="shared" si="113"/>
        <v/>
      </c>
      <c r="R928" s="5">
        <v>46196</v>
      </c>
      <c r="S928" s="8">
        <f t="shared" si="114"/>
        <v>48.598130841121495</v>
      </c>
      <c r="T928">
        <f t="shared" si="115"/>
        <v>312000</v>
      </c>
      <c r="U928" t="str">
        <f t="shared" si="116"/>
        <v>Budget</v>
      </c>
      <c r="V928" t="str">
        <f t="shared" si="117"/>
        <v>Medium</v>
      </c>
      <c r="W928" t="str">
        <f>IF(S928 &lt; VLOOKUP(E928, Locality_Tier_Benchmarks!A:B, 2, FALSE) * 0.7, "Below Tier Range", "Normal")</f>
        <v>Normal</v>
      </c>
      <c r="X928" t="str">
        <f t="shared" si="118"/>
        <v>Normal</v>
      </c>
      <c r="Y928" t="str">
        <f t="shared" si="119"/>
        <v>Normal</v>
      </c>
      <c r="Z928" t="str">
        <f t="shared" si="112"/>
        <v>Pass</v>
      </c>
    </row>
    <row r="929" spans="1:26" x14ac:dyDescent="0.25">
      <c r="A929" s="2" t="s">
        <v>1825</v>
      </c>
      <c r="B929" t="s">
        <v>17</v>
      </c>
      <c r="C929" t="s">
        <v>495</v>
      </c>
      <c r="D929" s="2" t="str">
        <f>VLOOKUP(C929,Locality_Reference!A:C,2,)</f>
        <v>Central Line</v>
      </c>
      <c r="E929" s="2" t="str">
        <f>VLOOKUP(C929,Locality_Reference!A:C,3,)</f>
        <v>Far Suburb</v>
      </c>
      <c r="F929" s="2" t="s">
        <v>1965</v>
      </c>
      <c r="G929" s="8">
        <v>25000</v>
      </c>
      <c r="H929">
        <v>1</v>
      </c>
      <c r="I929">
        <v>1</v>
      </c>
      <c r="J929">
        <v>5</v>
      </c>
      <c r="K929">
        <v>7</v>
      </c>
      <c r="L929">
        <v>450</v>
      </c>
      <c r="M929" t="s">
        <v>36</v>
      </c>
      <c r="N929" t="s">
        <v>29</v>
      </c>
      <c r="O929" t="s">
        <v>16</v>
      </c>
      <c r="P929" t="s">
        <v>34</v>
      </c>
      <c r="Q929" t="str">
        <f t="shared" si="113"/>
        <v/>
      </c>
      <c r="R929" s="5">
        <v>46193</v>
      </c>
      <c r="S929" s="8">
        <f t="shared" si="114"/>
        <v>55.555555555555557</v>
      </c>
      <c r="T929">
        <f t="shared" si="115"/>
        <v>300000</v>
      </c>
      <c r="U929" t="str">
        <f t="shared" si="116"/>
        <v>Budget</v>
      </c>
      <c r="V929" t="str">
        <f t="shared" si="117"/>
        <v>Compact</v>
      </c>
      <c r="W929" t="str">
        <f>IF(S929 &lt; VLOOKUP(E929, Locality_Tier_Benchmarks!A:B, 2, FALSE) * 0.7, "Below Tier Range", "Normal")</f>
        <v>Normal</v>
      </c>
      <c r="X929" t="str">
        <f t="shared" si="118"/>
        <v>Normal</v>
      </c>
      <c r="Y929" t="str">
        <f t="shared" si="119"/>
        <v>Normal</v>
      </c>
      <c r="Z929" t="str">
        <f t="shared" si="112"/>
        <v>Pass</v>
      </c>
    </row>
    <row r="930" spans="1:26" x14ac:dyDescent="0.25">
      <c r="A930" s="2" t="s">
        <v>1826</v>
      </c>
      <c r="B930" t="s">
        <v>17</v>
      </c>
      <c r="C930" t="s">
        <v>495</v>
      </c>
      <c r="D930" s="2" t="str">
        <f>VLOOKUP(C930,Locality_Reference!A:C,2,)</f>
        <v>Central Line</v>
      </c>
      <c r="E930" s="2" t="str">
        <f>VLOOKUP(C930,Locality_Reference!A:C,3,)</f>
        <v>Far Suburb</v>
      </c>
      <c r="F930" s="2" t="s">
        <v>1966</v>
      </c>
      <c r="G930" s="8">
        <v>25000</v>
      </c>
      <c r="H930">
        <v>1</v>
      </c>
      <c r="I930">
        <v>1</v>
      </c>
      <c r="J930">
        <v>4</v>
      </c>
      <c r="K930">
        <v>4</v>
      </c>
      <c r="L930">
        <v>550</v>
      </c>
      <c r="M930" t="s">
        <v>36</v>
      </c>
      <c r="N930" t="s">
        <v>15</v>
      </c>
      <c r="O930" t="s">
        <v>16</v>
      </c>
      <c r="P930" t="s">
        <v>23</v>
      </c>
      <c r="Q930" t="str">
        <f t="shared" si="113"/>
        <v>10</v>
      </c>
      <c r="R930" s="5">
        <v>46192</v>
      </c>
      <c r="S930" s="8">
        <f t="shared" si="114"/>
        <v>45.454545454545453</v>
      </c>
      <c r="T930">
        <f t="shared" si="115"/>
        <v>300000</v>
      </c>
      <c r="U930" t="str">
        <f t="shared" si="116"/>
        <v>Budget</v>
      </c>
      <c r="V930" t="str">
        <f t="shared" si="117"/>
        <v>Medium</v>
      </c>
      <c r="W930" t="str">
        <f>IF(S930 &lt; VLOOKUP(E930, Locality_Tier_Benchmarks!A:B, 2, FALSE) * 0.7, "Below Tier Range", "Normal")</f>
        <v>Normal</v>
      </c>
      <c r="X930" t="str">
        <f t="shared" si="118"/>
        <v>Normal</v>
      </c>
      <c r="Y930" t="str">
        <f t="shared" si="119"/>
        <v>Normal</v>
      </c>
      <c r="Z930" t="str">
        <f t="shared" si="112"/>
        <v>Pass</v>
      </c>
    </row>
    <row r="931" spans="1:26" x14ac:dyDescent="0.25">
      <c r="A931" s="2" t="s">
        <v>1827</v>
      </c>
      <c r="B931" t="s">
        <v>17</v>
      </c>
      <c r="C931" t="s">
        <v>495</v>
      </c>
      <c r="D931" s="2" t="str">
        <f>VLOOKUP(C931,Locality_Reference!A:C,2,)</f>
        <v>Central Line</v>
      </c>
      <c r="E931" s="2" t="str">
        <f>VLOOKUP(C931,Locality_Reference!A:C,3,)</f>
        <v>Far Suburb</v>
      </c>
      <c r="F931" s="2" t="s">
        <v>1967</v>
      </c>
      <c r="G931" s="8">
        <v>18000</v>
      </c>
      <c r="H931">
        <v>1</v>
      </c>
      <c r="I931">
        <v>2</v>
      </c>
      <c r="J931">
        <v>2</v>
      </c>
      <c r="K931">
        <v>3</v>
      </c>
      <c r="L931">
        <v>380</v>
      </c>
      <c r="M931" t="s">
        <v>33</v>
      </c>
      <c r="N931" t="s">
        <v>29</v>
      </c>
      <c r="O931" t="s">
        <v>16</v>
      </c>
      <c r="P931" t="s">
        <v>23</v>
      </c>
      <c r="Q931" t="str">
        <f t="shared" si="113"/>
        <v>10</v>
      </c>
      <c r="R931" s="5">
        <v>46198</v>
      </c>
      <c r="S931" s="8">
        <f t="shared" si="114"/>
        <v>47.368421052631582</v>
      </c>
      <c r="T931">
        <f t="shared" si="115"/>
        <v>216000</v>
      </c>
      <c r="U931" t="str">
        <f t="shared" si="116"/>
        <v>Budget</v>
      </c>
      <c r="V931" t="str">
        <f t="shared" si="117"/>
        <v>Compact</v>
      </c>
      <c r="W931" t="str">
        <f>IF(S931 &lt; VLOOKUP(E931, Locality_Tier_Benchmarks!A:B, 2, FALSE) * 0.7, "Below Tier Range", "Normal")</f>
        <v>Normal</v>
      </c>
      <c r="X931" t="str">
        <f t="shared" si="118"/>
        <v>Normal</v>
      </c>
      <c r="Y931" t="str">
        <f t="shared" si="119"/>
        <v>Normal</v>
      </c>
      <c r="Z931" t="str">
        <f t="shared" si="112"/>
        <v>Pass</v>
      </c>
    </row>
    <row r="932" spans="1:26" x14ac:dyDescent="0.25">
      <c r="A932" s="2" t="s">
        <v>1828</v>
      </c>
      <c r="B932" t="s">
        <v>17</v>
      </c>
      <c r="C932" t="s">
        <v>495</v>
      </c>
      <c r="D932" s="2" t="str">
        <f>VLOOKUP(C932,Locality_Reference!A:C,2,)</f>
        <v>Central Line</v>
      </c>
      <c r="E932" s="2" t="str">
        <f>VLOOKUP(C932,Locality_Reference!A:C,3,)</f>
        <v>Far Suburb</v>
      </c>
      <c r="F932" s="2" t="s">
        <v>1968</v>
      </c>
      <c r="G932" s="8">
        <v>32000</v>
      </c>
      <c r="H932">
        <v>1</v>
      </c>
      <c r="I932">
        <v>2</v>
      </c>
      <c r="J932">
        <v>0</v>
      </c>
      <c r="K932">
        <v>3</v>
      </c>
      <c r="L932">
        <v>500</v>
      </c>
      <c r="M932" t="s">
        <v>14</v>
      </c>
      <c r="N932" t="s">
        <v>15</v>
      </c>
      <c r="O932" t="s">
        <v>16</v>
      </c>
      <c r="P932" t="s">
        <v>34</v>
      </c>
      <c r="Q932" t="str">
        <f t="shared" si="113"/>
        <v/>
      </c>
      <c r="R932" s="5">
        <v>46191</v>
      </c>
      <c r="S932" s="8">
        <f t="shared" si="114"/>
        <v>64</v>
      </c>
      <c r="T932">
        <f t="shared" si="115"/>
        <v>384000</v>
      </c>
      <c r="U932" t="str">
        <f t="shared" si="116"/>
        <v>Mid</v>
      </c>
      <c r="V932" t="str">
        <f t="shared" si="117"/>
        <v>Compact</v>
      </c>
      <c r="W932" t="str">
        <f>IF(S932 &lt; VLOOKUP(E932, Locality_Tier_Benchmarks!A:B, 2, FALSE) * 0.7, "Below Tier Range", "Normal")</f>
        <v>Normal</v>
      </c>
      <c r="X932" t="str">
        <f t="shared" si="118"/>
        <v>Normal</v>
      </c>
      <c r="Y932" t="str">
        <f t="shared" si="119"/>
        <v>Normal</v>
      </c>
      <c r="Z932" t="str">
        <f t="shared" si="112"/>
        <v>Pass</v>
      </c>
    </row>
    <row r="933" spans="1:26" x14ac:dyDescent="0.25">
      <c r="A933" s="2" t="s">
        <v>1829</v>
      </c>
      <c r="B933" t="s">
        <v>17</v>
      </c>
      <c r="C933" t="s">
        <v>495</v>
      </c>
      <c r="D933" s="2" t="str">
        <f>VLOOKUP(C933,Locality_Reference!A:C,2,)</f>
        <v>Central Line</v>
      </c>
      <c r="E933" s="2" t="str">
        <f>VLOOKUP(C933,Locality_Reference!A:C,3,)</f>
        <v>Far Suburb</v>
      </c>
      <c r="F933" s="2" t="s">
        <v>1969</v>
      </c>
      <c r="G933" s="8">
        <v>45000</v>
      </c>
      <c r="H933">
        <v>2</v>
      </c>
      <c r="I933">
        <v>2</v>
      </c>
      <c r="J933">
        <v>9</v>
      </c>
      <c r="K933">
        <v>14</v>
      </c>
      <c r="L933">
        <v>950</v>
      </c>
      <c r="M933" t="s">
        <v>36</v>
      </c>
      <c r="N933" t="s">
        <v>15</v>
      </c>
      <c r="O933" t="s">
        <v>16</v>
      </c>
      <c r="P933" t="s">
        <v>52</v>
      </c>
      <c r="Q933" t="str">
        <f t="shared" si="113"/>
        <v>7.5</v>
      </c>
      <c r="R933" s="5">
        <v>46200</v>
      </c>
      <c r="S933" s="8">
        <f t="shared" si="114"/>
        <v>47.368421052631582</v>
      </c>
      <c r="T933">
        <f t="shared" si="115"/>
        <v>540000</v>
      </c>
      <c r="U933" t="str">
        <f t="shared" si="116"/>
        <v>Mid</v>
      </c>
      <c r="V933" t="str">
        <f t="shared" si="117"/>
        <v>Large</v>
      </c>
      <c r="W933" t="str">
        <f>IF(S933 &lt; VLOOKUP(E933, Locality_Tier_Benchmarks!A:B, 2, FALSE) * 0.7, "Below Tier Range", "Normal")</f>
        <v>Normal</v>
      </c>
      <c r="X933" t="str">
        <f t="shared" si="118"/>
        <v>Normal</v>
      </c>
      <c r="Y933" t="str">
        <f t="shared" si="119"/>
        <v>Normal</v>
      </c>
      <c r="Z933" t="str">
        <f t="shared" si="112"/>
        <v>Pass</v>
      </c>
    </row>
    <row r="934" spans="1:26" x14ac:dyDescent="0.25">
      <c r="A934" s="2" t="s">
        <v>1830</v>
      </c>
      <c r="B934" t="s">
        <v>17</v>
      </c>
      <c r="C934" t="s">
        <v>495</v>
      </c>
      <c r="D934" s="2" t="str">
        <f>VLOOKUP(C934,Locality_Reference!A:C,2,)</f>
        <v>Central Line</v>
      </c>
      <c r="E934" s="2" t="str">
        <f>VLOOKUP(C934,Locality_Reference!A:C,3,)</f>
        <v>Far Suburb</v>
      </c>
      <c r="F934" s="2" t="s">
        <v>1970</v>
      </c>
      <c r="G934" s="8">
        <v>30000</v>
      </c>
      <c r="H934">
        <v>2</v>
      </c>
      <c r="I934">
        <v>2</v>
      </c>
      <c r="J934">
        <v>2</v>
      </c>
      <c r="K934">
        <v>7</v>
      </c>
      <c r="L934">
        <v>750</v>
      </c>
      <c r="M934" t="s">
        <v>36</v>
      </c>
      <c r="N934" t="s">
        <v>15</v>
      </c>
      <c r="O934" t="s">
        <v>16</v>
      </c>
      <c r="P934" t="s">
        <v>31</v>
      </c>
      <c r="Q934" t="str">
        <f t="shared" si="113"/>
        <v>3</v>
      </c>
      <c r="R934" s="5">
        <v>46193</v>
      </c>
      <c r="S934" s="8">
        <f t="shared" si="114"/>
        <v>40</v>
      </c>
      <c r="T934">
        <f t="shared" si="115"/>
        <v>360000</v>
      </c>
      <c r="U934" t="str">
        <f t="shared" si="116"/>
        <v>Budget</v>
      </c>
      <c r="V934" t="str">
        <f t="shared" si="117"/>
        <v>Medium</v>
      </c>
      <c r="W934" t="str">
        <f>IF(S934 &lt; VLOOKUP(E934, Locality_Tier_Benchmarks!A:B, 2, FALSE) * 0.7, "Below Tier Range", "Normal")</f>
        <v>Normal</v>
      </c>
      <c r="X934" t="str">
        <f t="shared" si="118"/>
        <v>Normal</v>
      </c>
      <c r="Y934" t="str">
        <f t="shared" si="119"/>
        <v>Normal</v>
      </c>
      <c r="Z934" t="str">
        <f t="shared" si="112"/>
        <v>Pass</v>
      </c>
    </row>
    <row r="935" spans="1:26" x14ac:dyDescent="0.25">
      <c r="A935" s="2" t="s">
        <v>1831</v>
      </c>
      <c r="B935" t="s">
        <v>17</v>
      </c>
      <c r="C935" t="s">
        <v>495</v>
      </c>
      <c r="D935" s="2" t="str">
        <f>VLOOKUP(C935,Locality_Reference!A:C,2,)</f>
        <v>Central Line</v>
      </c>
      <c r="E935" s="2" t="str">
        <f>VLOOKUP(C935,Locality_Reference!A:C,3,)</f>
        <v>Far Suburb</v>
      </c>
      <c r="F935" s="2" t="s">
        <v>1971</v>
      </c>
      <c r="G935" s="8">
        <v>37000</v>
      </c>
      <c r="H935">
        <v>2</v>
      </c>
      <c r="I935">
        <v>1</v>
      </c>
      <c r="J935">
        <v>2</v>
      </c>
      <c r="K935">
        <v>10</v>
      </c>
      <c r="L935">
        <v>650</v>
      </c>
      <c r="M935" t="s">
        <v>36</v>
      </c>
      <c r="N935" t="s">
        <v>15</v>
      </c>
      <c r="O935" t="s">
        <v>16</v>
      </c>
      <c r="P935" t="s">
        <v>23</v>
      </c>
      <c r="Q935" t="str">
        <f t="shared" si="113"/>
        <v>10</v>
      </c>
      <c r="R935" s="5">
        <v>46196</v>
      </c>
      <c r="S935" s="8">
        <f t="shared" si="114"/>
        <v>56.92307692307692</v>
      </c>
      <c r="T935">
        <f t="shared" si="115"/>
        <v>444000</v>
      </c>
      <c r="U935" t="str">
        <f t="shared" si="116"/>
        <v>Mid</v>
      </c>
      <c r="V935" t="str">
        <f t="shared" si="117"/>
        <v>Medium</v>
      </c>
      <c r="W935" t="str">
        <f>IF(S935 &lt; VLOOKUP(E935, Locality_Tier_Benchmarks!A:B, 2, FALSE) * 0.7, "Below Tier Range", "Normal")</f>
        <v>Normal</v>
      </c>
      <c r="X935" t="str">
        <f t="shared" si="118"/>
        <v>Normal</v>
      </c>
      <c r="Y935" t="str">
        <f t="shared" si="119"/>
        <v>Normal</v>
      </c>
      <c r="Z935" t="str">
        <f t="shared" si="112"/>
        <v>Pass</v>
      </c>
    </row>
    <row r="936" spans="1:26" x14ac:dyDescent="0.25">
      <c r="A936" s="2" t="s">
        <v>1832</v>
      </c>
      <c r="B936" t="s">
        <v>17</v>
      </c>
      <c r="C936" t="s">
        <v>495</v>
      </c>
      <c r="D936" s="2" t="str">
        <f>VLOOKUP(C936,Locality_Reference!A:C,2,)</f>
        <v>Central Line</v>
      </c>
      <c r="E936" s="2" t="str">
        <f>VLOOKUP(C936,Locality_Reference!A:C,3,)</f>
        <v>Far Suburb</v>
      </c>
      <c r="F936" s="2" t="s">
        <v>1972</v>
      </c>
      <c r="G936" s="8">
        <v>8200</v>
      </c>
      <c r="H936">
        <v>2</v>
      </c>
      <c r="I936">
        <v>2</v>
      </c>
      <c r="J936">
        <v>2</v>
      </c>
      <c r="K936">
        <v>4</v>
      </c>
      <c r="L936">
        <v>800</v>
      </c>
      <c r="M936" t="s">
        <v>36</v>
      </c>
      <c r="N936" t="s">
        <v>1289</v>
      </c>
      <c r="O936" t="s">
        <v>16</v>
      </c>
      <c r="P936" t="s">
        <v>23</v>
      </c>
      <c r="Q936" t="str">
        <f t="shared" si="113"/>
        <v>10</v>
      </c>
      <c r="R936" s="5">
        <v>46203</v>
      </c>
      <c r="S936" s="8">
        <f t="shared" si="114"/>
        <v>10.25</v>
      </c>
      <c r="T936">
        <f t="shared" si="115"/>
        <v>98400</v>
      </c>
      <c r="U936" t="str">
        <f t="shared" si="116"/>
        <v>Budget</v>
      </c>
      <c r="V936" t="str">
        <f t="shared" si="117"/>
        <v>Medium</v>
      </c>
      <c r="W936" t="str">
        <f>IF(S936 &lt; VLOOKUP(E936, Locality_Tier_Benchmarks!A:B, 2, FALSE) * 0.7, "Below Tier Range", "Normal")</f>
        <v>Below Tier Range</v>
      </c>
      <c r="X936" t="str">
        <f t="shared" si="118"/>
        <v>Normal</v>
      </c>
      <c r="Y936" t="str">
        <f t="shared" si="119"/>
        <v>Normal</v>
      </c>
      <c r="Z936" t="str">
        <f t="shared" si="112"/>
        <v>Review</v>
      </c>
    </row>
    <row r="937" spans="1:26" x14ac:dyDescent="0.25">
      <c r="A937" s="2" t="s">
        <v>1833</v>
      </c>
      <c r="B937" t="s">
        <v>17</v>
      </c>
      <c r="C937" t="s">
        <v>495</v>
      </c>
      <c r="D937" s="2" t="str">
        <f>VLOOKUP(C937,Locality_Reference!A:C,2,)</f>
        <v>Central Line</v>
      </c>
      <c r="E937" s="2" t="str">
        <f>VLOOKUP(C937,Locality_Reference!A:C,3,)</f>
        <v>Far Suburb</v>
      </c>
      <c r="F937" s="2" t="s">
        <v>1973</v>
      </c>
      <c r="G937" s="8">
        <v>28000</v>
      </c>
      <c r="H937">
        <v>2</v>
      </c>
      <c r="I937">
        <v>1</v>
      </c>
      <c r="J937">
        <v>1</v>
      </c>
      <c r="K937">
        <v>3</v>
      </c>
      <c r="L937">
        <v>525</v>
      </c>
      <c r="M937" t="s">
        <v>33</v>
      </c>
      <c r="N937" t="s">
        <v>15</v>
      </c>
      <c r="O937" t="s">
        <v>16</v>
      </c>
      <c r="P937" t="s">
        <v>23</v>
      </c>
      <c r="Q937" t="str">
        <f t="shared" si="113"/>
        <v>10</v>
      </c>
      <c r="R937" s="5">
        <v>46189</v>
      </c>
      <c r="S937" s="8">
        <f t="shared" si="114"/>
        <v>53.333333333333336</v>
      </c>
      <c r="T937">
        <f t="shared" si="115"/>
        <v>336000</v>
      </c>
      <c r="U937" t="str">
        <f t="shared" si="116"/>
        <v>Budget</v>
      </c>
      <c r="V937" t="str">
        <f t="shared" si="117"/>
        <v>Medium</v>
      </c>
      <c r="W937" t="str">
        <f>IF(S937 &lt; VLOOKUP(E937, Locality_Tier_Benchmarks!A:B, 2, FALSE) * 0.7, "Below Tier Range", "Normal")</f>
        <v>Normal</v>
      </c>
      <c r="X937" t="str">
        <f t="shared" si="118"/>
        <v>Normal</v>
      </c>
      <c r="Y937" t="str">
        <f t="shared" si="119"/>
        <v>Normal</v>
      </c>
      <c r="Z937" t="str">
        <f t="shared" si="112"/>
        <v>Pass</v>
      </c>
    </row>
    <row r="938" spans="1:26" x14ac:dyDescent="0.25">
      <c r="A938" s="2" t="s">
        <v>1834</v>
      </c>
      <c r="B938" t="s">
        <v>17</v>
      </c>
      <c r="C938" t="s">
        <v>495</v>
      </c>
      <c r="D938" s="2" t="str">
        <f>VLOOKUP(C938,Locality_Reference!A:C,2,)</f>
        <v>Central Line</v>
      </c>
      <c r="E938" s="2" t="str">
        <f>VLOOKUP(C938,Locality_Reference!A:C,3,)</f>
        <v>Far Suburb</v>
      </c>
      <c r="F938" s="2" t="s">
        <v>1974</v>
      </c>
      <c r="G938" s="8">
        <v>52000</v>
      </c>
      <c r="H938">
        <v>3</v>
      </c>
      <c r="I938">
        <v>3</v>
      </c>
      <c r="J938">
        <v>7</v>
      </c>
      <c r="K938">
        <v>20</v>
      </c>
      <c r="L938">
        <v>1180</v>
      </c>
      <c r="M938" t="s">
        <v>36</v>
      </c>
      <c r="N938" t="s">
        <v>15</v>
      </c>
      <c r="O938" t="s">
        <v>16</v>
      </c>
      <c r="P938" t="s">
        <v>23</v>
      </c>
      <c r="Q938" t="str">
        <f t="shared" si="113"/>
        <v>10</v>
      </c>
      <c r="R938" s="5">
        <v>46162</v>
      </c>
      <c r="S938" s="8">
        <f t="shared" si="114"/>
        <v>44.067796610169495</v>
      </c>
      <c r="T938">
        <f t="shared" si="115"/>
        <v>624000</v>
      </c>
      <c r="U938" t="str">
        <f t="shared" si="116"/>
        <v>Mid</v>
      </c>
      <c r="V938" t="str">
        <f t="shared" si="117"/>
        <v>Large</v>
      </c>
      <c r="W938" t="str">
        <f>IF(S938 &lt; VLOOKUP(E938, Locality_Tier_Benchmarks!A:B, 2, FALSE) * 0.7, "Below Tier Range", "Normal")</f>
        <v>Normal</v>
      </c>
      <c r="X938" t="str">
        <f t="shared" si="118"/>
        <v>Normal</v>
      </c>
      <c r="Y938" t="str">
        <f t="shared" si="119"/>
        <v>Normal</v>
      </c>
      <c r="Z938" t="str">
        <f t="shared" si="112"/>
        <v>Pass</v>
      </c>
    </row>
    <row r="939" spans="1:26" x14ac:dyDescent="0.25">
      <c r="A939" s="2" t="s">
        <v>1835</v>
      </c>
      <c r="B939" t="s">
        <v>17</v>
      </c>
      <c r="C939" t="s">
        <v>1975</v>
      </c>
      <c r="D939" s="2" t="str">
        <f>VLOOKUP(C939,Locality_Reference!A:C,2,)</f>
        <v>Central Line</v>
      </c>
      <c r="E939" s="2" t="str">
        <f>VLOOKUP(C939,Locality_Reference!A:C,3,)</f>
        <v>Outer Periphery</v>
      </c>
      <c r="F939" s="2" t="s">
        <v>1977</v>
      </c>
      <c r="G939" s="8">
        <v>12000</v>
      </c>
      <c r="H939">
        <v>1</v>
      </c>
      <c r="I939">
        <v>1</v>
      </c>
      <c r="J939">
        <v>7</v>
      </c>
      <c r="K939">
        <v>8</v>
      </c>
      <c r="L939">
        <v>432</v>
      </c>
      <c r="M939" t="s">
        <v>33</v>
      </c>
      <c r="N939" t="s">
        <v>29</v>
      </c>
      <c r="O939" t="s">
        <v>16</v>
      </c>
      <c r="P939" t="s">
        <v>34</v>
      </c>
      <c r="Q939" t="str">
        <f t="shared" si="113"/>
        <v/>
      </c>
      <c r="R939" s="5">
        <v>46204</v>
      </c>
      <c r="S939" s="8">
        <f t="shared" si="114"/>
        <v>27.777777777777779</v>
      </c>
      <c r="T939">
        <f t="shared" si="115"/>
        <v>144000</v>
      </c>
      <c r="U939" t="str">
        <f t="shared" si="116"/>
        <v>Budget</v>
      </c>
      <c r="V939" t="str">
        <f t="shared" si="117"/>
        <v>Compact</v>
      </c>
      <c r="W939" t="str">
        <f>IF(S939 &lt; VLOOKUP(E939, Locality_Tier_Benchmarks!A:B, 2, FALSE) * 0.7, "Below Tier Range", "Normal")</f>
        <v>Normal</v>
      </c>
      <c r="X939" t="str">
        <f t="shared" si="118"/>
        <v>Normal</v>
      </c>
      <c r="Y939" t="str">
        <f t="shared" si="119"/>
        <v>Normal</v>
      </c>
      <c r="Z939" t="str">
        <f t="shared" si="112"/>
        <v>Pass</v>
      </c>
    </row>
    <row r="940" spans="1:26" x14ac:dyDescent="0.25">
      <c r="A940" s="2" t="s">
        <v>1836</v>
      </c>
      <c r="B940" t="s">
        <v>17</v>
      </c>
      <c r="C940" t="s">
        <v>1975</v>
      </c>
      <c r="D940" s="2" t="str">
        <f>VLOOKUP(C940,Locality_Reference!A:C,2,)</f>
        <v>Central Line</v>
      </c>
      <c r="E940" s="2" t="str">
        <f>VLOOKUP(C940,Locality_Reference!A:C,3,)</f>
        <v>Outer Periphery</v>
      </c>
      <c r="F940" s="2" t="s">
        <v>1978</v>
      </c>
      <c r="G940" s="8">
        <v>11000</v>
      </c>
      <c r="H940">
        <v>1</v>
      </c>
      <c r="I940">
        <v>1</v>
      </c>
      <c r="J940">
        <v>11</v>
      </c>
      <c r="K940">
        <v>18</v>
      </c>
      <c r="L940">
        <v>505</v>
      </c>
      <c r="M940" t="s">
        <v>36</v>
      </c>
      <c r="N940" t="s">
        <v>29</v>
      </c>
      <c r="O940" t="s">
        <v>16</v>
      </c>
      <c r="P940" t="s">
        <v>34</v>
      </c>
      <c r="Q940" t="str">
        <f t="shared" si="113"/>
        <v/>
      </c>
      <c r="R940" s="5">
        <v>46202</v>
      </c>
      <c r="S940" s="8">
        <f t="shared" si="114"/>
        <v>21.782178217821784</v>
      </c>
      <c r="T940">
        <f t="shared" si="115"/>
        <v>132000</v>
      </c>
      <c r="U940" t="str">
        <f t="shared" si="116"/>
        <v>Budget</v>
      </c>
      <c r="V940" t="str">
        <f t="shared" si="117"/>
        <v>Medium</v>
      </c>
      <c r="W940" t="str">
        <f>IF(S940 &lt; VLOOKUP(E940, Locality_Tier_Benchmarks!A:B, 2, FALSE) * 0.7, "Below Tier Range", "Normal")</f>
        <v>Normal</v>
      </c>
      <c r="X940" t="str">
        <f t="shared" si="118"/>
        <v>Normal</v>
      </c>
      <c r="Y940" t="str">
        <f t="shared" si="119"/>
        <v>Normal</v>
      </c>
      <c r="Z940" t="str">
        <f t="shared" si="112"/>
        <v>Pass</v>
      </c>
    </row>
    <row r="941" spans="1:26" x14ac:dyDescent="0.25">
      <c r="A941" s="2" t="s">
        <v>1837</v>
      </c>
      <c r="B941" t="s">
        <v>17</v>
      </c>
      <c r="C941" t="s">
        <v>1975</v>
      </c>
      <c r="D941" s="2" t="str">
        <f>VLOOKUP(C941,Locality_Reference!A:C,2,)</f>
        <v>Central Line</v>
      </c>
      <c r="E941" s="2" t="str">
        <f>VLOOKUP(C941,Locality_Reference!A:C,3,)</f>
        <v>Outer Periphery</v>
      </c>
      <c r="F941" s="2" t="s">
        <v>1979</v>
      </c>
      <c r="G941" s="8">
        <v>9500</v>
      </c>
      <c r="H941">
        <v>1</v>
      </c>
      <c r="I941">
        <v>2</v>
      </c>
      <c r="J941">
        <v>13</v>
      </c>
      <c r="K941">
        <v>32</v>
      </c>
      <c r="L941">
        <v>455.67</v>
      </c>
      <c r="M941" t="s">
        <v>33</v>
      </c>
      <c r="N941" t="s">
        <v>29</v>
      </c>
      <c r="O941" t="s">
        <v>16</v>
      </c>
      <c r="P941" t="s">
        <v>34</v>
      </c>
      <c r="Q941" t="str">
        <f t="shared" si="113"/>
        <v/>
      </c>
      <c r="R941" s="5">
        <v>46204</v>
      </c>
      <c r="S941" s="8">
        <f t="shared" si="114"/>
        <v>20.84842100643009</v>
      </c>
      <c r="T941">
        <f t="shared" si="115"/>
        <v>114000</v>
      </c>
      <c r="U941" t="str">
        <f t="shared" si="116"/>
        <v>Budget</v>
      </c>
      <c r="V941" t="str">
        <f t="shared" si="117"/>
        <v>Compact</v>
      </c>
      <c r="W941" t="str">
        <f>IF(S941 &lt; VLOOKUP(E941, Locality_Tier_Benchmarks!A:B, 2, FALSE) * 0.7, "Below Tier Range", "Normal")</f>
        <v>Normal</v>
      </c>
      <c r="X941" t="str">
        <f t="shared" si="118"/>
        <v>Normal</v>
      </c>
      <c r="Y941" t="str">
        <f t="shared" si="119"/>
        <v>Normal</v>
      </c>
      <c r="Z941" t="str">
        <f t="shared" si="112"/>
        <v>Pass</v>
      </c>
    </row>
    <row r="942" spans="1:26" x14ac:dyDescent="0.25">
      <c r="A942" s="2" t="s">
        <v>1838</v>
      </c>
      <c r="B942" t="s">
        <v>17</v>
      </c>
      <c r="C942" t="s">
        <v>1975</v>
      </c>
      <c r="D942" s="2" t="str">
        <f>VLOOKUP(C942,Locality_Reference!A:C,2,)</f>
        <v>Central Line</v>
      </c>
      <c r="E942" s="2" t="str">
        <f>VLOOKUP(C942,Locality_Reference!A:C,3,)</f>
        <v>Outer Periphery</v>
      </c>
      <c r="F942" s="2" t="s">
        <v>1980</v>
      </c>
      <c r="G942" s="8">
        <v>12000</v>
      </c>
      <c r="H942">
        <v>1</v>
      </c>
      <c r="I942">
        <v>1</v>
      </c>
      <c r="J942">
        <v>17</v>
      </c>
      <c r="K942">
        <v>18</v>
      </c>
      <c r="L942">
        <v>470</v>
      </c>
      <c r="M942" t="s">
        <v>36</v>
      </c>
      <c r="N942" t="s">
        <v>29</v>
      </c>
      <c r="O942" t="s">
        <v>16</v>
      </c>
      <c r="P942" t="s">
        <v>34</v>
      </c>
      <c r="Q942" t="str">
        <f t="shared" si="113"/>
        <v/>
      </c>
      <c r="R942" s="5">
        <v>46191</v>
      </c>
      <c r="S942" s="8">
        <f t="shared" si="114"/>
        <v>25.531914893617021</v>
      </c>
      <c r="T942">
        <f t="shared" si="115"/>
        <v>144000</v>
      </c>
      <c r="U942" t="str">
        <f t="shared" si="116"/>
        <v>Budget</v>
      </c>
      <c r="V942" t="str">
        <f t="shared" si="117"/>
        <v>Compact</v>
      </c>
      <c r="W942" t="str">
        <f>IF(S942 &lt; VLOOKUP(E942, Locality_Tier_Benchmarks!A:B, 2, FALSE) * 0.7, "Below Tier Range", "Normal")</f>
        <v>Normal</v>
      </c>
      <c r="X942" t="str">
        <f t="shared" si="118"/>
        <v>Normal</v>
      </c>
      <c r="Y942" t="str">
        <f t="shared" si="119"/>
        <v>Normal</v>
      </c>
      <c r="Z942" t="str">
        <f t="shared" si="112"/>
        <v>Pass</v>
      </c>
    </row>
    <row r="943" spans="1:26" x14ac:dyDescent="0.25">
      <c r="A943" s="2" t="s">
        <v>1839</v>
      </c>
      <c r="B943" t="s">
        <v>17</v>
      </c>
      <c r="C943" t="s">
        <v>1975</v>
      </c>
      <c r="D943" s="2" t="str">
        <f>VLOOKUP(C943,Locality_Reference!A:C,2,)</f>
        <v>Central Line</v>
      </c>
      <c r="E943" s="2" t="str">
        <f>VLOOKUP(C943,Locality_Reference!A:C,3,)</f>
        <v>Outer Periphery</v>
      </c>
      <c r="F943" s="2" t="s">
        <v>1981</v>
      </c>
      <c r="G943" s="8">
        <v>14000</v>
      </c>
      <c r="H943">
        <v>1</v>
      </c>
      <c r="I943">
        <v>1</v>
      </c>
      <c r="J943">
        <v>1</v>
      </c>
      <c r="K943">
        <v>12</v>
      </c>
      <c r="L943">
        <v>525</v>
      </c>
      <c r="M943" t="s">
        <v>33</v>
      </c>
      <c r="N943" t="s">
        <v>15</v>
      </c>
      <c r="O943" t="s">
        <v>16</v>
      </c>
      <c r="P943" t="s">
        <v>34</v>
      </c>
      <c r="Q943" t="str">
        <f t="shared" si="113"/>
        <v/>
      </c>
      <c r="R943" s="5">
        <v>46183</v>
      </c>
      <c r="S943" s="8">
        <f t="shared" si="114"/>
        <v>26.666666666666668</v>
      </c>
      <c r="T943">
        <f t="shared" si="115"/>
        <v>168000</v>
      </c>
      <c r="U943" t="str">
        <f t="shared" si="116"/>
        <v>Budget</v>
      </c>
      <c r="V943" t="str">
        <f t="shared" si="117"/>
        <v>Medium</v>
      </c>
      <c r="W943" t="str">
        <f>IF(S943 &lt; VLOOKUP(E943, Locality_Tier_Benchmarks!A:B, 2, FALSE) * 0.7, "Below Tier Range", "Normal")</f>
        <v>Normal</v>
      </c>
      <c r="X943" t="str">
        <f t="shared" si="118"/>
        <v>Normal</v>
      </c>
      <c r="Y943" t="str">
        <f t="shared" si="119"/>
        <v>Normal</v>
      </c>
      <c r="Z943" t="str">
        <f t="shared" si="112"/>
        <v>Pass</v>
      </c>
    </row>
    <row r="944" spans="1:26" x14ac:dyDescent="0.25">
      <c r="A944" s="2" t="s">
        <v>1840</v>
      </c>
      <c r="B944" t="s">
        <v>17</v>
      </c>
      <c r="C944" t="s">
        <v>1975</v>
      </c>
      <c r="D944" s="2" t="str">
        <f>VLOOKUP(C944,Locality_Reference!A:C,2,)</f>
        <v>Central Line</v>
      </c>
      <c r="E944" s="2" t="str">
        <f>VLOOKUP(C944,Locality_Reference!A:C,3,)</f>
        <v>Outer Periphery</v>
      </c>
      <c r="F944" s="2" t="s">
        <v>1982</v>
      </c>
      <c r="G944" s="8">
        <v>28000</v>
      </c>
      <c r="H944">
        <v>2</v>
      </c>
      <c r="I944">
        <v>2</v>
      </c>
      <c r="J944">
        <v>9</v>
      </c>
      <c r="K944">
        <v>19</v>
      </c>
      <c r="L944">
        <v>675</v>
      </c>
      <c r="M944" t="s">
        <v>14</v>
      </c>
      <c r="N944" t="s">
        <v>29</v>
      </c>
      <c r="O944" t="s">
        <v>16</v>
      </c>
      <c r="P944" t="s">
        <v>34</v>
      </c>
      <c r="Q944" t="str">
        <f t="shared" si="113"/>
        <v/>
      </c>
      <c r="R944" s="5">
        <v>46184</v>
      </c>
      <c r="S944" s="8">
        <f t="shared" si="114"/>
        <v>41.481481481481481</v>
      </c>
      <c r="T944">
        <f t="shared" si="115"/>
        <v>336000</v>
      </c>
      <c r="U944" t="str">
        <f t="shared" si="116"/>
        <v>Budget</v>
      </c>
      <c r="V944" t="str">
        <f t="shared" si="117"/>
        <v>Medium</v>
      </c>
      <c r="W944" t="str">
        <f>IF(S944 &lt; VLOOKUP(E944, Locality_Tier_Benchmarks!A:B, 2, FALSE) * 0.7, "Below Tier Range", "Normal")</f>
        <v>Normal</v>
      </c>
      <c r="X944" t="str">
        <f t="shared" si="118"/>
        <v>Normal</v>
      </c>
      <c r="Y944" t="str">
        <f t="shared" si="119"/>
        <v>Normal</v>
      </c>
      <c r="Z944" t="str">
        <f t="shared" si="112"/>
        <v>Pass</v>
      </c>
    </row>
    <row r="945" spans="1:26" x14ac:dyDescent="0.25">
      <c r="A945" s="2" t="s">
        <v>1841</v>
      </c>
      <c r="B945" t="s">
        <v>17</v>
      </c>
      <c r="C945" t="s">
        <v>1975</v>
      </c>
      <c r="D945" s="2" t="str">
        <f>VLOOKUP(C945,Locality_Reference!A:C,2,)</f>
        <v>Central Line</v>
      </c>
      <c r="E945" s="2" t="str">
        <f>VLOOKUP(C945,Locality_Reference!A:C,3,)</f>
        <v>Outer Periphery</v>
      </c>
      <c r="F945" s="2" t="s">
        <v>1983</v>
      </c>
      <c r="G945" s="8">
        <v>20500</v>
      </c>
      <c r="H945">
        <v>2</v>
      </c>
      <c r="I945">
        <v>2</v>
      </c>
      <c r="J945">
        <v>22</v>
      </c>
      <c r="K945">
        <v>24</v>
      </c>
      <c r="L945">
        <v>656</v>
      </c>
      <c r="M945" t="s">
        <v>36</v>
      </c>
      <c r="N945" t="s">
        <v>29</v>
      </c>
      <c r="O945" t="s">
        <v>16</v>
      </c>
      <c r="P945" t="s">
        <v>47</v>
      </c>
      <c r="Q945" t="str">
        <f t="shared" si="113"/>
        <v>1</v>
      </c>
      <c r="R945" s="5">
        <v>46175</v>
      </c>
      <c r="S945" s="8">
        <f t="shared" si="114"/>
        <v>31.25</v>
      </c>
      <c r="T945">
        <f t="shared" si="115"/>
        <v>246000</v>
      </c>
      <c r="U945" t="str">
        <f t="shared" si="116"/>
        <v>Budget</v>
      </c>
      <c r="V945" t="str">
        <f t="shared" si="117"/>
        <v>Medium</v>
      </c>
      <c r="W945" t="str">
        <f>IF(S945 &lt; VLOOKUP(E945, Locality_Tier_Benchmarks!A:B, 2, FALSE) * 0.7, "Below Tier Range", "Normal")</f>
        <v>Normal</v>
      </c>
      <c r="X945" t="str">
        <f t="shared" si="118"/>
        <v>Normal</v>
      </c>
      <c r="Y945" t="str">
        <f t="shared" si="119"/>
        <v>Normal</v>
      </c>
      <c r="Z945" t="str">
        <f t="shared" si="112"/>
        <v>Pass</v>
      </c>
    </row>
    <row r="946" spans="1:26" x14ac:dyDescent="0.25">
      <c r="A946" s="2" t="s">
        <v>1842</v>
      </c>
      <c r="B946" t="s">
        <v>17</v>
      </c>
      <c r="C946" t="s">
        <v>1975</v>
      </c>
      <c r="D946" s="2" t="str">
        <f>VLOOKUP(C946,Locality_Reference!A:C,2,)</f>
        <v>Central Line</v>
      </c>
      <c r="E946" s="2" t="str">
        <f>VLOOKUP(C946,Locality_Reference!A:C,3,)</f>
        <v>Outer Periphery</v>
      </c>
      <c r="F946" s="2" t="s">
        <v>1984</v>
      </c>
      <c r="G946" s="8">
        <v>16000</v>
      </c>
      <c r="H946">
        <v>2</v>
      </c>
      <c r="I946">
        <v>2</v>
      </c>
      <c r="J946">
        <v>16</v>
      </c>
      <c r="K946">
        <v>18</v>
      </c>
      <c r="L946">
        <v>656</v>
      </c>
      <c r="M946" t="s">
        <v>36</v>
      </c>
      <c r="N946" t="s">
        <v>15</v>
      </c>
      <c r="O946" t="s">
        <v>16</v>
      </c>
      <c r="P946" t="s">
        <v>31</v>
      </c>
      <c r="Q946" t="str">
        <f t="shared" si="113"/>
        <v>3</v>
      </c>
      <c r="R946" s="5">
        <v>46199</v>
      </c>
      <c r="S946" s="8">
        <f t="shared" si="114"/>
        <v>24.390243902439025</v>
      </c>
      <c r="T946">
        <f t="shared" si="115"/>
        <v>192000</v>
      </c>
      <c r="U946" t="str">
        <f t="shared" si="116"/>
        <v>Budget</v>
      </c>
      <c r="V946" t="str">
        <f t="shared" si="117"/>
        <v>Medium</v>
      </c>
      <c r="W946" t="str">
        <f>IF(S946 &lt; VLOOKUP(E946, Locality_Tier_Benchmarks!A:B, 2, FALSE) * 0.7, "Below Tier Range", "Normal")</f>
        <v>Normal</v>
      </c>
      <c r="X946" t="str">
        <f t="shared" si="118"/>
        <v>Normal</v>
      </c>
      <c r="Y946" t="str">
        <f t="shared" si="119"/>
        <v>Normal</v>
      </c>
      <c r="Z946" t="str">
        <f t="shared" si="112"/>
        <v>Pass</v>
      </c>
    </row>
    <row r="947" spans="1:26" x14ac:dyDescent="0.25">
      <c r="A947" s="2" t="s">
        <v>1843</v>
      </c>
      <c r="B947" t="s">
        <v>17</v>
      </c>
      <c r="C947" t="s">
        <v>1975</v>
      </c>
      <c r="D947" s="2" t="str">
        <f>VLOOKUP(C947,Locality_Reference!A:C,2,)</f>
        <v>Central Line</v>
      </c>
      <c r="E947" s="2" t="str">
        <f>VLOOKUP(C947,Locality_Reference!A:C,3,)</f>
        <v>Outer Periphery</v>
      </c>
      <c r="F947" s="2" t="s">
        <v>1985</v>
      </c>
      <c r="G947" s="8">
        <v>16000</v>
      </c>
      <c r="H947">
        <v>2</v>
      </c>
      <c r="I947">
        <v>2</v>
      </c>
      <c r="J947">
        <v>18</v>
      </c>
      <c r="K947">
        <v>27</v>
      </c>
      <c r="L947">
        <v>571</v>
      </c>
      <c r="M947" t="s">
        <v>33</v>
      </c>
      <c r="N947" t="s">
        <v>29</v>
      </c>
      <c r="O947" t="s">
        <v>16</v>
      </c>
      <c r="P947" t="s">
        <v>34</v>
      </c>
      <c r="Q947" t="str">
        <f t="shared" si="113"/>
        <v/>
      </c>
      <c r="R947" s="5">
        <v>46185</v>
      </c>
      <c r="S947" s="8">
        <f t="shared" si="114"/>
        <v>28.021015761821367</v>
      </c>
      <c r="T947">
        <f t="shared" si="115"/>
        <v>192000</v>
      </c>
      <c r="U947" t="str">
        <f t="shared" si="116"/>
        <v>Budget</v>
      </c>
      <c r="V947" t="str">
        <f t="shared" si="117"/>
        <v>Medium</v>
      </c>
      <c r="W947" t="str">
        <f>IF(S947 &lt; VLOOKUP(E947, Locality_Tier_Benchmarks!A:B, 2, FALSE) * 0.7, "Below Tier Range", "Normal")</f>
        <v>Normal</v>
      </c>
      <c r="X947" t="str">
        <f t="shared" si="118"/>
        <v>Normal</v>
      </c>
      <c r="Y947" t="str">
        <f t="shared" si="119"/>
        <v>Normal</v>
      </c>
      <c r="Z947" t="str">
        <f t="shared" si="112"/>
        <v>Pass</v>
      </c>
    </row>
    <row r="948" spans="1:26" x14ac:dyDescent="0.25">
      <c r="A948" s="2" t="s">
        <v>1844</v>
      </c>
      <c r="B948" t="s">
        <v>17</v>
      </c>
      <c r="C948" t="s">
        <v>1975</v>
      </c>
      <c r="D948" s="2" t="str">
        <f>VLOOKUP(C948,Locality_Reference!A:C,2,)</f>
        <v>Central Line</v>
      </c>
      <c r="E948" s="2" t="str">
        <f>VLOOKUP(C948,Locality_Reference!A:C,3,)</f>
        <v>Outer Periphery</v>
      </c>
      <c r="F948" s="2" t="s">
        <v>1979</v>
      </c>
      <c r="G948" s="8">
        <v>12000</v>
      </c>
      <c r="H948">
        <v>2</v>
      </c>
      <c r="I948">
        <v>2</v>
      </c>
      <c r="J948">
        <v>20</v>
      </c>
      <c r="K948">
        <v>24</v>
      </c>
      <c r="L948">
        <v>600</v>
      </c>
      <c r="M948" t="s">
        <v>36</v>
      </c>
      <c r="N948" t="s">
        <v>29</v>
      </c>
      <c r="O948" t="s">
        <v>16</v>
      </c>
      <c r="P948" t="s">
        <v>34</v>
      </c>
      <c r="Q948" t="str">
        <f t="shared" si="113"/>
        <v/>
      </c>
      <c r="R948" s="5">
        <v>46204</v>
      </c>
      <c r="S948" s="8">
        <f t="shared" si="114"/>
        <v>20</v>
      </c>
      <c r="T948">
        <f t="shared" si="115"/>
        <v>144000</v>
      </c>
      <c r="U948" t="str">
        <f t="shared" si="116"/>
        <v>Budget</v>
      </c>
      <c r="V948" t="str">
        <f t="shared" si="117"/>
        <v>Medium</v>
      </c>
      <c r="W948" t="str">
        <f>IF(S948 &lt; VLOOKUP(E948, Locality_Tier_Benchmarks!A:B, 2, FALSE) * 0.7, "Below Tier Range", "Normal")</f>
        <v>Normal</v>
      </c>
      <c r="X948" t="str">
        <f t="shared" si="118"/>
        <v>Normal</v>
      </c>
      <c r="Y948" t="str">
        <f t="shared" si="119"/>
        <v>Normal</v>
      </c>
      <c r="Z948" t="str">
        <f t="shared" si="112"/>
        <v>Pass</v>
      </c>
    </row>
    <row r="949" spans="1:26" x14ac:dyDescent="0.25">
      <c r="A949" s="2" t="s">
        <v>1845</v>
      </c>
      <c r="B949" t="s">
        <v>17</v>
      </c>
      <c r="C949" t="s">
        <v>1975</v>
      </c>
      <c r="D949" s="2" t="str">
        <f>VLOOKUP(C949,Locality_Reference!A:C,2,)</f>
        <v>Central Line</v>
      </c>
      <c r="E949" s="2" t="str">
        <f>VLOOKUP(C949,Locality_Reference!A:C,3,)</f>
        <v>Outer Periphery</v>
      </c>
      <c r="F949" s="2" t="s">
        <v>1984</v>
      </c>
      <c r="G949" s="8">
        <v>19000</v>
      </c>
      <c r="H949">
        <v>3</v>
      </c>
      <c r="I949">
        <v>2</v>
      </c>
      <c r="J949">
        <v>12</v>
      </c>
      <c r="K949">
        <v>18</v>
      </c>
      <c r="L949">
        <v>890</v>
      </c>
      <c r="M949" t="s">
        <v>36</v>
      </c>
      <c r="N949" t="s">
        <v>29</v>
      </c>
      <c r="O949" t="s">
        <v>16</v>
      </c>
      <c r="P949" t="s">
        <v>47</v>
      </c>
      <c r="Q949" t="str">
        <f t="shared" si="113"/>
        <v>1</v>
      </c>
      <c r="R949" s="5">
        <v>46158</v>
      </c>
      <c r="S949" s="8">
        <f t="shared" si="114"/>
        <v>21.348314606741575</v>
      </c>
      <c r="T949">
        <f t="shared" si="115"/>
        <v>228000</v>
      </c>
      <c r="U949" t="str">
        <f t="shared" si="116"/>
        <v>Budget</v>
      </c>
      <c r="V949" t="str">
        <f t="shared" si="117"/>
        <v>Large</v>
      </c>
      <c r="W949" t="str">
        <f>IF(S949 &lt; VLOOKUP(E949, Locality_Tier_Benchmarks!A:B, 2, FALSE) * 0.7, "Below Tier Range", "Normal")</f>
        <v>Normal</v>
      </c>
      <c r="X949" t="str">
        <f t="shared" si="118"/>
        <v>Normal</v>
      </c>
      <c r="Y949" t="str">
        <f t="shared" si="119"/>
        <v>Normal</v>
      </c>
      <c r="Z949" t="str">
        <f t="shared" si="112"/>
        <v>Pass</v>
      </c>
    </row>
    <row r="950" spans="1:26" x14ac:dyDescent="0.25">
      <c r="A950" s="2" t="s">
        <v>1846</v>
      </c>
      <c r="B950" t="s">
        <v>17</v>
      </c>
      <c r="C950" t="s">
        <v>1975</v>
      </c>
      <c r="D950" s="2" t="str">
        <f>VLOOKUP(C950,Locality_Reference!A:C,2,)</f>
        <v>Central Line</v>
      </c>
      <c r="E950" s="2" t="str">
        <f>VLOOKUP(C950,Locality_Reference!A:C,3,)</f>
        <v>Outer Periphery</v>
      </c>
      <c r="F950" s="2" t="s">
        <v>1980</v>
      </c>
      <c r="G950" s="8">
        <v>28000</v>
      </c>
      <c r="H950">
        <v>3</v>
      </c>
      <c r="I950">
        <v>2</v>
      </c>
      <c r="J950">
        <v>16</v>
      </c>
      <c r="K950">
        <v>18</v>
      </c>
      <c r="L950">
        <v>891</v>
      </c>
      <c r="M950" t="s">
        <v>14</v>
      </c>
      <c r="N950" t="s">
        <v>29</v>
      </c>
      <c r="O950" t="s">
        <v>16</v>
      </c>
      <c r="P950" t="s">
        <v>31</v>
      </c>
      <c r="Q950" t="str">
        <f t="shared" si="113"/>
        <v>3</v>
      </c>
      <c r="R950" s="5">
        <v>46191</v>
      </c>
      <c r="S950" s="8">
        <f t="shared" si="114"/>
        <v>31.425364758698091</v>
      </c>
      <c r="T950">
        <f t="shared" si="115"/>
        <v>336000</v>
      </c>
      <c r="U950" t="str">
        <f t="shared" si="116"/>
        <v>Budget</v>
      </c>
      <c r="V950" t="str">
        <f t="shared" si="117"/>
        <v>Large</v>
      </c>
      <c r="W950" t="str">
        <f>IF(S950 &lt; VLOOKUP(E950, Locality_Tier_Benchmarks!A:B, 2, FALSE) * 0.7, "Below Tier Range", "Normal")</f>
        <v>Normal</v>
      </c>
      <c r="X950" t="str">
        <f t="shared" si="118"/>
        <v>Normal</v>
      </c>
      <c r="Y950" t="str">
        <f t="shared" si="119"/>
        <v>Normal</v>
      </c>
      <c r="Z950" t="str">
        <f t="shared" si="112"/>
        <v>Pass</v>
      </c>
    </row>
    <row r="951" spans="1:26" x14ac:dyDescent="0.25">
      <c r="A951" s="2" t="s">
        <v>1847</v>
      </c>
      <c r="B951" t="s">
        <v>17</v>
      </c>
      <c r="C951" t="s">
        <v>1975</v>
      </c>
      <c r="D951" s="2" t="str">
        <f>VLOOKUP(C951,Locality_Reference!A:C,2,)</f>
        <v>Central Line</v>
      </c>
      <c r="E951" s="2" t="str">
        <f>VLOOKUP(C951,Locality_Reference!A:C,3,)</f>
        <v>Outer Periphery</v>
      </c>
      <c r="F951" s="2" t="s">
        <v>1983</v>
      </c>
      <c r="G951" s="8">
        <v>22500</v>
      </c>
      <c r="H951">
        <v>3</v>
      </c>
      <c r="I951">
        <v>2</v>
      </c>
      <c r="J951">
        <v>16</v>
      </c>
      <c r="K951">
        <v>25</v>
      </c>
      <c r="L951">
        <v>759</v>
      </c>
      <c r="M951" t="s">
        <v>36</v>
      </c>
      <c r="N951" t="s">
        <v>29</v>
      </c>
      <c r="O951" t="s">
        <v>16</v>
      </c>
      <c r="P951" t="s">
        <v>31</v>
      </c>
      <c r="Q951" t="str">
        <f t="shared" si="113"/>
        <v>3</v>
      </c>
      <c r="R951" s="5">
        <v>46175</v>
      </c>
      <c r="S951" s="8">
        <f t="shared" si="114"/>
        <v>29.644268774703558</v>
      </c>
      <c r="T951">
        <f t="shared" si="115"/>
        <v>270000</v>
      </c>
      <c r="U951" t="str">
        <f t="shared" si="116"/>
        <v>Budget</v>
      </c>
      <c r="V951" t="str">
        <f t="shared" si="117"/>
        <v>Medium</v>
      </c>
      <c r="W951" t="str">
        <f>IF(S951 &lt; VLOOKUP(E951, Locality_Tier_Benchmarks!A:B, 2, FALSE) * 0.7, "Below Tier Range", "Normal")</f>
        <v>Normal</v>
      </c>
      <c r="X951" t="str">
        <f t="shared" si="118"/>
        <v>Normal</v>
      </c>
      <c r="Y951" t="str">
        <f t="shared" si="119"/>
        <v>Normal</v>
      </c>
      <c r="Z951" t="str">
        <f t="shared" si="112"/>
        <v>Pass</v>
      </c>
    </row>
    <row r="952" spans="1:26" x14ac:dyDescent="0.25">
      <c r="A952" s="2" t="s">
        <v>1848</v>
      </c>
      <c r="B952" t="s">
        <v>17</v>
      </c>
      <c r="C952" t="s">
        <v>1975</v>
      </c>
      <c r="D952" s="2" t="str">
        <f>VLOOKUP(C952,Locality_Reference!A:C,2,)</f>
        <v>Central Line</v>
      </c>
      <c r="E952" s="2" t="str">
        <f>VLOOKUP(C952,Locality_Reference!A:C,3,)</f>
        <v>Outer Periphery</v>
      </c>
      <c r="F952" s="2" t="s">
        <v>1986</v>
      </c>
      <c r="G952" s="8">
        <v>26000</v>
      </c>
      <c r="H952">
        <v>3</v>
      </c>
      <c r="I952">
        <v>3</v>
      </c>
      <c r="J952">
        <v>4</v>
      </c>
      <c r="K952">
        <v>7</v>
      </c>
      <c r="L952">
        <v>900</v>
      </c>
      <c r="M952" t="s">
        <v>36</v>
      </c>
      <c r="N952" t="s">
        <v>15</v>
      </c>
      <c r="O952" t="s">
        <v>16</v>
      </c>
      <c r="P952" t="s">
        <v>23</v>
      </c>
      <c r="Q952" t="str">
        <f t="shared" si="113"/>
        <v>10</v>
      </c>
      <c r="R952" s="5">
        <v>46147</v>
      </c>
      <c r="S952" s="8">
        <f t="shared" si="114"/>
        <v>28.888888888888889</v>
      </c>
      <c r="T952">
        <f t="shared" si="115"/>
        <v>312000</v>
      </c>
      <c r="U952" t="str">
        <f t="shared" si="116"/>
        <v>Budget</v>
      </c>
      <c r="V952" t="str">
        <f t="shared" si="117"/>
        <v>Large</v>
      </c>
      <c r="W952" t="str">
        <f>IF(S952 &lt; VLOOKUP(E952, Locality_Tier_Benchmarks!A:B, 2, FALSE) * 0.7, "Below Tier Range", "Normal")</f>
        <v>Normal</v>
      </c>
      <c r="X952" t="str">
        <f t="shared" si="118"/>
        <v>Normal</v>
      </c>
      <c r="Y952" t="str">
        <f t="shared" si="119"/>
        <v>Normal</v>
      </c>
      <c r="Z952" t="str">
        <f t="shared" si="112"/>
        <v>Pass</v>
      </c>
    </row>
    <row r="953" spans="1:26" x14ac:dyDescent="0.25">
      <c r="A953" s="2" t="s">
        <v>1849</v>
      </c>
      <c r="B953" t="s">
        <v>17</v>
      </c>
      <c r="C953" t="s">
        <v>1975</v>
      </c>
      <c r="D953" s="2" t="str">
        <f>VLOOKUP(C953,Locality_Reference!A:C,2,)</f>
        <v>Central Line</v>
      </c>
      <c r="E953" s="2" t="str">
        <f>VLOOKUP(C953,Locality_Reference!A:C,3,)</f>
        <v>Outer Periphery</v>
      </c>
      <c r="F953" s="2" t="s">
        <v>1987</v>
      </c>
      <c r="G953" s="8">
        <v>25000</v>
      </c>
      <c r="H953">
        <v>3</v>
      </c>
      <c r="I953">
        <v>3</v>
      </c>
      <c r="J953">
        <v>10</v>
      </c>
      <c r="K953">
        <v>18</v>
      </c>
      <c r="L953">
        <v>900</v>
      </c>
      <c r="M953" t="s">
        <v>14</v>
      </c>
      <c r="N953" t="s">
        <v>29</v>
      </c>
      <c r="O953" t="s">
        <v>16</v>
      </c>
      <c r="P953" t="s">
        <v>52</v>
      </c>
      <c r="Q953" t="str">
        <f t="shared" si="113"/>
        <v>7.5</v>
      </c>
      <c r="R953" s="5">
        <v>46156</v>
      </c>
      <c r="S953" s="8">
        <f t="shared" si="114"/>
        <v>27.777777777777779</v>
      </c>
      <c r="T953">
        <f t="shared" si="115"/>
        <v>300000</v>
      </c>
      <c r="U953" t="str">
        <f t="shared" si="116"/>
        <v>Budget</v>
      </c>
      <c r="V953" t="str">
        <f t="shared" si="117"/>
        <v>Large</v>
      </c>
      <c r="W953" t="str">
        <f>IF(S953 &lt; VLOOKUP(E953, Locality_Tier_Benchmarks!A:B, 2, FALSE) * 0.7, "Below Tier Range", "Normal")</f>
        <v>Normal</v>
      </c>
      <c r="X953" t="str">
        <f t="shared" si="118"/>
        <v>Normal</v>
      </c>
      <c r="Y953" t="str">
        <f t="shared" si="119"/>
        <v>Normal</v>
      </c>
      <c r="Z953" t="str">
        <f t="shared" si="112"/>
        <v>Pass</v>
      </c>
    </row>
    <row r="954" spans="1:26" x14ac:dyDescent="0.25">
      <c r="A954" s="2" t="s">
        <v>1850</v>
      </c>
      <c r="B954" t="s">
        <v>17</v>
      </c>
      <c r="C954" t="s">
        <v>1976</v>
      </c>
      <c r="D954" s="2" t="str">
        <f>VLOOKUP(C954,Locality_Reference!A:C,2,)</f>
        <v>Central Line</v>
      </c>
      <c r="E954" s="2" t="str">
        <f>VLOOKUP(C954,Locality_Reference!A:C,3,)</f>
        <v>Outer Periphery</v>
      </c>
      <c r="F954" s="2" t="s">
        <v>1988</v>
      </c>
      <c r="G954" s="8">
        <v>10500</v>
      </c>
      <c r="H954">
        <v>1</v>
      </c>
      <c r="I954">
        <v>1</v>
      </c>
      <c r="J954">
        <v>3</v>
      </c>
      <c r="K954">
        <v>3</v>
      </c>
      <c r="L954">
        <v>480</v>
      </c>
      <c r="M954" t="s">
        <v>36</v>
      </c>
      <c r="N954" t="s">
        <v>15</v>
      </c>
      <c r="O954" t="s">
        <v>16</v>
      </c>
      <c r="P954" t="s">
        <v>23</v>
      </c>
      <c r="Q954" t="str">
        <f t="shared" si="113"/>
        <v>10</v>
      </c>
      <c r="R954" s="5">
        <v>46189</v>
      </c>
      <c r="S954" s="8">
        <f t="shared" si="114"/>
        <v>21.875</v>
      </c>
      <c r="T954">
        <f t="shared" si="115"/>
        <v>126000</v>
      </c>
      <c r="U954" t="str">
        <f t="shared" si="116"/>
        <v>Budget</v>
      </c>
      <c r="V954" t="str">
        <f t="shared" si="117"/>
        <v>Compact</v>
      </c>
      <c r="W954" t="str">
        <f>IF(S954 &lt; VLOOKUP(E954, Locality_Tier_Benchmarks!A:B, 2, FALSE) * 0.7, "Below Tier Range", "Normal")</f>
        <v>Normal</v>
      </c>
      <c r="X954" t="str">
        <f t="shared" si="118"/>
        <v>Normal</v>
      </c>
      <c r="Y954" t="str">
        <f t="shared" si="119"/>
        <v>Normal</v>
      </c>
      <c r="Z954" t="str">
        <f t="shared" si="112"/>
        <v>Pass</v>
      </c>
    </row>
    <row r="955" spans="1:26" x14ac:dyDescent="0.25">
      <c r="A955" s="2" t="s">
        <v>1851</v>
      </c>
      <c r="B955" t="s">
        <v>17</v>
      </c>
      <c r="C955" t="s">
        <v>1976</v>
      </c>
      <c r="D955" s="2" t="str">
        <f>VLOOKUP(C955,Locality_Reference!A:C,2,)</f>
        <v>Central Line</v>
      </c>
      <c r="E955" s="2" t="str">
        <f>VLOOKUP(C955,Locality_Reference!A:C,3,)</f>
        <v>Outer Periphery</v>
      </c>
      <c r="F955" s="2" t="s">
        <v>1989</v>
      </c>
      <c r="G955" s="8">
        <v>21500</v>
      </c>
      <c r="H955">
        <v>1</v>
      </c>
      <c r="I955">
        <v>2</v>
      </c>
      <c r="J955">
        <v>1</v>
      </c>
      <c r="K955">
        <v>8</v>
      </c>
      <c r="L955">
        <v>450</v>
      </c>
      <c r="M955" t="s">
        <v>36</v>
      </c>
      <c r="N955" t="s">
        <v>29</v>
      </c>
      <c r="O955" t="s">
        <v>16</v>
      </c>
      <c r="P955" t="s">
        <v>47</v>
      </c>
      <c r="Q955" t="str">
        <f t="shared" si="113"/>
        <v>1</v>
      </c>
      <c r="R955" s="5">
        <v>46203</v>
      </c>
      <c r="S955" s="8">
        <f t="shared" si="114"/>
        <v>47.777777777777779</v>
      </c>
      <c r="T955">
        <f t="shared" si="115"/>
        <v>258000</v>
      </c>
      <c r="U955" t="str">
        <f t="shared" si="116"/>
        <v>Budget</v>
      </c>
      <c r="V955" t="str">
        <f t="shared" si="117"/>
        <v>Compact</v>
      </c>
      <c r="W955" t="str">
        <f>IF(S955 &lt; VLOOKUP(E955, Locality_Tier_Benchmarks!A:B, 2, FALSE) * 0.7, "Below Tier Range", "Normal")</f>
        <v>Normal</v>
      </c>
      <c r="X955" t="str">
        <f t="shared" si="118"/>
        <v>Normal</v>
      </c>
      <c r="Y955" t="str">
        <f t="shared" si="119"/>
        <v>Normal</v>
      </c>
      <c r="Z955" t="str">
        <f t="shared" si="112"/>
        <v>Pass</v>
      </c>
    </row>
    <row r="956" spans="1:26" x14ac:dyDescent="0.25">
      <c r="A956" s="2" t="s">
        <v>1852</v>
      </c>
      <c r="B956" t="s">
        <v>17</v>
      </c>
      <c r="C956" t="s">
        <v>1976</v>
      </c>
      <c r="D956" s="2" t="str">
        <f>VLOOKUP(C956,Locality_Reference!A:C,2,)</f>
        <v>Central Line</v>
      </c>
      <c r="E956" s="2" t="str">
        <f>VLOOKUP(C956,Locality_Reference!A:C,3,)</f>
        <v>Outer Periphery</v>
      </c>
      <c r="F956" s="2" t="s">
        <v>1990</v>
      </c>
      <c r="G956" s="8">
        <v>13000</v>
      </c>
      <c r="H956">
        <v>1</v>
      </c>
      <c r="I956">
        <v>1</v>
      </c>
      <c r="J956">
        <v>1</v>
      </c>
      <c r="K956">
        <v>3</v>
      </c>
      <c r="L956">
        <v>525</v>
      </c>
      <c r="M956" t="s">
        <v>33</v>
      </c>
      <c r="N956" t="s">
        <v>29</v>
      </c>
      <c r="O956" t="s">
        <v>16</v>
      </c>
      <c r="P956" t="s">
        <v>23</v>
      </c>
      <c r="Q956" t="str">
        <f t="shared" si="113"/>
        <v>10</v>
      </c>
      <c r="R956" s="5">
        <v>46202</v>
      </c>
      <c r="S956" s="8">
        <f t="shared" si="114"/>
        <v>24.761904761904763</v>
      </c>
      <c r="T956">
        <f t="shared" si="115"/>
        <v>156000</v>
      </c>
      <c r="U956" t="str">
        <f t="shared" si="116"/>
        <v>Budget</v>
      </c>
      <c r="V956" t="str">
        <f t="shared" si="117"/>
        <v>Medium</v>
      </c>
      <c r="W956" t="str">
        <f>IF(S956 &lt; VLOOKUP(E956, Locality_Tier_Benchmarks!A:B, 2, FALSE) * 0.7, "Below Tier Range", "Normal")</f>
        <v>Normal</v>
      </c>
      <c r="X956" t="str">
        <f t="shared" si="118"/>
        <v>Normal</v>
      </c>
      <c r="Y956" t="str">
        <f t="shared" si="119"/>
        <v>Normal</v>
      </c>
      <c r="Z956" t="str">
        <f t="shared" si="112"/>
        <v>Pass</v>
      </c>
    </row>
    <row r="957" spans="1:26" x14ac:dyDescent="0.25">
      <c r="A957" s="2" t="s">
        <v>1853</v>
      </c>
      <c r="B957" t="s">
        <v>17</v>
      </c>
      <c r="C957" t="s">
        <v>1976</v>
      </c>
      <c r="D957" s="2" t="str">
        <f>VLOOKUP(C957,Locality_Reference!A:C,2,)</f>
        <v>Central Line</v>
      </c>
      <c r="E957" s="2" t="str">
        <f>VLOOKUP(C957,Locality_Reference!A:C,3,)</f>
        <v>Outer Periphery</v>
      </c>
      <c r="F957" s="2" t="s">
        <v>1991</v>
      </c>
      <c r="G957" s="8">
        <v>15000</v>
      </c>
      <c r="H957">
        <v>1</v>
      </c>
      <c r="I957">
        <v>1</v>
      </c>
      <c r="J957">
        <v>2</v>
      </c>
      <c r="K957">
        <v>3</v>
      </c>
      <c r="L957">
        <v>585</v>
      </c>
      <c r="M957" t="s">
        <v>33</v>
      </c>
      <c r="N957" t="s">
        <v>15</v>
      </c>
      <c r="O957" t="s">
        <v>16</v>
      </c>
      <c r="P957" t="s">
        <v>23</v>
      </c>
      <c r="Q957" t="str">
        <f t="shared" si="113"/>
        <v>10</v>
      </c>
      <c r="R957" s="5">
        <v>46202</v>
      </c>
      <c r="S957" s="8">
        <f t="shared" si="114"/>
        <v>25.641025641025642</v>
      </c>
      <c r="T957">
        <f t="shared" si="115"/>
        <v>180000</v>
      </c>
      <c r="U957" t="str">
        <f t="shared" si="116"/>
        <v>Budget</v>
      </c>
      <c r="V957" t="str">
        <f t="shared" si="117"/>
        <v>Medium</v>
      </c>
      <c r="W957" t="str">
        <f>IF(S957 &lt; VLOOKUP(E957, Locality_Tier_Benchmarks!A:B, 2, FALSE) * 0.7, "Below Tier Range", "Normal")</f>
        <v>Normal</v>
      </c>
      <c r="X957" t="str">
        <f t="shared" si="118"/>
        <v>Normal</v>
      </c>
      <c r="Y957" t="str">
        <f t="shared" si="119"/>
        <v>Normal</v>
      </c>
      <c r="Z957" t="str">
        <f t="shared" si="112"/>
        <v>Pass</v>
      </c>
    </row>
    <row r="958" spans="1:26" x14ac:dyDescent="0.25">
      <c r="A958" s="2" t="s">
        <v>1854</v>
      </c>
      <c r="B958" t="s">
        <v>17</v>
      </c>
      <c r="C958" t="s">
        <v>1976</v>
      </c>
      <c r="D958" s="2" t="str">
        <f>VLOOKUP(C958,Locality_Reference!A:C,2,)</f>
        <v>Central Line</v>
      </c>
      <c r="E958" s="2" t="str">
        <f>VLOOKUP(C958,Locality_Reference!A:C,3,)</f>
        <v>Outer Periphery</v>
      </c>
      <c r="F958" s="2" t="s">
        <v>1992</v>
      </c>
      <c r="G958" s="8">
        <v>9000</v>
      </c>
      <c r="H958">
        <v>1</v>
      </c>
      <c r="I958">
        <v>1</v>
      </c>
      <c r="J958">
        <v>0</v>
      </c>
      <c r="K958">
        <v>4</v>
      </c>
      <c r="L958">
        <v>330</v>
      </c>
      <c r="M958" t="s">
        <v>36</v>
      </c>
      <c r="N958" t="s">
        <v>15</v>
      </c>
      <c r="O958" t="s">
        <v>16</v>
      </c>
      <c r="P958" t="s">
        <v>23</v>
      </c>
      <c r="Q958" t="str">
        <f t="shared" si="113"/>
        <v>10</v>
      </c>
      <c r="R958" s="5">
        <v>46202</v>
      </c>
      <c r="S958" s="8">
        <f t="shared" si="114"/>
        <v>27.272727272727273</v>
      </c>
      <c r="T958">
        <f t="shared" si="115"/>
        <v>108000</v>
      </c>
      <c r="U958" t="str">
        <f t="shared" si="116"/>
        <v>Budget</v>
      </c>
      <c r="V958" t="str">
        <f t="shared" si="117"/>
        <v>Compact</v>
      </c>
      <c r="W958" t="str">
        <f>IF(S958 &lt; VLOOKUP(E958, Locality_Tier_Benchmarks!A:B, 2, FALSE) * 0.7, "Below Tier Range", "Normal")</f>
        <v>Normal</v>
      </c>
      <c r="X958" t="str">
        <f t="shared" si="118"/>
        <v>Normal</v>
      </c>
      <c r="Y958" t="str">
        <f t="shared" si="119"/>
        <v>Normal</v>
      </c>
      <c r="Z958" t="str">
        <f t="shared" si="112"/>
        <v>Pass</v>
      </c>
    </row>
    <row r="959" spans="1:26" x14ac:dyDescent="0.25">
      <c r="A959" s="2" t="s">
        <v>1855</v>
      </c>
      <c r="B959" t="s">
        <v>17</v>
      </c>
      <c r="C959" t="s">
        <v>1976</v>
      </c>
      <c r="D959" s="2" t="str">
        <f>VLOOKUP(C959,Locality_Reference!A:C,2,)</f>
        <v>Central Line</v>
      </c>
      <c r="E959" s="2" t="str">
        <f>VLOOKUP(C959,Locality_Reference!A:C,3,)</f>
        <v>Outer Periphery</v>
      </c>
      <c r="F959" s="2" t="s">
        <v>1993</v>
      </c>
      <c r="G959" s="8">
        <v>20000</v>
      </c>
      <c r="H959">
        <v>2</v>
      </c>
      <c r="I959">
        <v>2</v>
      </c>
      <c r="J959">
        <v>1</v>
      </c>
      <c r="K959">
        <v>7</v>
      </c>
      <c r="L959">
        <v>650</v>
      </c>
      <c r="M959" t="s">
        <v>14</v>
      </c>
      <c r="N959" t="s">
        <v>15</v>
      </c>
      <c r="O959" t="s">
        <v>16</v>
      </c>
      <c r="P959" t="s">
        <v>31</v>
      </c>
      <c r="Q959" t="str">
        <f t="shared" si="113"/>
        <v>3</v>
      </c>
      <c r="R959" s="5">
        <v>46193</v>
      </c>
      <c r="S959" s="8">
        <f t="shared" si="114"/>
        <v>30.76923076923077</v>
      </c>
      <c r="T959">
        <f t="shared" si="115"/>
        <v>240000</v>
      </c>
      <c r="U959" t="str">
        <f t="shared" si="116"/>
        <v>Budget</v>
      </c>
      <c r="V959" t="str">
        <f t="shared" si="117"/>
        <v>Medium</v>
      </c>
      <c r="W959" t="str">
        <f>IF(S959 &lt; VLOOKUP(E959, Locality_Tier_Benchmarks!A:B, 2, FALSE) * 0.7, "Below Tier Range", "Normal")</f>
        <v>Normal</v>
      </c>
      <c r="X959" t="str">
        <f t="shared" si="118"/>
        <v>Normal</v>
      </c>
      <c r="Y959" t="str">
        <f t="shared" si="119"/>
        <v>Normal</v>
      </c>
      <c r="Z959" t="str">
        <f t="shared" si="112"/>
        <v>Pass</v>
      </c>
    </row>
    <row r="960" spans="1:26" x14ac:dyDescent="0.25">
      <c r="A960" s="2" t="s">
        <v>1856</v>
      </c>
      <c r="B960" t="s">
        <v>17</v>
      </c>
      <c r="C960" t="s">
        <v>1976</v>
      </c>
      <c r="D960" s="2" t="str">
        <f>VLOOKUP(C960,Locality_Reference!A:C,2,)</f>
        <v>Central Line</v>
      </c>
      <c r="E960" s="2" t="str">
        <f>VLOOKUP(C960,Locality_Reference!A:C,3,)</f>
        <v>Outer Periphery</v>
      </c>
      <c r="F960" s="2" t="s">
        <v>1994</v>
      </c>
      <c r="G960" s="8">
        <v>25000</v>
      </c>
      <c r="H960">
        <v>2</v>
      </c>
      <c r="I960">
        <v>2</v>
      </c>
      <c r="J960">
        <v>2</v>
      </c>
      <c r="K960">
        <v>4</v>
      </c>
      <c r="L960">
        <v>750</v>
      </c>
      <c r="M960" t="s">
        <v>36</v>
      </c>
      <c r="N960" t="s">
        <v>15</v>
      </c>
      <c r="O960" t="s">
        <v>16</v>
      </c>
      <c r="P960" t="s">
        <v>34</v>
      </c>
      <c r="Q960" t="str">
        <f t="shared" si="113"/>
        <v/>
      </c>
      <c r="R960" s="5">
        <v>46198</v>
      </c>
      <c r="S960" s="8">
        <f t="shared" si="114"/>
        <v>33.333333333333336</v>
      </c>
      <c r="T960">
        <f t="shared" si="115"/>
        <v>300000</v>
      </c>
      <c r="U960" t="str">
        <f t="shared" si="116"/>
        <v>Budget</v>
      </c>
      <c r="V960" t="str">
        <f t="shared" si="117"/>
        <v>Medium</v>
      </c>
      <c r="W960" t="str">
        <f>IF(S960 &lt; VLOOKUP(E960, Locality_Tier_Benchmarks!A:B, 2, FALSE) * 0.7, "Below Tier Range", "Normal")</f>
        <v>Normal</v>
      </c>
      <c r="X960" t="str">
        <f t="shared" si="118"/>
        <v>Normal</v>
      </c>
      <c r="Y960" t="str">
        <f t="shared" si="119"/>
        <v>Normal</v>
      </c>
      <c r="Z960" t="str">
        <f t="shared" si="112"/>
        <v>Pass</v>
      </c>
    </row>
    <row r="961" spans="1:26" x14ac:dyDescent="0.25">
      <c r="A961" s="2" t="s">
        <v>1857</v>
      </c>
      <c r="B961" t="s">
        <v>17</v>
      </c>
      <c r="C961" t="s">
        <v>1976</v>
      </c>
      <c r="D961" s="2" t="str">
        <f>VLOOKUP(C961,Locality_Reference!A:C,2,)</f>
        <v>Central Line</v>
      </c>
      <c r="E961" s="2" t="str">
        <f>VLOOKUP(C961,Locality_Reference!A:C,3,)</f>
        <v>Outer Periphery</v>
      </c>
      <c r="F961" s="2" t="s">
        <v>1995</v>
      </c>
      <c r="G961" s="8">
        <v>18000</v>
      </c>
      <c r="H961">
        <v>2</v>
      </c>
      <c r="I961">
        <v>2</v>
      </c>
      <c r="J961">
        <v>12</v>
      </c>
      <c r="K961">
        <v>14</v>
      </c>
      <c r="L961">
        <v>560</v>
      </c>
      <c r="M961" t="s">
        <v>36</v>
      </c>
      <c r="N961" t="s">
        <v>15</v>
      </c>
      <c r="O961" t="s">
        <v>16</v>
      </c>
      <c r="P961" t="s">
        <v>52</v>
      </c>
      <c r="Q961" t="str">
        <f t="shared" si="113"/>
        <v>7.5</v>
      </c>
      <c r="R961" s="5">
        <v>46202</v>
      </c>
      <c r="S961" s="8">
        <f t="shared" si="114"/>
        <v>32.142857142857146</v>
      </c>
      <c r="T961">
        <f t="shared" si="115"/>
        <v>216000</v>
      </c>
      <c r="U961" t="str">
        <f t="shared" si="116"/>
        <v>Budget</v>
      </c>
      <c r="V961" t="str">
        <f t="shared" si="117"/>
        <v>Medium</v>
      </c>
      <c r="W961" t="str">
        <f>IF(S961 &lt; VLOOKUP(E961, Locality_Tier_Benchmarks!A:B, 2, FALSE) * 0.7, "Below Tier Range", "Normal")</f>
        <v>Normal</v>
      </c>
      <c r="X961" t="str">
        <f t="shared" si="118"/>
        <v>Normal</v>
      </c>
      <c r="Y961" t="str">
        <f t="shared" si="119"/>
        <v>Normal</v>
      </c>
      <c r="Z961" t="str">
        <f t="shared" si="112"/>
        <v>Pass</v>
      </c>
    </row>
    <row r="962" spans="1:26" x14ac:dyDescent="0.25">
      <c r="A962" s="2" t="s">
        <v>1858</v>
      </c>
      <c r="B962" t="s">
        <v>17</v>
      </c>
      <c r="C962" t="s">
        <v>1976</v>
      </c>
      <c r="D962" s="2" t="str">
        <f>VLOOKUP(C962,Locality_Reference!A:C,2,)</f>
        <v>Central Line</v>
      </c>
      <c r="E962" s="2" t="str">
        <f>VLOOKUP(C962,Locality_Reference!A:C,3,)</f>
        <v>Outer Periphery</v>
      </c>
      <c r="F962" s="2" t="s">
        <v>1996</v>
      </c>
      <c r="G962" s="8">
        <v>24000</v>
      </c>
      <c r="H962">
        <v>2</v>
      </c>
      <c r="I962">
        <v>2</v>
      </c>
      <c r="J962">
        <v>12</v>
      </c>
      <c r="K962">
        <v>24</v>
      </c>
      <c r="L962">
        <v>700</v>
      </c>
      <c r="M962" t="s">
        <v>36</v>
      </c>
      <c r="N962" t="s">
        <v>29</v>
      </c>
      <c r="O962" t="s">
        <v>16</v>
      </c>
      <c r="P962" t="s">
        <v>31</v>
      </c>
      <c r="Q962" t="str">
        <f t="shared" si="113"/>
        <v>3</v>
      </c>
      <c r="R962" s="5">
        <v>46193</v>
      </c>
      <c r="S962" s="8">
        <f t="shared" si="114"/>
        <v>34.285714285714285</v>
      </c>
      <c r="T962">
        <f t="shared" si="115"/>
        <v>288000</v>
      </c>
      <c r="U962" t="str">
        <f t="shared" si="116"/>
        <v>Budget</v>
      </c>
      <c r="V962" t="str">
        <f t="shared" si="117"/>
        <v>Medium</v>
      </c>
      <c r="W962" t="str">
        <f>IF(S962 &lt; VLOOKUP(E962, Locality_Tier_Benchmarks!A:B, 2, FALSE) * 0.7, "Below Tier Range", "Normal")</f>
        <v>Normal</v>
      </c>
      <c r="X962" t="str">
        <f t="shared" si="118"/>
        <v>Normal</v>
      </c>
      <c r="Y962" t="str">
        <f t="shared" si="119"/>
        <v>Normal</v>
      </c>
      <c r="Z962" t="str">
        <f t="shared" ref="Z962:Z1025" si="120">IF(OR(W962&lt;&gt;"Normal",X962&lt;&gt;"Normal",Y962&lt;&gt;"Normal"),"Review","Pass")</f>
        <v>Pass</v>
      </c>
    </row>
    <row r="963" spans="1:26" x14ac:dyDescent="0.25">
      <c r="A963" s="2" t="s">
        <v>1859</v>
      </c>
      <c r="B963" t="s">
        <v>17</v>
      </c>
      <c r="C963" t="s">
        <v>1976</v>
      </c>
      <c r="D963" s="2" t="str">
        <f>VLOOKUP(C963,Locality_Reference!A:C,2,)</f>
        <v>Central Line</v>
      </c>
      <c r="E963" s="2" t="str">
        <f>VLOOKUP(C963,Locality_Reference!A:C,3,)</f>
        <v>Outer Periphery</v>
      </c>
      <c r="F963" s="2" t="s">
        <v>1997</v>
      </c>
      <c r="G963" s="8">
        <v>25000</v>
      </c>
      <c r="H963">
        <v>2</v>
      </c>
      <c r="I963">
        <v>2</v>
      </c>
      <c r="J963">
        <v>1</v>
      </c>
      <c r="K963">
        <v>3</v>
      </c>
      <c r="L963">
        <v>960</v>
      </c>
      <c r="M963" t="s">
        <v>36</v>
      </c>
      <c r="N963" t="s">
        <v>15</v>
      </c>
      <c r="O963" t="s">
        <v>16</v>
      </c>
      <c r="P963" t="s">
        <v>34</v>
      </c>
      <c r="Q963" t="str">
        <f t="shared" ref="Q963:Q1026" si="121">IF(P963="20+ Years","20",IF(P963="15-20 Years","17.5",IF(P963="10+ Years","10",IF(P963="5-10 Years","7.5",IF(P963="1-5 Years","3",IF(P963="0-1 Year","1",""))))))</f>
        <v/>
      </c>
      <c r="R963" s="5">
        <v>46194</v>
      </c>
      <c r="S963" s="8">
        <f t="shared" ref="S963:S1026" si="122">G963/L963</f>
        <v>26.041666666666668</v>
      </c>
      <c r="T963">
        <f t="shared" ref="T963:T1026" si="123">G963*12</f>
        <v>300000</v>
      </c>
      <c r="U963" t="str">
        <f t="shared" ref="U963:U1026" si="124">IF(G963&lt;=30000,"Budget",IF(G963&lt;=60000,"Mid",IF(G963&lt;=100000,"Premium","Luxury")))</f>
        <v>Budget</v>
      </c>
      <c r="V963" t="str">
        <f t="shared" ref="V963:V1026" si="125">IF(L963&lt;=500,"Compact",IF(L963&lt;=800,"Medium",IF(L963&lt;=1200,"Large","Spacious")))</f>
        <v>Large</v>
      </c>
      <c r="W963" t="str">
        <f>IF(S963 &lt; VLOOKUP(E963, Locality_Tier_Benchmarks!A:B, 2, FALSE) * 0.7, "Below Tier Range", "Normal")</f>
        <v>Normal</v>
      </c>
      <c r="X963" t="str">
        <f t="shared" ref="X963:X1026" si="126">IF(G963&lt;7000,"Below Absolute Floor","Normal")</f>
        <v>Normal</v>
      </c>
      <c r="Y963" t="str">
        <f t="shared" ref="Y963:Y1026" si="127">IF(S963&gt;500,"Possible Typo - Check Zero","Normal")</f>
        <v>Normal</v>
      </c>
      <c r="Z963" t="str">
        <f t="shared" si="120"/>
        <v>Pass</v>
      </c>
    </row>
    <row r="964" spans="1:26" x14ac:dyDescent="0.25">
      <c r="A964" s="2" t="s">
        <v>1860</v>
      </c>
      <c r="B964" t="s">
        <v>17</v>
      </c>
      <c r="C964" t="s">
        <v>1976</v>
      </c>
      <c r="D964" s="2" t="str">
        <f>VLOOKUP(C964,Locality_Reference!A:C,2,)</f>
        <v>Central Line</v>
      </c>
      <c r="E964" s="2" t="str">
        <f>VLOOKUP(C964,Locality_Reference!A:C,3,)</f>
        <v>Outer Periphery</v>
      </c>
      <c r="F964" s="2" t="s">
        <v>1998</v>
      </c>
      <c r="G964" s="8">
        <v>35000</v>
      </c>
      <c r="H964">
        <v>3</v>
      </c>
      <c r="I964">
        <v>3</v>
      </c>
      <c r="J964">
        <v>6</v>
      </c>
      <c r="K964">
        <v>7</v>
      </c>
      <c r="L964">
        <v>1000</v>
      </c>
      <c r="M964" t="s">
        <v>14</v>
      </c>
      <c r="N964" t="s">
        <v>15</v>
      </c>
      <c r="O964" t="s">
        <v>16</v>
      </c>
      <c r="P964" t="s">
        <v>34</v>
      </c>
      <c r="Q964" t="str">
        <f t="shared" si="121"/>
        <v/>
      </c>
      <c r="R964" s="5">
        <v>46203</v>
      </c>
      <c r="S964" s="8">
        <f t="shared" si="122"/>
        <v>35</v>
      </c>
      <c r="T964">
        <f t="shared" si="123"/>
        <v>420000</v>
      </c>
      <c r="U964" t="str">
        <f t="shared" si="124"/>
        <v>Mid</v>
      </c>
      <c r="V964" t="str">
        <f t="shared" si="125"/>
        <v>Large</v>
      </c>
      <c r="W964" t="str">
        <f>IF(S964 &lt; VLOOKUP(E964, Locality_Tier_Benchmarks!A:B, 2, FALSE) * 0.7, "Below Tier Range", "Normal")</f>
        <v>Normal</v>
      </c>
      <c r="X964" t="str">
        <f t="shared" si="126"/>
        <v>Normal</v>
      </c>
      <c r="Y964" t="str">
        <f t="shared" si="127"/>
        <v>Normal</v>
      </c>
      <c r="Z964" t="str">
        <f t="shared" si="120"/>
        <v>Pass</v>
      </c>
    </row>
    <row r="965" spans="1:26" x14ac:dyDescent="0.25">
      <c r="A965" s="2" t="s">
        <v>1861</v>
      </c>
      <c r="B965" t="s">
        <v>17</v>
      </c>
      <c r="C965" t="s">
        <v>1999</v>
      </c>
      <c r="D965" s="2" t="str">
        <f>VLOOKUP(C965,Locality_Reference!A:C,2,)</f>
        <v>Central Line</v>
      </c>
      <c r="E965" s="2" t="str">
        <f>VLOOKUP(C965,Locality_Reference!A:C,3,)</f>
        <v>Outer Periphery</v>
      </c>
      <c r="F965" s="2" t="s">
        <v>2001</v>
      </c>
      <c r="G965" s="8">
        <v>16000</v>
      </c>
      <c r="H965">
        <v>1</v>
      </c>
      <c r="I965">
        <v>2</v>
      </c>
      <c r="J965">
        <v>10</v>
      </c>
      <c r="K965">
        <v>29</v>
      </c>
      <c r="L965">
        <v>500</v>
      </c>
      <c r="M965" t="s">
        <v>36</v>
      </c>
      <c r="N965" t="s">
        <v>15</v>
      </c>
      <c r="O965" t="s">
        <v>16</v>
      </c>
      <c r="P965" t="s">
        <v>34</v>
      </c>
      <c r="Q965" t="str">
        <f t="shared" si="121"/>
        <v/>
      </c>
      <c r="R965" s="5">
        <v>46197</v>
      </c>
      <c r="S965" s="8">
        <f t="shared" si="122"/>
        <v>32</v>
      </c>
      <c r="T965">
        <f t="shared" si="123"/>
        <v>192000</v>
      </c>
      <c r="U965" t="str">
        <f t="shared" si="124"/>
        <v>Budget</v>
      </c>
      <c r="V965" t="str">
        <f t="shared" si="125"/>
        <v>Compact</v>
      </c>
      <c r="W965" t="str">
        <f>IF(S965 &lt; VLOOKUP(E965, Locality_Tier_Benchmarks!A:B, 2, FALSE) * 0.7, "Below Tier Range", "Normal")</f>
        <v>Normal</v>
      </c>
      <c r="X965" t="str">
        <f t="shared" si="126"/>
        <v>Normal</v>
      </c>
      <c r="Y965" t="str">
        <f t="shared" si="127"/>
        <v>Normal</v>
      </c>
      <c r="Z965" t="str">
        <f t="shared" si="120"/>
        <v>Pass</v>
      </c>
    </row>
    <row r="966" spans="1:26" x14ac:dyDescent="0.25">
      <c r="A966" s="2" t="s">
        <v>1862</v>
      </c>
      <c r="B966" t="s">
        <v>17</v>
      </c>
      <c r="C966" t="s">
        <v>1999</v>
      </c>
      <c r="D966" s="2" t="str">
        <f>VLOOKUP(C966,Locality_Reference!A:C,2,)</f>
        <v>Central Line</v>
      </c>
      <c r="E966" s="2" t="str">
        <f>VLOOKUP(C966,Locality_Reference!A:C,3,)</f>
        <v>Outer Periphery</v>
      </c>
      <c r="F966" s="2" t="s">
        <v>2002</v>
      </c>
      <c r="G966" s="8">
        <v>15000</v>
      </c>
      <c r="H966">
        <v>1</v>
      </c>
      <c r="I966">
        <v>2</v>
      </c>
      <c r="J966">
        <v>22</v>
      </c>
      <c r="K966">
        <v>22</v>
      </c>
      <c r="L966">
        <v>635</v>
      </c>
      <c r="M966" t="s">
        <v>36</v>
      </c>
      <c r="N966" t="s">
        <v>29</v>
      </c>
      <c r="O966" t="s">
        <v>16</v>
      </c>
      <c r="P966" t="s">
        <v>34</v>
      </c>
      <c r="Q966" t="str">
        <f t="shared" si="121"/>
        <v/>
      </c>
      <c r="R966" s="5">
        <v>46199</v>
      </c>
      <c r="S966" s="8">
        <f t="shared" si="122"/>
        <v>23.622047244094489</v>
      </c>
      <c r="T966">
        <f t="shared" si="123"/>
        <v>180000</v>
      </c>
      <c r="U966" t="str">
        <f t="shared" si="124"/>
        <v>Budget</v>
      </c>
      <c r="V966" t="str">
        <f t="shared" si="125"/>
        <v>Medium</v>
      </c>
      <c r="W966" t="str">
        <f>IF(S966 &lt; VLOOKUP(E966, Locality_Tier_Benchmarks!A:B, 2, FALSE) * 0.7, "Below Tier Range", "Normal")</f>
        <v>Normal</v>
      </c>
      <c r="X966" t="str">
        <f t="shared" si="126"/>
        <v>Normal</v>
      </c>
      <c r="Y966" t="str">
        <f t="shared" si="127"/>
        <v>Normal</v>
      </c>
      <c r="Z966" t="str">
        <f t="shared" si="120"/>
        <v>Pass</v>
      </c>
    </row>
    <row r="967" spans="1:26" x14ac:dyDescent="0.25">
      <c r="A967" s="2" t="s">
        <v>1863</v>
      </c>
      <c r="B967" t="s">
        <v>17</v>
      </c>
      <c r="C967" t="s">
        <v>1999</v>
      </c>
      <c r="D967" s="2" t="str">
        <f>VLOOKUP(C967,Locality_Reference!A:C,2,)</f>
        <v>Central Line</v>
      </c>
      <c r="E967" s="2" t="str">
        <f>VLOOKUP(C967,Locality_Reference!A:C,3,)</f>
        <v>Outer Periphery</v>
      </c>
      <c r="F967" s="2" t="s">
        <v>2003</v>
      </c>
      <c r="G967" s="8">
        <v>14000</v>
      </c>
      <c r="H967">
        <v>1</v>
      </c>
      <c r="I967">
        <v>2</v>
      </c>
      <c r="J967">
        <v>11</v>
      </c>
      <c r="K967">
        <v>23</v>
      </c>
      <c r="L967">
        <v>440</v>
      </c>
      <c r="M967" t="s">
        <v>33</v>
      </c>
      <c r="N967" t="s">
        <v>15</v>
      </c>
      <c r="O967" t="s">
        <v>16</v>
      </c>
      <c r="P967" t="s">
        <v>34</v>
      </c>
      <c r="Q967" t="str">
        <f t="shared" si="121"/>
        <v/>
      </c>
      <c r="R967" s="5">
        <v>46197</v>
      </c>
      <c r="S967" s="8">
        <f t="shared" si="122"/>
        <v>31.818181818181817</v>
      </c>
      <c r="T967">
        <f t="shared" si="123"/>
        <v>168000</v>
      </c>
      <c r="U967" t="str">
        <f t="shared" si="124"/>
        <v>Budget</v>
      </c>
      <c r="V967" t="str">
        <f t="shared" si="125"/>
        <v>Compact</v>
      </c>
      <c r="W967" t="str">
        <f>IF(S967 &lt; VLOOKUP(E967, Locality_Tier_Benchmarks!A:B, 2, FALSE) * 0.7, "Below Tier Range", "Normal")</f>
        <v>Normal</v>
      </c>
      <c r="X967" t="str">
        <f t="shared" si="126"/>
        <v>Normal</v>
      </c>
      <c r="Y967" t="str">
        <f t="shared" si="127"/>
        <v>Normal</v>
      </c>
      <c r="Z967" t="str">
        <f t="shared" si="120"/>
        <v>Pass</v>
      </c>
    </row>
    <row r="968" spans="1:26" x14ac:dyDescent="0.25">
      <c r="A968" s="2" t="s">
        <v>1864</v>
      </c>
      <c r="B968" t="s">
        <v>17</v>
      </c>
      <c r="C968" t="s">
        <v>1999</v>
      </c>
      <c r="D968" s="2" t="str">
        <f>VLOOKUP(C968,Locality_Reference!A:C,2,)</f>
        <v>Central Line</v>
      </c>
      <c r="E968" s="2" t="str">
        <f>VLOOKUP(C968,Locality_Reference!A:C,3,)</f>
        <v>Outer Periphery</v>
      </c>
      <c r="F968" s="2" t="s">
        <v>2004</v>
      </c>
      <c r="G968" s="8">
        <v>15000</v>
      </c>
      <c r="H968">
        <v>1</v>
      </c>
      <c r="I968">
        <v>2</v>
      </c>
      <c r="J968">
        <v>15</v>
      </c>
      <c r="K968">
        <v>15</v>
      </c>
      <c r="L968">
        <v>437</v>
      </c>
      <c r="M968" t="s">
        <v>36</v>
      </c>
      <c r="N968" t="s">
        <v>15</v>
      </c>
      <c r="O968" t="s">
        <v>16</v>
      </c>
      <c r="P968" t="s">
        <v>34</v>
      </c>
      <c r="Q968" t="str">
        <f t="shared" si="121"/>
        <v/>
      </c>
      <c r="R968" s="5">
        <v>46196</v>
      </c>
      <c r="S968" s="8">
        <f t="shared" si="122"/>
        <v>34.324942791762012</v>
      </c>
      <c r="T968">
        <f t="shared" si="123"/>
        <v>180000</v>
      </c>
      <c r="U968" t="str">
        <f t="shared" si="124"/>
        <v>Budget</v>
      </c>
      <c r="V968" t="str">
        <f t="shared" si="125"/>
        <v>Compact</v>
      </c>
      <c r="W968" t="str">
        <f>IF(S968 &lt; VLOOKUP(E968, Locality_Tier_Benchmarks!A:B, 2, FALSE) * 0.7, "Below Tier Range", "Normal")</f>
        <v>Normal</v>
      </c>
      <c r="X968" t="str">
        <f t="shared" si="126"/>
        <v>Normal</v>
      </c>
      <c r="Y968" t="str">
        <f t="shared" si="127"/>
        <v>Normal</v>
      </c>
      <c r="Z968" t="str">
        <f t="shared" si="120"/>
        <v>Pass</v>
      </c>
    </row>
    <row r="969" spans="1:26" x14ac:dyDescent="0.25">
      <c r="A969" s="2" t="s">
        <v>1865</v>
      </c>
      <c r="B969" t="s">
        <v>17</v>
      </c>
      <c r="C969" t="s">
        <v>1999</v>
      </c>
      <c r="D969" s="2" t="str">
        <f>VLOOKUP(C969,Locality_Reference!A:C,2,)</f>
        <v>Central Line</v>
      </c>
      <c r="E969" s="2" t="str">
        <f>VLOOKUP(C969,Locality_Reference!A:C,3,)</f>
        <v>Outer Periphery</v>
      </c>
      <c r="F969" s="2" t="s">
        <v>2005</v>
      </c>
      <c r="G969" s="8">
        <v>13000</v>
      </c>
      <c r="H969">
        <v>1</v>
      </c>
      <c r="I969">
        <v>1</v>
      </c>
      <c r="J969">
        <v>1</v>
      </c>
      <c r="K969">
        <v>3</v>
      </c>
      <c r="L969">
        <v>450</v>
      </c>
      <c r="M969" t="s">
        <v>14</v>
      </c>
      <c r="N969" t="s">
        <v>15</v>
      </c>
      <c r="O969" t="s">
        <v>16</v>
      </c>
      <c r="P969" t="s">
        <v>23</v>
      </c>
      <c r="Q969" t="str">
        <f t="shared" si="121"/>
        <v>10</v>
      </c>
      <c r="R969" s="5">
        <v>46193</v>
      </c>
      <c r="S969" s="8">
        <f t="shared" si="122"/>
        <v>28.888888888888889</v>
      </c>
      <c r="T969">
        <f t="shared" si="123"/>
        <v>156000</v>
      </c>
      <c r="U969" t="str">
        <f t="shared" si="124"/>
        <v>Budget</v>
      </c>
      <c r="V969" t="str">
        <f t="shared" si="125"/>
        <v>Compact</v>
      </c>
      <c r="W969" t="str">
        <f>IF(S969 &lt; VLOOKUP(E969, Locality_Tier_Benchmarks!A:B, 2, FALSE) * 0.7, "Below Tier Range", "Normal")</f>
        <v>Normal</v>
      </c>
      <c r="X969" t="str">
        <f t="shared" si="126"/>
        <v>Normal</v>
      </c>
      <c r="Y969" t="str">
        <f t="shared" si="127"/>
        <v>Normal</v>
      </c>
      <c r="Z969" t="str">
        <f t="shared" si="120"/>
        <v>Pass</v>
      </c>
    </row>
    <row r="970" spans="1:26" x14ac:dyDescent="0.25">
      <c r="A970" s="2" t="s">
        <v>1866</v>
      </c>
      <c r="B970" t="s">
        <v>17</v>
      </c>
      <c r="C970" t="s">
        <v>1999</v>
      </c>
      <c r="D970" s="2" t="str">
        <f>VLOOKUP(C970,Locality_Reference!A:C,2,)</f>
        <v>Central Line</v>
      </c>
      <c r="E970" s="2" t="str">
        <f>VLOOKUP(C970,Locality_Reference!A:C,3,)</f>
        <v>Outer Periphery</v>
      </c>
      <c r="F970" s="2" t="s">
        <v>2006</v>
      </c>
      <c r="G970" s="8">
        <v>12000</v>
      </c>
      <c r="H970">
        <v>2</v>
      </c>
      <c r="I970">
        <v>1</v>
      </c>
      <c r="J970">
        <v>4</v>
      </c>
      <c r="K970">
        <v>4</v>
      </c>
      <c r="L970">
        <v>620</v>
      </c>
      <c r="M970" t="s">
        <v>36</v>
      </c>
      <c r="N970" t="s">
        <v>29</v>
      </c>
      <c r="O970" t="s">
        <v>16</v>
      </c>
      <c r="P970" t="s">
        <v>52</v>
      </c>
      <c r="Q970" t="str">
        <f t="shared" si="121"/>
        <v>7.5</v>
      </c>
      <c r="R970" s="5">
        <v>46202</v>
      </c>
      <c r="S970" s="8">
        <f t="shared" si="122"/>
        <v>19.35483870967742</v>
      </c>
      <c r="T970">
        <f t="shared" si="123"/>
        <v>144000</v>
      </c>
      <c r="U970" t="str">
        <f t="shared" si="124"/>
        <v>Budget</v>
      </c>
      <c r="V970" t="str">
        <f t="shared" si="125"/>
        <v>Medium</v>
      </c>
      <c r="W970" t="str">
        <f>IF(S970 &lt; VLOOKUP(E970, Locality_Tier_Benchmarks!A:B, 2, FALSE) * 0.7, "Below Tier Range", "Normal")</f>
        <v>Normal</v>
      </c>
      <c r="X970" t="str">
        <f t="shared" si="126"/>
        <v>Normal</v>
      </c>
      <c r="Y970" t="str">
        <f t="shared" si="127"/>
        <v>Normal</v>
      </c>
      <c r="Z970" t="str">
        <f t="shared" si="120"/>
        <v>Pass</v>
      </c>
    </row>
    <row r="971" spans="1:26" x14ac:dyDescent="0.25">
      <c r="A971" s="2" t="s">
        <v>1867</v>
      </c>
      <c r="B971" t="s">
        <v>17</v>
      </c>
      <c r="C971" t="s">
        <v>1999</v>
      </c>
      <c r="D971" s="2" t="str">
        <f>VLOOKUP(C971,Locality_Reference!A:C,2,)</f>
        <v>Central Line</v>
      </c>
      <c r="E971" s="2" t="str">
        <f>VLOOKUP(C971,Locality_Reference!A:C,3,)</f>
        <v>Outer Periphery</v>
      </c>
      <c r="F971" s="2" t="s">
        <v>2007</v>
      </c>
      <c r="G971" s="8">
        <v>12500</v>
      </c>
      <c r="H971">
        <v>2</v>
      </c>
      <c r="I971">
        <v>1</v>
      </c>
      <c r="J971">
        <v>2</v>
      </c>
      <c r="K971">
        <v>4</v>
      </c>
      <c r="L971">
        <v>590</v>
      </c>
      <c r="M971" t="s">
        <v>33</v>
      </c>
      <c r="N971" t="s">
        <v>15</v>
      </c>
      <c r="O971" t="s">
        <v>16</v>
      </c>
      <c r="P971" t="s">
        <v>23</v>
      </c>
      <c r="Q971" t="str">
        <f t="shared" si="121"/>
        <v>10</v>
      </c>
      <c r="R971" s="5">
        <v>46201</v>
      </c>
      <c r="S971" s="8">
        <f t="shared" si="122"/>
        <v>21.1864406779661</v>
      </c>
      <c r="T971">
        <f t="shared" si="123"/>
        <v>150000</v>
      </c>
      <c r="U971" t="str">
        <f t="shared" si="124"/>
        <v>Budget</v>
      </c>
      <c r="V971" t="str">
        <f t="shared" si="125"/>
        <v>Medium</v>
      </c>
      <c r="W971" t="str">
        <f>IF(S971 &lt; VLOOKUP(E971, Locality_Tier_Benchmarks!A:B, 2, FALSE) * 0.7, "Below Tier Range", "Normal")</f>
        <v>Normal</v>
      </c>
      <c r="X971" t="str">
        <f t="shared" si="126"/>
        <v>Normal</v>
      </c>
      <c r="Y971" t="str">
        <f t="shared" si="127"/>
        <v>Normal</v>
      </c>
      <c r="Z971" t="str">
        <f t="shared" si="120"/>
        <v>Pass</v>
      </c>
    </row>
    <row r="972" spans="1:26" x14ac:dyDescent="0.25">
      <c r="A972" s="2" t="s">
        <v>1868</v>
      </c>
      <c r="B972" t="s">
        <v>17</v>
      </c>
      <c r="C972" t="s">
        <v>1999</v>
      </c>
      <c r="D972" s="2" t="str">
        <f>VLOOKUP(C972,Locality_Reference!A:C,2,)</f>
        <v>Central Line</v>
      </c>
      <c r="E972" s="2" t="str">
        <f>VLOOKUP(C972,Locality_Reference!A:C,3,)</f>
        <v>Outer Periphery</v>
      </c>
      <c r="F972" s="2" t="s">
        <v>2008</v>
      </c>
      <c r="G972" s="8">
        <v>20000</v>
      </c>
      <c r="H972">
        <v>2</v>
      </c>
      <c r="I972">
        <v>2</v>
      </c>
      <c r="J972">
        <v>12</v>
      </c>
      <c r="K972">
        <v>14</v>
      </c>
      <c r="L972">
        <v>534</v>
      </c>
      <c r="M972" t="s">
        <v>36</v>
      </c>
      <c r="N972" t="s">
        <v>15</v>
      </c>
      <c r="O972" t="s">
        <v>16</v>
      </c>
      <c r="P972" t="s">
        <v>34</v>
      </c>
      <c r="Q972" t="str">
        <f t="shared" si="121"/>
        <v/>
      </c>
      <c r="R972" s="5">
        <v>46201</v>
      </c>
      <c r="S972" s="8">
        <f t="shared" si="122"/>
        <v>37.453183520599254</v>
      </c>
      <c r="T972">
        <f t="shared" si="123"/>
        <v>240000</v>
      </c>
      <c r="U972" t="str">
        <f t="shared" si="124"/>
        <v>Budget</v>
      </c>
      <c r="V972" t="str">
        <f t="shared" si="125"/>
        <v>Medium</v>
      </c>
      <c r="W972" t="str">
        <f>IF(S972 &lt; VLOOKUP(E972, Locality_Tier_Benchmarks!A:B, 2, FALSE) * 0.7, "Below Tier Range", "Normal")</f>
        <v>Normal</v>
      </c>
      <c r="X972" t="str">
        <f t="shared" si="126"/>
        <v>Normal</v>
      </c>
      <c r="Y972" t="str">
        <f t="shared" si="127"/>
        <v>Normal</v>
      </c>
      <c r="Z972" t="str">
        <f t="shared" si="120"/>
        <v>Pass</v>
      </c>
    </row>
    <row r="973" spans="1:26" x14ac:dyDescent="0.25">
      <c r="A973" s="2" t="s">
        <v>1869</v>
      </c>
      <c r="B973" t="s">
        <v>17</v>
      </c>
      <c r="C973" t="s">
        <v>1999</v>
      </c>
      <c r="D973" s="2" t="str">
        <f>VLOOKUP(C973,Locality_Reference!A:C,2,)</f>
        <v>Central Line</v>
      </c>
      <c r="E973" s="2" t="str">
        <f>VLOOKUP(C973,Locality_Reference!A:C,3,)</f>
        <v>Outer Periphery</v>
      </c>
      <c r="F973" s="2" t="s">
        <v>2009</v>
      </c>
      <c r="G973" s="8">
        <v>16000</v>
      </c>
      <c r="H973">
        <v>2</v>
      </c>
      <c r="I973">
        <v>2</v>
      </c>
      <c r="J973">
        <v>2</v>
      </c>
      <c r="K973">
        <v>4</v>
      </c>
      <c r="L973">
        <v>700</v>
      </c>
      <c r="M973" t="s">
        <v>36</v>
      </c>
      <c r="N973" t="s">
        <v>15</v>
      </c>
      <c r="O973" t="s">
        <v>16</v>
      </c>
      <c r="P973" t="s">
        <v>52</v>
      </c>
      <c r="Q973" t="str">
        <f t="shared" si="121"/>
        <v>7.5</v>
      </c>
      <c r="R973" s="5">
        <v>46200</v>
      </c>
      <c r="S973" s="8">
        <f t="shared" si="122"/>
        <v>22.857142857142858</v>
      </c>
      <c r="T973">
        <f t="shared" si="123"/>
        <v>192000</v>
      </c>
      <c r="U973" t="str">
        <f t="shared" si="124"/>
        <v>Budget</v>
      </c>
      <c r="V973" t="str">
        <f t="shared" si="125"/>
        <v>Medium</v>
      </c>
      <c r="W973" t="str">
        <f>IF(S973 &lt; VLOOKUP(E973, Locality_Tier_Benchmarks!A:B, 2, FALSE) * 0.7, "Below Tier Range", "Normal")</f>
        <v>Normal</v>
      </c>
      <c r="X973" t="str">
        <f t="shared" si="126"/>
        <v>Normal</v>
      </c>
      <c r="Y973" t="str">
        <f t="shared" si="127"/>
        <v>Normal</v>
      </c>
      <c r="Z973" t="str">
        <f t="shared" si="120"/>
        <v>Pass</v>
      </c>
    </row>
    <row r="974" spans="1:26" x14ac:dyDescent="0.25">
      <c r="A974" s="2" t="s">
        <v>1870</v>
      </c>
      <c r="B974" t="s">
        <v>17</v>
      </c>
      <c r="C974" t="s">
        <v>1999</v>
      </c>
      <c r="D974" s="2" t="str">
        <f>VLOOKUP(C974,Locality_Reference!A:C,2,)</f>
        <v>Central Line</v>
      </c>
      <c r="E974" s="2" t="str">
        <f>VLOOKUP(C974,Locality_Reference!A:C,3,)</f>
        <v>Outer Periphery</v>
      </c>
      <c r="F974" s="2" t="s">
        <v>2003</v>
      </c>
      <c r="G974" s="8">
        <v>17000</v>
      </c>
      <c r="H974">
        <v>2</v>
      </c>
      <c r="I974">
        <v>2</v>
      </c>
      <c r="J974">
        <v>22</v>
      </c>
      <c r="K974">
        <v>23</v>
      </c>
      <c r="L974">
        <v>592</v>
      </c>
      <c r="M974" t="s">
        <v>33</v>
      </c>
      <c r="N974" t="s">
        <v>15</v>
      </c>
      <c r="O974" t="s">
        <v>16</v>
      </c>
      <c r="P974" t="s">
        <v>34</v>
      </c>
      <c r="Q974" t="str">
        <f t="shared" si="121"/>
        <v/>
      </c>
      <c r="R974" s="5">
        <v>46196</v>
      </c>
      <c r="S974" s="8">
        <f t="shared" si="122"/>
        <v>28.716216216216218</v>
      </c>
      <c r="T974">
        <f t="shared" si="123"/>
        <v>204000</v>
      </c>
      <c r="U974" t="str">
        <f t="shared" si="124"/>
        <v>Budget</v>
      </c>
      <c r="V974" t="str">
        <f t="shared" si="125"/>
        <v>Medium</v>
      </c>
      <c r="W974" t="str">
        <f>IF(S974 &lt; VLOOKUP(E974, Locality_Tier_Benchmarks!A:B, 2, FALSE) * 0.7, "Below Tier Range", "Normal")</f>
        <v>Normal</v>
      </c>
      <c r="X974" t="str">
        <f t="shared" si="126"/>
        <v>Normal</v>
      </c>
      <c r="Y974" t="str">
        <f t="shared" si="127"/>
        <v>Normal</v>
      </c>
      <c r="Z974" t="str">
        <f t="shared" si="120"/>
        <v>Pass</v>
      </c>
    </row>
    <row r="975" spans="1:26" x14ac:dyDescent="0.25">
      <c r="A975" s="2" t="s">
        <v>1871</v>
      </c>
      <c r="B975" t="s">
        <v>17</v>
      </c>
      <c r="C975" t="s">
        <v>1999</v>
      </c>
      <c r="D975" s="2" t="str">
        <f>VLOOKUP(C975,Locality_Reference!A:C,2,)</f>
        <v>Central Line</v>
      </c>
      <c r="E975" s="2" t="str">
        <f>VLOOKUP(C975,Locality_Reference!A:C,3,)</f>
        <v>Outer Periphery</v>
      </c>
      <c r="F975" s="2" t="s">
        <v>2010</v>
      </c>
      <c r="G975" s="8">
        <v>32000</v>
      </c>
      <c r="H975">
        <v>3</v>
      </c>
      <c r="I975">
        <v>3</v>
      </c>
      <c r="J975">
        <v>12</v>
      </c>
      <c r="K975">
        <v>14</v>
      </c>
      <c r="L975">
        <v>1000</v>
      </c>
      <c r="M975" t="s">
        <v>14</v>
      </c>
      <c r="N975" t="s">
        <v>15</v>
      </c>
      <c r="O975" t="s">
        <v>16</v>
      </c>
      <c r="P975" t="s">
        <v>52</v>
      </c>
      <c r="Q975" t="str">
        <f t="shared" si="121"/>
        <v>7.5</v>
      </c>
      <c r="R975" s="5">
        <v>46189</v>
      </c>
      <c r="S975" s="8">
        <f t="shared" si="122"/>
        <v>32</v>
      </c>
      <c r="T975">
        <f t="shared" si="123"/>
        <v>384000</v>
      </c>
      <c r="U975" t="str">
        <f t="shared" si="124"/>
        <v>Mid</v>
      </c>
      <c r="V975" t="str">
        <f t="shared" si="125"/>
        <v>Large</v>
      </c>
      <c r="W975" t="str">
        <f>IF(S975 &lt; VLOOKUP(E975, Locality_Tier_Benchmarks!A:B, 2, FALSE) * 0.7, "Below Tier Range", "Normal")</f>
        <v>Normal</v>
      </c>
      <c r="X975" t="str">
        <f t="shared" si="126"/>
        <v>Normal</v>
      </c>
      <c r="Y975" t="str">
        <f t="shared" si="127"/>
        <v>Normal</v>
      </c>
      <c r="Z975" t="str">
        <f t="shared" si="120"/>
        <v>Pass</v>
      </c>
    </row>
    <row r="976" spans="1:26" x14ac:dyDescent="0.25">
      <c r="A976" s="2" t="s">
        <v>1872</v>
      </c>
      <c r="B976" t="s">
        <v>17</v>
      </c>
      <c r="C976" t="s">
        <v>1999</v>
      </c>
      <c r="D976" s="2" t="str">
        <f>VLOOKUP(C976,Locality_Reference!A:C,2,)</f>
        <v>Central Line</v>
      </c>
      <c r="E976" s="2" t="str">
        <f>VLOOKUP(C976,Locality_Reference!A:C,3,)</f>
        <v>Outer Periphery</v>
      </c>
      <c r="F976" s="2" t="s">
        <v>2011</v>
      </c>
      <c r="G976" s="8">
        <v>35000</v>
      </c>
      <c r="H976">
        <v>3</v>
      </c>
      <c r="I976">
        <v>3</v>
      </c>
      <c r="J976">
        <v>22</v>
      </c>
      <c r="K976">
        <v>29</v>
      </c>
      <c r="L976">
        <v>913</v>
      </c>
      <c r="M976" t="s">
        <v>33</v>
      </c>
      <c r="N976" t="s">
        <v>15</v>
      </c>
      <c r="O976" t="s">
        <v>16</v>
      </c>
      <c r="P976" t="s">
        <v>47</v>
      </c>
      <c r="Q976" t="str">
        <f t="shared" si="121"/>
        <v>1</v>
      </c>
      <c r="R976" s="5">
        <v>46182</v>
      </c>
      <c r="S976" s="8">
        <f t="shared" si="122"/>
        <v>38.33515881708653</v>
      </c>
      <c r="T976">
        <f t="shared" si="123"/>
        <v>420000</v>
      </c>
      <c r="U976" t="str">
        <f t="shared" si="124"/>
        <v>Mid</v>
      </c>
      <c r="V976" t="str">
        <f t="shared" si="125"/>
        <v>Large</v>
      </c>
      <c r="W976" t="str">
        <f>IF(S976 &lt; VLOOKUP(E976, Locality_Tier_Benchmarks!A:B, 2, FALSE) * 0.7, "Below Tier Range", "Normal")</f>
        <v>Normal</v>
      </c>
      <c r="X976" t="str">
        <f t="shared" si="126"/>
        <v>Normal</v>
      </c>
      <c r="Y976" t="str">
        <f t="shared" si="127"/>
        <v>Normal</v>
      </c>
      <c r="Z976" t="str">
        <f t="shared" si="120"/>
        <v>Pass</v>
      </c>
    </row>
    <row r="977" spans="1:26" x14ac:dyDescent="0.25">
      <c r="A977" s="2" t="s">
        <v>1873</v>
      </c>
      <c r="B977" t="s">
        <v>17</v>
      </c>
      <c r="C977" t="s">
        <v>1999</v>
      </c>
      <c r="D977" s="2" t="str">
        <f>VLOOKUP(C977,Locality_Reference!A:C,2,)</f>
        <v>Central Line</v>
      </c>
      <c r="E977" s="2" t="str">
        <f>VLOOKUP(C977,Locality_Reference!A:C,3,)</f>
        <v>Outer Periphery</v>
      </c>
      <c r="F977" s="2" t="s">
        <v>2003</v>
      </c>
      <c r="G977" s="8">
        <v>20000</v>
      </c>
      <c r="H977">
        <v>3</v>
      </c>
      <c r="I977">
        <v>3</v>
      </c>
      <c r="J977">
        <v>2</v>
      </c>
      <c r="K977">
        <v>23</v>
      </c>
      <c r="L977">
        <v>880</v>
      </c>
      <c r="M977" t="s">
        <v>33</v>
      </c>
      <c r="N977" t="s">
        <v>15</v>
      </c>
      <c r="O977" t="s">
        <v>16</v>
      </c>
      <c r="P977" t="s">
        <v>47</v>
      </c>
      <c r="Q977" t="str">
        <f t="shared" si="121"/>
        <v>1</v>
      </c>
      <c r="R977" s="5">
        <v>46169</v>
      </c>
      <c r="S977" s="8">
        <f t="shared" si="122"/>
        <v>22.727272727272727</v>
      </c>
      <c r="T977">
        <f t="shared" si="123"/>
        <v>240000</v>
      </c>
      <c r="U977" t="str">
        <f t="shared" si="124"/>
        <v>Budget</v>
      </c>
      <c r="V977" t="str">
        <f t="shared" si="125"/>
        <v>Large</v>
      </c>
      <c r="W977" t="str">
        <f>IF(S977 &lt; VLOOKUP(E977, Locality_Tier_Benchmarks!A:B, 2, FALSE) * 0.7, "Below Tier Range", "Normal")</f>
        <v>Normal</v>
      </c>
      <c r="X977" t="str">
        <f t="shared" si="126"/>
        <v>Normal</v>
      </c>
      <c r="Y977" t="str">
        <f t="shared" si="127"/>
        <v>Normal</v>
      </c>
      <c r="Z977" t="str">
        <f t="shared" si="120"/>
        <v>Pass</v>
      </c>
    </row>
    <row r="978" spans="1:26" x14ac:dyDescent="0.25">
      <c r="A978" s="2" t="s">
        <v>1874</v>
      </c>
      <c r="B978" t="s">
        <v>17</v>
      </c>
      <c r="C978" t="s">
        <v>1999</v>
      </c>
      <c r="D978" s="2" t="str">
        <f>VLOOKUP(C978,Locality_Reference!A:C,2,)</f>
        <v>Central Line</v>
      </c>
      <c r="E978" s="2" t="str">
        <f>VLOOKUP(C978,Locality_Reference!A:C,3,)</f>
        <v>Outer Periphery</v>
      </c>
      <c r="F978" s="2" t="s">
        <v>2012</v>
      </c>
      <c r="G978" s="8">
        <v>32000</v>
      </c>
      <c r="H978">
        <v>3</v>
      </c>
      <c r="I978">
        <v>2</v>
      </c>
      <c r="J978">
        <v>18</v>
      </c>
      <c r="K978">
        <v>28</v>
      </c>
      <c r="L978">
        <v>1090</v>
      </c>
      <c r="M978" t="s">
        <v>36</v>
      </c>
      <c r="N978" t="s">
        <v>15</v>
      </c>
      <c r="O978" t="s">
        <v>16</v>
      </c>
      <c r="P978" t="s">
        <v>47</v>
      </c>
      <c r="Q978" t="str">
        <f t="shared" si="121"/>
        <v>1</v>
      </c>
      <c r="R978" s="5">
        <v>46178</v>
      </c>
      <c r="S978" s="8">
        <f t="shared" si="122"/>
        <v>29.357798165137616</v>
      </c>
      <c r="T978">
        <f t="shared" si="123"/>
        <v>384000</v>
      </c>
      <c r="U978" t="str">
        <f t="shared" si="124"/>
        <v>Mid</v>
      </c>
      <c r="V978" t="str">
        <f t="shared" si="125"/>
        <v>Large</v>
      </c>
      <c r="W978" t="str">
        <f>IF(S978 &lt; VLOOKUP(E978, Locality_Tier_Benchmarks!A:B, 2, FALSE) * 0.7, "Below Tier Range", "Normal")</f>
        <v>Normal</v>
      </c>
      <c r="X978" t="str">
        <f t="shared" si="126"/>
        <v>Normal</v>
      </c>
      <c r="Y978" t="str">
        <f t="shared" si="127"/>
        <v>Normal</v>
      </c>
      <c r="Z978" t="str">
        <f t="shared" si="120"/>
        <v>Pass</v>
      </c>
    </row>
    <row r="979" spans="1:26" x14ac:dyDescent="0.25">
      <c r="A979" s="2" t="s">
        <v>1875</v>
      </c>
      <c r="B979" t="s">
        <v>17</v>
      </c>
      <c r="C979" t="s">
        <v>1999</v>
      </c>
      <c r="D979" s="2" t="str">
        <f>VLOOKUP(C979,Locality_Reference!A:C,2,)</f>
        <v>Central Line</v>
      </c>
      <c r="E979" s="2" t="str">
        <f>VLOOKUP(C979,Locality_Reference!A:C,3,)</f>
        <v>Outer Periphery</v>
      </c>
      <c r="F979" s="2" t="s">
        <v>2013</v>
      </c>
      <c r="G979" s="8">
        <v>17000</v>
      </c>
      <c r="H979">
        <v>3</v>
      </c>
      <c r="I979">
        <v>2</v>
      </c>
      <c r="J979">
        <v>4</v>
      </c>
      <c r="K979">
        <v>7</v>
      </c>
      <c r="L979">
        <v>763</v>
      </c>
      <c r="M979" t="s">
        <v>36</v>
      </c>
      <c r="N979" t="s">
        <v>29</v>
      </c>
      <c r="O979" t="s">
        <v>16</v>
      </c>
      <c r="P979" t="s">
        <v>34</v>
      </c>
      <c r="Q979" t="str">
        <f t="shared" si="121"/>
        <v/>
      </c>
      <c r="R979" s="5">
        <v>46119</v>
      </c>
      <c r="S979" s="8">
        <f t="shared" si="122"/>
        <v>22.280471821756226</v>
      </c>
      <c r="T979">
        <f t="shared" si="123"/>
        <v>204000</v>
      </c>
      <c r="U979" t="str">
        <f t="shared" si="124"/>
        <v>Budget</v>
      </c>
      <c r="V979" t="str">
        <f t="shared" si="125"/>
        <v>Medium</v>
      </c>
      <c r="W979" t="str">
        <f>IF(S979 &lt; VLOOKUP(E979, Locality_Tier_Benchmarks!A:B, 2, FALSE) * 0.7, "Below Tier Range", "Normal")</f>
        <v>Normal</v>
      </c>
      <c r="X979" t="str">
        <f t="shared" si="126"/>
        <v>Normal</v>
      </c>
      <c r="Y979" t="str">
        <f t="shared" si="127"/>
        <v>Normal</v>
      </c>
      <c r="Z979" t="str">
        <f t="shared" si="120"/>
        <v>Pass</v>
      </c>
    </row>
    <row r="980" spans="1:26" x14ac:dyDescent="0.25">
      <c r="A980" s="2" t="s">
        <v>1876</v>
      </c>
      <c r="B980" t="s">
        <v>17</v>
      </c>
      <c r="C980" t="s">
        <v>2000</v>
      </c>
      <c r="D980" s="2" t="str">
        <f>VLOOKUP(C980,Locality_Reference!A:C,2,)</f>
        <v>Central Line</v>
      </c>
      <c r="E980" s="2" t="str">
        <f>VLOOKUP(C980,Locality_Reference!A:C,3,)</f>
        <v>Outer Periphery</v>
      </c>
      <c r="F980" s="2" t="s">
        <v>2014</v>
      </c>
      <c r="G980" s="8">
        <v>12101</v>
      </c>
      <c r="H980">
        <v>1</v>
      </c>
      <c r="I980">
        <v>2</v>
      </c>
      <c r="J980">
        <v>10</v>
      </c>
      <c r="K980">
        <v>15</v>
      </c>
      <c r="L980">
        <v>421</v>
      </c>
      <c r="M980" t="s">
        <v>33</v>
      </c>
      <c r="N980" t="s">
        <v>15</v>
      </c>
      <c r="O980" t="s">
        <v>16</v>
      </c>
      <c r="P980" t="s">
        <v>31</v>
      </c>
      <c r="Q980" t="str">
        <f t="shared" si="121"/>
        <v>3</v>
      </c>
      <c r="R980" s="5">
        <v>46182</v>
      </c>
      <c r="S980" s="8">
        <f t="shared" si="122"/>
        <v>28.743467933491686</v>
      </c>
      <c r="T980">
        <f t="shared" si="123"/>
        <v>145212</v>
      </c>
      <c r="U980" t="str">
        <f t="shared" si="124"/>
        <v>Budget</v>
      </c>
      <c r="V980" t="str">
        <f t="shared" si="125"/>
        <v>Compact</v>
      </c>
      <c r="W980" t="str">
        <f>IF(S980 &lt; VLOOKUP(E980, Locality_Tier_Benchmarks!A:B, 2, FALSE) * 0.7, "Below Tier Range", "Normal")</f>
        <v>Normal</v>
      </c>
      <c r="X980" t="str">
        <f t="shared" si="126"/>
        <v>Normal</v>
      </c>
      <c r="Y980" t="str">
        <f t="shared" si="127"/>
        <v>Normal</v>
      </c>
      <c r="Z980" t="str">
        <f t="shared" si="120"/>
        <v>Pass</v>
      </c>
    </row>
    <row r="981" spans="1:26" x14ac:dyDescent="0.25">
      <c r="A981" s="2" t="s">
        <v>1877</v>
      </c>
      <c r="B981" t="s">
        <v>17</v>
      </c>
      <c r="C981" t="s">
        <v>2000</v>
      </c>
      <c r="D981" s="2" t="str">
        <f>VLOOKUP(C981,Locality_Reference!A:C,2,)</f>
        <v>Central Line</v>
      </c>
      <c r="E981" s="2" t="str">
        <f>VLOOKUP(C981,Locality_Reference!A:C,3,)</f>
        <v>Outer Periphery</v>
      </c>
      <c r="F981" s="2" t="s">
        <v>2015</v>
      </c>
      <c r="G981" s="8">
        <v>26000</v>
      </c>
      <c r="H981">
        <v>1</v>
      </c>
      <c r="I981">
        <v>2</v>
      </c>
      <c r="J981">
        <v>25</v>
      </c>
      <c r="K981">
        <v>36</v>
      </c>
      <c r="L981">
        <v>475</v>
      </c>
      <c r="M981" t="s">
        <v>36</v>
      </c>
      <c r="N981" t="s">
        <v>29</v>
      </c>
      <c r="O981" t="s">
        <v>16</v>
      </c>
      <c r="P981" t="s">
        <v>34</v>
      </c>
      <c r="Q981" t="str">
        <f t="shared" si="121"/>
        <v/>
      </c>
      <c r="R981" s="5">
        <v>46184</v>
      </c>
      <c r="S981" s="8">
        <f t="shared" si="122"/>
        <v>54.736842105263158</v>
      </c>
      <c r="T981">
        <f t="shared" si="123"/>
        <v>312000</v>
      </c>
      <c r="U981" t="str">
        <f t="shared" si="124"/>
        <v>Budget</v>
      </c>
      <c r="V981" t="str">
        <f t="shared" si="125"/>
        <v>Compact</v>
      </c>
      <c r="W981" t="str">
        <f>IF(S981 &lt; VLOOKUP(E981, Locality_Tier_Benchmarks!A:B, 2, FALSE) * 0.7, "Below Tier Range", "Normal")</f>
        <v>Normal</v>
      </c>
      <c r="X981" t="str">
        <f t="shared" si="126"/>
        <v>Normal</v>
      </c>
      <c r="Y981" t="str">
        <f t="shared" si="127"/>
        <v>Normal</v>
      </c>
      <c r="Z981" t="str">
        <f t="shared" si="120"/>
        <v>Pass</v>
      </c>
    </row>
    <row r="982" spans="1:26" x14ac:dyDescent="0.25">
      <c r="A982" s="2" t="s">
        <v>1878</v>
      </c>
      <c r="B982" t="s">
        <v>17</v>
      </c>
      <c r="C982" t="s">
        <v>2000</v>
      </c>
      <c r="D982" s="2" t="str">
        <f>VLOOKUP(C982,Locality_Reference!A:C,2,)</f>
        <v>Central Line</v>
      </c>
      <c r="E982" s="2" t="str">
        <f>VLOOKUP(C982,Locality_Reference!A:C,3,)</f>
        <v>Outer Periphery</v>
      </c>
      <c r="F982" s="2" t="s">
        <v>2016</v>
      </c>
      <c r="G982" s="8">
        <v>18000</v>
      </c>
      <c r="H982">
        <v>1</v>
      </c>
      <c r="I982">
        <v>1</v>
      </c>
      <c r="J982">
        <v>3</v>
      </c>
      <c r="K982">
        <v>7</v>
      </c>
      <c r="L982">
        <v>450</v>
      </c>
      <c r="M982" t="s">
        <v>36</v>
      </c>
      <c r="N982" t="s">
        <v>15</v>
      </c>
      <c r="O982" t="s">
        <v>16</v>
      </c>
      <c r="P982" t="s">
        <v>34</v>
      </c>
      <c r="Q982" t="str">
        <f t="shared" si="121"/>
        <v/>
      </c>
      <c r="R982" s="5">
        <v>46198</v>
      </c>
      <c r="S982" s="8">
        <f t="shared" si="122"/>
        <v>40</v>
      </c>
      <c r="T982">
        <f t="shared" si="123"/>
        <v>216000</v>
      </c>
      <c r="U982" t="str">
        <f t="shared" si="124"/>
        <v>Budget</v>
      </c>
      <c r="V982" t="str">
        <f t="shared" si="125"/>
        <v>Compact</v>
      </c>
      <c r="W982" t="str">
        <f>IF(S982 &lt; VLOOKUP(E982, Locality_Tier_Benchmarks!A:B, 2, FALSE) * 0.7, "Below Tier Range", "Normal")</f>
        <v>Normal</v>
      </c>
      <c r="X982" t="str">
        <f t="shared" si="126"/>
        <v>Normal</v>
      </c>
      <c r="Y982" t="str">
        <f t="shared" si="127"/>
        <v>Normal</v>
      </c>
      <c r="Z982" t="str">
        <f t="shared" si="120"/>
        <v>Pass</v>
      </c>
    </row>
    <row r="983" spans="1:26" x14ac:dyDescent="0.25">
      <c r="A983" s="2" t="s">
        <v>1879</v>
      </c>
      <c r="B983" t="s">
        <v>17</v>
      </c>
      <c r="C983" t="s">
        <v>2000</v>
      </c>
      <c r="D983" s="2" t="str">
        <f>VLOOKUP(C983,Locality_Reference!A:C,2,)</f>
        <v>Central Line</v>
      </c>
      <c r="E983" s="2" t="str">
        <f>VLOOKUP(C983,Locality_Reference!A:C,3,)</f>
        <v>Outer Periphery</v>
      </c>
      <c r="F983" s="2" t="s">
        <v>2017</v>
      </c>
      <c r="G983" s="8">
        <v>14000</v>
      </c>
      <c r="H983">
        <v>1</v>
      </c>
      <c r="I983">
        <v>1</v>
      </c>
      <c r="J983">
        <v>6</v>
      </c>
      <c r="K983">
        <v>7</v>
      </c>
      <c r="L983">
        <v>500</v>
      </c>
      <c r="M983" t="s">
        <v>33</v>
      </c>
      <c r="N983" t="s">
        <v>29</v>
      </c>
      <c r="O983" t="s">
        <v>16</v>
      </c>
      <c r="P983" t="s">
        <v>34</v>
      </c>
      <c r="Q983" t="str">
        <f t="shared" si="121"/>
        <v/>
      </c>
      <c r="R983" s="5">
        <v>46192</v>
      </c>
      <c r="S983" s="8">
        <f t="shared" si="122"/>
        <v>28</v>
      </c>
      <c r="T983">
        <f t="shared" si="123"/>
        <v>168000</v>
      </c>
      <c r="U983" t="str">
        <f t="shared" si="124"/>
        <v>Budget</v>
      </c>
      <c r="V983" t="str">
        <f t="shared" si="125"/>
        <v>Compact</v>
      </c>
      <c r="W983" t="str">
        <f>IF(S983 &lt; VLOOKUP(E983, Locality_Tier_Benchmarks!A:B, 2, FALSE) * 0.7, "Below Tier Range", "Normal")</f>
        <v>Normal</v>
      </c>
      <c r="X983" t="str">
        <f t="shared" si="126"/>
        <v>Normal</v>
      </c>
      <c r="Y983" t="str">
        <f t="shared" si="127"/>
        <v>Normal</v>
      </c>
      <c r="Z983" t="str">
        <f t="shared" si="120"/>
        <v>Pass</v>
      </c>
    </row>
    <row r="984" spans="1:26" x14ac:dyDescent="0.25">
      <c r="A984" s="2" t="s">
        <v>1880</v>
      </c>
      <c r="B984" t="s">
        <v>17</v>
      </c>
      <c r="C984" t="s">
        <v>2000</v>
      </c>
      <c r="D984" s="2" t="str">
        <f>VLOOKUP(C984,Locality_Reference!A:C,2,)</f>
        <v>Central Line</v>
      </c>
      <c r="E984" s="2" t="str">
        <f>VLOOKUP(C984,Locality_Reference!A:C,3,)</f>
        <v>Outer Periphery</v>
      </c>
      <c r="F984" s="2" t="s">
        <v>2018</v>
      </c>
      <c r="G984" s="8">
        <v>9500</v>
      </c>
      <c r="H984">
        <v>1</v>
      </c>
      <c r="I984">
        <v>1</v>
      </c>
      <c r="J984">
        <v>1</v>
      </c>
      <c r="K984">
        <v>3</v>
      </c>
      <c r="L984">
        <v>350</v>
      </c>
      <c r="M984" t="s">
        <v>36</v>
      </c>
      <c r="N984" t="s">
        <v>29</v>
      </c>
      <c r="O984" t="s">
        <v>16</v>
      </c>
      <c r="P984" t="s">
        <v>23</v>
      </c>
      <c r="Q984" t="str">
        <f t="shared" si="121"/>
        <v>10</v>
      </c>
      <c r="R984" s="5">
        <v>46203</v>
      </c>
      <c r="S984" s="8">
        <f t="shared" si="122"/>
        <v>27.142857142857142</v>
      </c>
      <c r="T984">
        <f t="shared" si="123"/>
        <v>114000</v>
      </c>
      <c r="U984" t="str">
        <f t="shared" si="124"/>
        <v>Budget</v>
      </c>
      <c r="V984" t="str">
        <f t="shared" si="125"/>
        <v>Compact</v>
      </c>
      <c r="W984" t="str">
        <f>IF(S984 &lt; VLOOKUP(E984, Locality_Tier_Benchmarks!A:B, 2, FALSE) * 0.7, "Below Tier Range", "Normal")</f>
        <v>Normal</v>
      </c>
      <c r="X984" t="str">
        <f t="shared" si="126"/>
        <v>Normal</v>
      </c>
      <c r="Y984" t="str">
        <f t="shared" si="127"/>
        <v>Normal</v>
      </c>
      <c r="Z984" t="str">
        <f t="shared" si="120"/>
        <v>Pass</v>
      </c>
    </row>
    <row r="985" spans="1:26" x14ac:dyDescent="0.25">
      <c r="A985" s="2" t="s">
        <v>1881</v>
      </c>
      <c r="B985" t="s">
        <v>17</v>
      </c>
      <c r="C985" t="s">
        <v>2000</v>
      </c>
      <c r="D985" s="2" t="str">
        <f>VLOOKUP(C985,Locality_Reference!A:C,2,)</f>
        <v>Central Line</v>
      </c>
      <c r="E985" s="2" t="str">
        <f>VLOOKUP(C985,Locality_Reference!A:C,3,)</f>
        <v>Outer Periphery</v>
      </c>
      <c r="F985" s="2" t="s">
        <v>2019</v>
      </c>
      <c r="G985" s="8">
        <v>30000</v>
      </c>
      <c r="H985">
        <v>2</v>
      </c>
      <c r="I985">
        <v>2</v>
      </c>
      <c r="J985">
        <v>4</v>
      </c>
      <c r="K985">
        <v>7</v>
      </c>
      <c r="L985">
        <v>1100</v>
      </c>
      <c r="M985" t="s">
        <v>14</v>
      </c>
      <c r="N985" t="s">
        <v>15</v>
      </c>
      <c r="O985" t="s">
        <v>16</v>
      </c>
      <c r="P985" t="s">
        <v>34</v>
      </c>
      <c r="Q985" t="str">
        <f t="shared" si="121"/>
        <v/>
      </c>
      <c r="R985" s="5">
        <v>46194</v>
      </c>
      <c r="S985" s="8">
        <f t="shared" si="122"/>
        <v>27.272727272727273</v>
      </c>
      <c r="T985">
        <f t="shared" si="123"/>
        <v>360000</v>
      </c>
      <c r="U985" t="str">
        <f t="shared" si="124"/>
        <v>Budget</v>
      </c>
      <c r="V985" t="str">
        <f t="shared" si="125"/>
        <v>Large</v>
      </c>
      <c r="W985" t="str">
        <f>IF(S985 &lt; VLOOKUP(E985, Locality_Tier_Benchmarks!A:B, 2, FALSE) * 0.7, "Below Tier Range", "Normal")</f>
        <v>Normal</v>
      </c>
      <c r="X985" t="str">
        <f t="shared" si="126"/>
        <v>Normal</v>
      </c>
      <c r="Y985" t="str">
        <f t="shared" si="127"/>
        <v>Normal</v>
      </c>
      <c r="Z985" t="str">
        <f t="shared" si="120"/>
        <v>Pass</v>
      </c>
    </row>
    <row r="986" spans="1:26" x14ac:dyDescent="0.25">
      <c r="A986" s="2" t="s">
        <v>1882</v>
      </c>
      <c r="B986" t="s">
        <v>17</v>
      </c>
      <c r="C986" t="s">
        <v>2000</v>
      </c>
      <c r="D986" s="2" t="str">
        <f>VLOOKUP(C986,Locality_Reference!A:C,2,)</f>
        <v>Central Line</v>
      </c>
      <c r="E986" s="2" t="str">
        <f>VLOOKUP(C986,Locality_Reference!A:C,3,)</f>
        <v>Outer Periphery</v>
      </c>
      <c r="F986" s="2" t="s">
        <v>2020</v>
      </c>
      <c r="G986" s="8">
        <v>35000</v>
      </c>
      <c r="H986">
        <v>2</v>
      </c>
      <c r="I986">
        <v>2</v>
      </c>
      <c r="J986">
        <v>11</v>
      </c>
      <c r="K986">
        <v>13</v>
      </c>
      <c r="L986">
        <v>800</v>
      </c>
      <c r="M986" t="s">
        <v>14</v>
      </c>
      <c r="N986" t="s">
        <v>15</v>
      </c>
      <c r="O986" t="s">
        <v>16</v>
      </c>
      <c r="P986" t="s">
        <v>34</v>
      </c>
      <c r="Q986" t="str">
        <f t="shared" si="121"/>
        <v/>
      </c>
      <c r="R986" s="5">
        <v>46204</v>
      </c>
      <c r="S986" s="8">
        <f t="shared" si="122"/>
        <v>43.75</v>
      </c>
      <c r="T986">
        <f t="shared" si="123"/>
        <v>420000</v>
      </c>
      <c r="U986" t="str">
        <f t="shared" si="124"/>
        <v>Mid</v>
      </c>
      <c r="V986" t="str">
        <f t="shared" si="125"/>
        <v>Medium</v>
      </c>
      <c r="W986" t="str">
        <f>IF(S986 &lt; VLOOKUP(E986, Locality_Tier_Benchmarks!A:B, 2, FALSE) * 0.7, "Below Tier Range", "Normal")</f>
        <v>Normal</v>
      </c>
      <c r="X986" t="str">
        <f t="shared" si="126"/>
        <v>Normal</v>
      </c>
      <c r="Y986" t="str">
        <f t="shared" si="127"/>
        <v>Normal</v>
      </c>
      <c r="Z986" t="str">
        <f t="shared" si="120"/>
        <v>Pass</v>
      </c>
    </row>
    <row r="987" spans="1:26" x14ac:dyDescent="0.25">
      <c r="A987" s="2" t="s">
        <v>1883</v>
      </c>
      <c r="B987" t="s">
        <v>17</v>
      </c>
      <c r="C987" t="s">
        <v>2000</v>
      </c>
      <c r="D987" s="2" t="str">
        <f>VLOOKUP(C987,Locality_Reference!A:C,2,)</f>
        <v>Central Line</v>
      </c>
      <c r="E987" s="2" t="str">
        <f>VLOOKUP(C987,Locality_Reference!A:C,3,)</f>
        <v>Outer Periphery</v>
      </c>
      <c r="F987" s="2" t="s">
        <v>2021</v>
      </c>
      <c r="G987" s="8">
        <v>32000</v>
      </c>
      <c r="H987">
        <v>2</v>
      </c>
      <c r="I987">
        <v>2</v>
      </c>
      <c r="J987">
        <v>15</v>
      </c>
      <c r="K987">
        <v>45</v>
      </c>
      <c r="L987">
        <v>728</v>
      </c>
      <c r="M987" t="s">
        <v>36</v>
      </c>
      <c r="N987" t="s">
        <v>15</v>
      </c>
      <c r="O987" t="s">
        <v>16</v>
      </c>
      <c r="P987" t="s">
        <v>34</v>
      </c>
      <c r="Q987" t="str">
        <f t="shared" si="121"/>
        <v/>
      </c>
      <c r="R987" s="5">
        <v>46196</v>
      </c>
      <c r="S987" s="8">
        <f t="shared" si="122"/>
        <v>43.956043956043956</v>
      </c>
      <c r="T987">
        <f t="shared" si="123"/>
        <v>384000</v>
      </c>
      <c r="U987" t="str">
        <f t="shared" si="124"/>
        <v>Mid</v>
      </c>
      <c r="V987" t="str">
        <f t="shared" si="125"/>
        <v>Medium</v>
      </c>
      <c r="W987" t="str">
        <f>IF(S987 &lt; VLOOKUP(E987, Locality_Tier_Benchmarks!A:B, 2, FALSE) * 0.7, "Below Tier Range", "Normal")</f>
        <v>Normal</v>
      </c>
      <c r="X987" t="str">
        <f t="shared" si="126"/>
        <v>Normal</v>
      </c>
      <c r="Y987" t="str">
        <f t="shared" si="127"/>
        <v>Normal</v>
      </c>
      <c r="Z987" t="str">
        <f t="shared" si="120"/>
        <v>Pass</v>
      </c>
    </row>
    <row r="988" spans="1:26" x14ac:dyDescent="0.25">
      <c r="A988" s="2" t="s">
        <v>1884</v>
      </c>
      <c r="B988" t="s">
        <v>17</v>
      </c>
      <c r="C988" t="s">
        <v>2000</v>
      </c>
      <c r="D988" s="2" t="str">
        <f>VLOOKUP(C988,Locality_Reference!A:C,2,)</f>
        <v>Central Line</v>
      </c>
      <c r="E988" s="2" t="str">
        <f>VLOOKUP(C988,Locality_Reference!A:C,3,)</f>
        <v>Outer Periphery</v>
      </c>
      <c r="F988" s="2" t="s">
        <v>2022</v>
      </c>
      <c r="G988" s="8">
        <v>23000</v>
      </c>
      <c r="H988">
        <v>2</v>
      </c>
      <c r="I988">
        <v>2</v>
      </c>
      <c r="J988">
        <v>7</v>
      </c>
      <c r="K988">
        <v>7</v>
      </c>
      <c r="L988">
        <v>700</v>
      </c>
      <c r="M988" t="s">
        <v>36</v>
      </c>
      <c r="N988" t="s">
        <v>15</v>
      </c>
      <c r="O988" t="s">
        <v>16</v>
      </c>
      <c r="P988" t="s">
        <v>52</v>
      </c>
      <c r="Q988" t="str">
        <f t="shared" si="121"/>
        <v>7.5</v>
      </c>
      <c r="R988" s="5">
        <v>46203</v>
      </c>
      <c r="S988" s="8">
        <f t="shared" si="122"/>
        <v>32.857142857142854</v>
      </c>
      <c r="T988">
        <f t="shared" si="123"/>
        <v>276000</v>
      </c>
      <c r="U988" t="str">
        <f t="shared" si="124"/>
        <v>Budget</v>
      </c>
      <c r="V988" t="str">
        <f t="shared" si="125"/>
        <v>Medium</v>
      </c>
      <c r="W988" t="str">
        <f>IF(S988 &lt; VLOOKUP(E988, Locality_Tier_Benchmarks!A:B, 2, FALSE) * 0.7, "Below Tier Range", "Normal")</f>
        <v>Normal</v>
      </c>
      <c r="X988" t="str">
        <f t="shared" si="126"/>
        <v>Normal</v>
      </c>
      <c r="Y988" t="str">
        <f t="shared" si="127"/>
        <v>Normal</v>
      </c>
      <c r="Z988" t="str">
        <f t="shared" si="120"/>
        <v>Pass</v>
      </c>
    </row>
    <row r="989" spans="1:26" x14ac:dyDescent="0.25">
      <c r="A989" s="2" t="s">
        <v>1885</v>
      </c>
      <c r="B989" t="s">
        <v>17</v>
      </c>
      <c r="C989" t="s">
        <v>2000</v>
      </c>
      <c r="D989" s="2" t="str">
        <f>VLOOKUP(C989,Locality_Reference!A:C,2,)</f>
        <v>Central Line</v>
      </c>
      <c r="E989" s="2" t="str">
        <f>VLOOKUP(C989,Locality_Reference!A:C,3,)</f>
        <v>Outer Periphery</v>
      </c>
      <c r="F989" s="2" t="s">
        <v>2023</v>
      </c>
      <c r="G989" s="8">
        <v>22000</v>
      </c>
      <c r="H989">
        <v>2</v>
      </c>
      <c r="I989">
        <v>2</v>
      </c>
      <c r="J989">
        <v>4</v>
      </c>
      <c r="K989">
        <v>7</v>
      </c>
      <c r="L989">
        <v>850</v>
      </c>
      <c r="M989" t="s">
        <v>14</v>
      </c>
      <c r="N989" t="s">
        <v>15</v>
      </c>
      <c r="O989" t="s">
        <v>16</v>
      </c>
      <c r="P989" t="s">
        <v>34</v>
      </c>
      <c r="Q989" t="str">
        <f t="shared" si="121"/>
        <v/>
      </c>
      <c r="R989" s="5">
        <v>46193</v>
      </c>
      <c r="S989" s="8">
        <f t="shared" si="122"/>
        <v>25.882352941176471</v>
      </c>
      <c r="T989">
        <f t="shared" si="123"/>
        <v>264000</v>
      </c>
      <c r="U989" t="str">
        <f t="shared" si="124"/>
        <v>Budget</v>
      </c>
      <c r="V989" t="str">
        <f t="shared" si="125"/>
        <v>Large</v>
      </c>
      <c r="W989" t="str">
        <f>IF(S989 &lt; VLOOKUP(E989, Locality_Tier_Benchmarks!A:B, 2, FALSE) * 0.7, "Below Tier Range", "Normal")</f>
        <v>Normal</v>
      </c>
      <c r="X989" t="str">
        <f t="shared" si="126"/>
        <v>Normal</v>
      </c>
      <c r="Y989" t="str">
        <f t="shared" si="127"/>
        <v>Normal</v>
      </c>
      <c r="Z989" t="str">
        <f t="shared" si="120"/>
        <v>Pass</v>
      </c>
    </row>
    <row r="990" spans="1:26" x14ac:dyDescent="0.25">
      <c r="A990" s="2" t="s">
        <v>1886</v>
      </c>
      <c r="B990" t="s">
        <v>17</v>
      </c>
      <c r="C990" t="s">
        <v>2000</v>
      </c>
      <c r="D990" s="2" t="str">
        <f>VLOOKUP(C990,Locality_Reference!A:C,2,)</f>
        <v>Central Line</v>
      </c>
      <c r="E990" s="2" t="str">
        <f>VLOOKUP(C990,Locality_Reference!A:C,3,)</f>
        <v>Outer Periphery</v>
      </c>
      <c r="F990" s="2" t="s">
        <v>2024</v>
      </c>
      <c r="G990" s="8">
        <v>29000</v>
      </c>
      <c r="H990">
        <v>3</v>
      </c>
      <c r="I990">
        <v>3</v>
      </c>
      <c r="J990">
        <v>3</v>
      </c>
      <c r="K990">
        <v>7</v>
      </c>
      <c r="L990">
        <v>900</v>
      </c>
      <c r="M990" t="s">
        <v>14</v>
      </c>
      <c r="N990" t="s">
        <v>15</v>
      </c>
      <c r="O990" t="s">
        <v>16</v>
      </c>
      <c r="P990" t="s">
        <v>52</v>
      </c>
      <c r="Q990" t="str">
        <f t="shared" si="121"/>
        <v>7.5</v>
      </c>
      <c r="R990" s="5">
        <v>46203</v>
      </c>
      <c r="S990" s="8">
        <f t="shared" si="122"/>
        <v>32.222222222222221</v>
      </c>
      <c r="T990">
        <f t="shared" si="123"/>
        <v>348000</v>
      </c>
      <c r="U990" t="str">
        <f t="shared" si="124"/>
        <v>Budget</v>
      </c>
      <c r="V990" t="str">
        <f t="shared" si="125"/>
        <v>Large</v>
      </c>
      <c r="W990" t="str">
        <f>IF(S990 &lt; VLOOKUP(E990, Locality_Tier_Benchmarks!A:B, 2, FALSE) * 0.7, "Below Tier Range", "Normal")</f>
        <v>Normal</v>
      </c>
      <c r="X990" t="str">
        <f t="shared" si="126"/>
        <v>Normal</v>
      </c>
      <c r="Y990" t="str">
        <f t="shared" si="127"/>
        <v>Normal</v>
      </c>
      <c r="Z990" t="str">
        <f t="shared" si="120"/>
        <v>Pass</v>
      </c>
    </row>
    <row r="991" spans="1:26" x14ac:dyDescent="0.25">
      <c r="A991" s="2" t="s">
        <v>1887</v>
      </c>
      <c r="B991" t="s">
        <v>17</v>
      </c>
      <c r="C991" t="s">
        <v>2000</v>
      </c>
      <c r="D991" s="2" t="str">
        <f>VLOOKUP(C991,Locality_Reference!A:C,2,)</f>
        <v>Central Line</v>
      </c>
      <c r="E991" s="2" t="str">
        <f>VLOOKUP(C991,Locality_Reference!A:C,3,)</f>
        <v>Outer Periphery</v>
      </c>
      <c r="F991" s="2" t="s">
        <v>2025</v>
      </c>
      <c r="G991" s="8">
        <v>35000</v>
      </c>
      <c r="H991">
        <v>3</v>
      </c>
      <c r="I991">
        <v>3</v>
      </c>
      <c r="J991">
        <v>28</v>
      </c>
      <c r="K991">
        <v>35</v>
      </c>
      <c r="L991">
        <v>944</v>
      </c>
      <c r="M991" t="s">
        <v>14</v>
      </c>
      <c r="N991" t="s">
        <v>29</v>
      </c>
      <c r="O991" t="s">
        <v>16</v>
      </c>
      <c r="P991" t="s">
        <v>31</v>
      </c>
      <c r="Q991" t="str">
        <f t="shared" si="121"/>
        <v>3</v>
      </c>
      <c r="R991" s="5">
        <v>46199</v>
      </c>
      <c r="S991" s="8">
        <f t="shared" si="122"/>
        <v>37.076271186440678</v>
      </c>
      <c r="T991">
        <f t="shared" si="123"/>
        <v>420000</v>
      </c>
      <c r="U991" t="str">
        <f t="shared" si="124"/>
        <v>Mid</v>
      </c>
      <c r="V991" t="str">
        <f t="shared" si="125"/>
        <v>Large</v>
      </c>
      <c r="W991" t="str">
        <f>IF(S991 &lt; VLOOKUP(E991, Locality_Tier_Benchmarks!A:B, 2, FALSE) * 0.7, "Below Tier Range", "Normal")</f>
        <v>Normal</v>
      </c>
      <c r="X991" t="str">
        <f t="shared" si="126"/>
        <v>Normal</v>
      </c>
      <c r="Y991" t="str">
        <f t="shared" si="127"/>
        <v>Normal</v>
      </c>
      <c r="Z991" t="str">
        <f t="shared" si="120"/>
        <v>Pass</v>
      </c>
    </row>
    <row r="992" spans="1:26" x14ac:dyDescent="0.25">
      <c r="A992" s="2" t="s">
        <v>1888</v>
      </c>
      <c r="B992" t="s">
        <v>17</v>
      </c>
      <c r="C992" t="s">
        <v>2000</v>
      </c>
      <c r="D992" s="2" t="str">
        <f>VLOOKUP(C992,Locality_Reference!A:C,2,)</f>
        <v>Central Line</v>
      </c>
      <c r="E992" s="2" t="str">
        <f>VLOOKUP(C992,Locality_Reference!A:C,3,)</f>
        <v>Outer Periphery</v>
      </c>
      <c r="F992" s="2" t="s">
        <v>2026</v>
      </c>
      <c r="G992" s="8">
        <v>55000</v>
      </c>
      <c r="H992">
        <v>3</v>
      </c>
      <c r="I992">
        <v>3</v>
      </c>
      <c r="J992">
        <v>1</v>
      </c>
      <c r="K992">
        <v>3</v>
      </c>
      <c r="L992">
        <v>2000</v>
      </c>
      <c r="M992" t="s">
        <v>36</v>
      </c>
      <c r="N992" t="s">
        <v>29</v>
      </c>
      <c r="O992" t="s">
        <v>16</v>
      </c>
      <c r="P992" t="s">
        <v>23</v>
      </c>
      <c r="Q992" t="str">
        <f t="shared" si="121"/>
        <v>10</v>
      </c>
      <c r="R992" s="5">
        <v>46199</v>
      </c>
      <c r="S992" s="8">
        <f t="shared" si="122"/>
        <v>27.5</v>
      </c>
      <c r="T992">
        <f t="shared" si="123"/>
        <v>660000</v>
      </c>
      <c r="U992" t="str">
        <f t="shared" si="124"/>
        <v>Mid</v>
      </c>
      <c r="V992" t="str">
        <f t="shared" si="125"/>
        <v>Spacious</v>
      </c>
      <c r="W992" t="str">
        <f>IF(S992 &lt; VLOOKUP(E992, Locality_Tier_Benchmarks!A:B, 2, FALSE) * 0.7, "Below Tier Range", "Normal")</f>
        <v>Normal</v>
      </c>
      <c r="X992" t="str">
        <f t="shared" si="126"/>
        <v>Normal</v>
      </c>
      <c r="Y992" t="str">
        <f t="shared" si="127"/>
        <v>Normal</v>
      </c>
      <c r="Z992" t="str">
        <f t="shared" si="120"/>
        <v>Pass</v>
      </c>
    </row>
    <row r="993" spans="1:26" x14ac:dyDescent="0.25">
      <c r="A993" s="2" t="s">
        <v>1889</v>
      </c>
      <c r="B993" t="s">
        <v>17</v>
      </c>
      <c r="C993" t="s">
        <v>2000</v>
      </c>
      <c r="D993" s="2" t="str">
        <f>VLOOKUP(C993,Locality_Reference!A:C,2,)</f>
        <v>Central Line</v>
      </c>
      <c r="E993" s="2" t="str">
        <f>VLOOKUP(C993,Locality_Reference!A:C,3,)</f>
        <v>Outer Periphery</v>
      </c>
      <c r="F993" s="2" t="s">
        <v>2027</v>
      </c>
      <c r="G993" s="8">
        <v>42000</v>
      </c>
      <c r="H993">
        <v>3</v>
      </c>
      <c r="I993">
        <v>3</v>
      </c>
      <c r="J993">
        <v>6</v>
      </c>
      <c r="K993">
        <v>11</v>
      </c>
      <c r="L993">
        <v>1050</v>
      </c>
      <c r="M993" t="s">
        <v>14</v>
      </c>
      <c r="N993" t="s">
        <v>15</v>
      </c>
      <c r="O993" t="s">
        <v>16</v>
      </c>
      <c r="P993" t="s">
        <v>23</v>
      </c>
      <c r="Q993" t="str">
        <f t="shared" si="121"/>
        <v>10</v>
      </c>
      <c r="R993" s="5">
        <v>46195</v>
      </c>
      <c r="S993" s="8">
        <f t="shared" si="122"/>
        <v>40</v>
      </c>
      <c r="T993">
        <f t="shared" si="123"/>
        <v>504000</v>
      </c>
      <c r="U993" t="str">
        <f t="shared" si="124"/>
        <v>Mid</v>
      </c>
      <c r="V993" t="str">
        <f t="shared" si="125"/>
        <v>Large</v>
      </c>
      <c r="W993" t="str">
        <f>IF(S993 &lt; VLOOKUP(E993, Locality_Tier_Benchmarks!A:B, 2, FALSE) * 0.7, "Below Tier Range", "Normal")</f>
        <v>Normal</v>
      </c>
      <c r="X993" t="str">
        <f t="shared" si="126"/>
        <v>Normal</v>
      </c>
      <c r="Y993" t="str">
        <f t="shared" si="127"/>
        <v>Normal</v>
      </c>
      <c r="Z993" t="str">
        <f t="shared" si="120"/>
        <v>Pass</v>
      </c>
    </row>
    <row r="994" spans="1:26" x14ac:dyDescent="0.25">
      <c r="A994" s="2" t="s">
        <v>1890</v>
      </c>
      <c r="B994" t="s">
        <v>17</v>
      </c>
      <c r="C994" t="s">
        <v>2000</v>
      </c>
      <c r="D994" s="2" t="str">
        <f>VLOOKUP(C994,Locality_Reference!A:C,2,)</f>
        <v>Central Line</v>
      </c>
      <c r="E994" s="2" t="str">
        <f>VLOOKUP(C994,Locality_Reference!A:C,3,)</f>
        <v>Outer Periphery</v>
      </c>
      <c r="F994" s="2" t="s">
        <v>2028</v>
      </c>
      <c r="G994" s="8">
        <v>32000</v>
      </c>
      <c r="H994">
        <v>3</v>
      </c>
      <c r="I994">
        <v>3</v>
      </c>
      <c r="J994">
        <v>20</v>
      </c>
      <c r="K994">
        <v>22</v>
      </c>
      <c r="L994">
        <v>878</v>
      </c>
      <c r="M994" t="s">
        <v>33</v>
      </c>
      <c r="N994" t="s">
        <v>15</v>
      </c>
      <c r="O994" t="s">
        <v>16</v>
      </c>
      <c r="P994" t="s">
        <v>34</v>
      </c>
      <c r="Q994" t="str">
        <f t="shared" si="121"/>
        <v/>
      </c>
      <c r="R994" s="5">
        <v>46195</v>
      </c>
      <c r="S994" s="8">
        <f t="shared" si="122"/>
        <v>36.446469248291571</v>
      </c>
      <c r="T994">
        <f t="shared" si="123"/>
        <v>384000</v>
      </c>
      <c r="U994" t="str">
        <f t="shared" si="124"/>
        <v>Mid</v>
      </c>
      <c r="V994" t="str">
        <f t="shared" si="125"/>
        <v>Large</v>
      </c>
      <c r="W994" t="str">
        <f>IF(S994 &lt; VLOOKUP(E994, Locality_Tier_Benchmarks!A:B, 2, FALSE) * 0.7, "Below Tier Range", "Normal")</f>
        <v>Normal</v>
      </c>
      <c r="X994" t="str">
        <f t="shared" si="126"/>
        <v>Normal</v>
      </c>
      <c r="Y994" t="str">
        <f t="shared" si="127"/>
        <v>Normal</v>
      </c>
      <c r="Z994" t="str">
        <f t="shared" si="120"/>
        <v>Pass</v>
      </c>
    </row>
    <row r="995" spans="1:26" x14ac:dyDescent="0.25">
      <c r="A995" s="2" t="s">
        <v>1891</v>
      </c>
      <c r="B995" t="s">
        <v>17</v>
      </c>
      <c r="C995" t="s">
        <v>496</v>
      </c>
      <c r="D995" s="2" t="str">
        <f>VLOOKUP(C995,Locality_Reference!A:C,2,)</f>
        <v>Central Line</v>
      </c>
      <c r="E995" s="2" t="str">
        <f>VLOOKUP(C995,Locality_Reference!A:C,3,)</f>
        <v>Outer Periphery</v>
      </c>
      <c r="F995" s="2" t="s">
        <v>2052</v>
      </c>
      <c r="G995" s="8">
        <v>8000</v>
      </c>
      <c r="H995">
        <v>1</v>
      </c>
      <c r="I995">
        <v>1</v>
      </c>
      <c r="J995">
        <v>3</v>
      </c>
      <c r="K995">
        <v>3</v>
      </c>
      <c r="L995">
        <v>410</v>
      </c>
      <c r="M995" t="s">
        <v>33</v>
      </c>
      <c r="N995" t="s">
        <v>15</v>
      </c>
      <c r="O995" t="s">
        <v>16</v>
      </c>
      <c r="P995" t="s">
        <v>23</v>
      </c>
      <c r="Q995" t="str">
        <f t="shared" si="121"/>
        <v>10</v>
      </c>
      <c r="R995" s="5">
        <v>46203</v>
      </c>
      <c r="S995" s="8">
        <f t="shared" si="122"/>
        <v>19.512195121951219</v>
      </c>
      <c r="T995">
        <f t="shared" si="123"/>
        <v>96000</v>
      </c>
      <c r="U995" t="str">
        <f t="shared" si="124"/>
        <v>Budget</v>
      </c>
      <c r="V995" t="str">
        <f t="shared" si="125"/>
        <v>Compact</v>
      </c>
      <c r="W995" t="str">
        <f>IF(S995 &lt; VLOOKUP(E995, Locality_Tier_Benchmarks!A:B, 2, FALSE) * 0.7, "Below Tier Range", "Normal")</f>
        <v>Normal</v>
      </c>
      <c r="X995" t="str">
        <f t="shared" si="126"/>
        <v>Normal</v>
      </c>
      <c r="Y995" t="str">
        <f t="shared" si="127"/>
        <v>Normal</v>
      </c>
      <c r="Z995" t="str">
        <f t="shared" si="120"/>
        <v>Pass</v>
      </c>
    </row>
    <row r="996" spans="1:26" x14ac:dyDescent="0.25">
      <c r="A996" s="2" t="s">
        <v>1892</v>
      </c>
      <c r="B996" t="s">
        <v>17</v>
      </c>
      <c r="C996" t="s">
        <v>496</v>
      </c>
      <c r="D996" s="2" t="str">
        <f>VLOOKUP(C996,Locality_Reference!A:C,2,)</f>
        <v>Central Line</v>
      </c>
      <c r="E996" s="2" t="str">
        <f>VLOOKUP(C996,Locality_Reference!A:C,3,)</f>
        <v>Outer Periphery</v>
      </c>
      <c r="F996" s="2" t="s">
        <v>2053</v>
      </c>
      <c r="G996" s="8">
        <v>10000</v>
      </c>
      <c r="H996">
        <v>1</v>
      </c>
      <c r="I996">
        <v>1</v>
      </c>
      <c r="J996">
        <v>2</v>
      </c>
      <c r="K996">
        <v>5</v>
      </c>
      <c r="L996">
        <v>500</v>
      </c>
      <c r="M996" t="s">
        <v>14</v>
      </c>
      <c r="N996" t="s">
        <v>15</v>
      </c>
      <c r="O996" t="s">
        <v>16</v>
      </c>
      <c r="P996" t="s">
        <v>34</v>
      </c>
      <c r="Q996" t="str">
        <f t="shared" si="121"/>
        <v/>
      </c>
      <c r="R996" s="5">
        <v>46203</v>
      </c>
      <c r="S996" s="8">
        <f t="shared" si="122"/>
        <v>20</v>
      </c>
      <c r="T996">
        <f t="shared" si="123"/>
        <v>120000</v>
      </c>
      <c r="U996" t="str">
        <f t="shared" si="124"/>
        <v>Budget</v>
      </c>
      <c r="V996" t="str">
        <f t="shared" si="125"/>
        <v>Compact</v>
      </c>
      <c r="W996" t="str">
        <f>IF(S996 &lt; VLOOKUP(E996, Locality_Tier_Benchmarks!A:B, 2, FALSE) * 0.7, "Below Tier Range", "Normal")</f>
        <v>Normal</v>
      </c>
      <c r="X996" t="str">
        <f t="shared" si="126"/>
        <v>Normal</v>
      </c>
      <c r="Y996" t="str">
        <f t="shared" si="127"/>
        <v>Normal</v>
      </c>
      <c r="Z996" t="str">
        <f t="shared" si="120"/>
        <v>Pass</v>
      </c>
    </row>
    <row r="997" spans="1:26" x14ac:dyDescent="0.25">
      <c r="A997" s="2" t="s">
        <v>1893</v>
      </c>
      <c r="B997" t="s">
        <v>17</v>
      </c>
      <c r="C997" t="s">
        <v>496</v>
      </c>
      <c r="D997" s="2" t="str">
        <f>VLOOKUP(C997,Locality_Reference!A:C,2,)</f>
        <v>Central Line</v>
      </c>
      <c r="E997" s="2" t="str">
        <f>VLOOKUP(C997,Locality_Reference!A:C,3,)</f>
        <v>Outer Periphery</v>
      </c>
      <c r="F997" s="2" t="s">
        <v>2054</v>
      </c>
      <c r="G997" s="8">
        <v>9000</v>
      </c>
      <c r="H997">
        <v>1</v>
      </c>
      <c r="I997">
        <v>2</v>
      </c>
      <c r="J997">
        <v>5</v>
      </c>
      <c r="K997">
        <v>7</v>
      </c>
      <c r="L997">
        <v>400</v>
      </c>
      <c r="M997" t="s">
        <v>36</v>
      </c>
      <c r="N997" t="s">
        <v>15</v>
      </c>
      <c r="O997" t="s">
        <v>16</v>
      </c>
      <c r="P997" t="s">
        <v>52</v>
      </c>
      <c r="Q997" t="str">
        <f t="shared" si="121"/>
        <v>7.5</v>
      </c>
      <c r="R997" s="5">
        <v>46203</v>
      </c>
      <c r="S997" s="8">
        <f t="shared" si="122"/>
        <v>22.5</v>
      </c>
      <c r="T997">
        <f t="shared" si="123"/>
        <v>108000</v>
      </c>
      <c r="U997" t="str">
        <f t="shared" si="124"/>
        <v>Budget</v>
      </c>
      <c r="V997" t="str">
        <f t="shared" si="125"/>
        <v>Compact</v>
      </c>
      <c r="W997" t="str">
        <f>IF(S997 &lt; VLOOKUP(E997, Locality_Tier_Benchmarks!A:B, 2, FALSE) * 0.7, "Below Tier Range", "Normal")</f>
        <v>Normal</v>
      </c>
      <c r="X997" t="str">
        <f t="shared" si="126"/>
        <v>Normal</v>
      </c>
      <c r="Y997" t="str">
        <f t="shared" si="127"/>
        <v>Normal</v>
      </c>
      <c r="Z997" t="str">
        <f t="shared" si="120"/>
        <v>Pass</v>
      </c>
    </row>
    <row r="998" spans="1:26" x14ac:dyDescent="0.25">
      <c r="A998" s="2" t="s">
        <v>1894</v>
      </c>
      <c r="B998" t="s">
        <v>17</v>
      </c>
      <c r="C998" t="s">
        <v>496</v>
      </c>
      <c r="D998" s="2" t="str">
        <f>VLOOKUP(C998,Locality_Reference!A:C,2,)</f>
        <v>Central Line</v>
      </c>
      <c r="E998" s="2" t="str">
        <f>VLOOKUP(C998,Locality_Reference!A:C,3,)</f>
        <v>Outer Periphery</v>
      </c>
      <c r="F998" s="2" t="s">
        <v>2055</v>
      </c>
      <c r="G998" s="8">
        <v>10000</v>
      </c>
      <c r="H998">
        <v>1</v>
      </c>
      <c r="I998">
        <v>1</v>
      </c>
      <c r="J998">
        <v>2</v>
      </c>
      <c r="K998">
        <v>4</v>
      </c>
      <c r="L998">
        <v>364</v>
      </c>
      <c r="M998" t="s">
        <v>33</v>
      </c>
      <c r="N998" t="s">
        <v>15</v>
      </c>
      <c r="O998" t="s">
        <v>16</v>
      </c>
      <c r="P998" t="s">
        <v>52</v>
      </c>
      <c r="Q998" t="str">
        <f t="shared" si="121"/>
        <v>7.5</v>
      </c>
      <c r="R998" s="5">
        <v>46198</v>
      </c>
      <c r="S998" s="8">
        <f t="shared" si="122"/>
        <v>27.472527472527471</v>
      </c>
      <c r="T998">
        <f t="shared" si="123"/>
        <v>120000</v>
      </c>
      <c r="U998" t="str">
        <f t="shared" si="124"/>
        <v>Budget</v>
      </c>
      <c r="V998" t="str">
        <f t="shared" si="125"/>
        <v>Compact</v>
      </c>
      <c r="W998" t="str">
        <f>IF(S998 &lt; VLOOKUP(E998, Locality_Tier_Benchmarks!A:B, 2, FALSE) * 0.7, "Below Tier Range", "Normal")</f>
        <v>Normal</v>
      </c>
      <c r="X998" t="str">
        <f t="shared" si="126"/>
        <v>Normal</v>
      </c>
      <c r="Y998" t="str">
        <f t="shared" si="127"/>
        <v>Normal</v>
      </c>
      <c r="Z998" t="str">
        <f t="shared" si="120"/>
        <v>Pass</v>
      </c>
    </row>
    <row r="999" spans="1:26" x14ac:dyDescent="0.25">
      <c r="A999" s="2" t="s">
        <v>1895</v>
      </c>
      <c r="B999" t="s">
        <v>17</v>
      </c>
      <c r="C999" t="s">
        <v>496</v>
      </c>
      <c r="D999" s="2" t="str">
        <f>VLOOKUP(C999,Locality_Reference!A:C,2,)</f>
        <v>Central Line</v>
      </c>
      <c r="E999" s="2" t="str">
        <f>VLOOKUP(C999,Locality_Reference!A:C,3,)</f>
        <v>Outer Periphery</v>
      </c>
      <c r="F999" s="2" t="s">
        <v>2056</v>
      </c>
      <c r="G999" s="8">
        <v>7000</v>
      </c>
      <c r="H999">
        <v>1</v>
      </c>
      <c r="I999">
        <v>1</v>
      </c>
      <c r="J999">
        <v>4</v>
      </c>
      <c r="K999">
        <v>4</v>
      </c>
      <c r="L999">
        <v>500</v>
      </c>
      <c r="M999" t="s">
        <v>33</v>
      </c>
      <c r="N999" t="s">
        <v>29</v>
      </c>
      <c r="O999" t="s">
        <v>16</v>
      </c>
      <c r="P999" t="s">
        <v>23</v>
      </c>
      <c r="Q999" t="str">
        <f t="shared" si="121"/>
        <v>10</v>
      </c>
      <c r="R999" s="5">
        <v>46200</v>
      </c>
      <c r="S999" s="8">
        <f t="shared" si="122"/>
        <v>14</v>
      </c>
      <c r="T999">
        <f t="shared" si="123"/>
        <v>84000</v>
      </c>
      <c r="U999" t="str">
        <f t="shared" si="124"/>
        <v>Budget</v>
      </c>
      <c r="V999" t="str">
        <f t="shared" si="125"/>
        <v>Compact</v>
      </c>
      <c r="W999" t="str">
        <f>IF(S999 &lt; VLOOKUP(E999, Locality_Tier_Benchmarks!A:B, 2, FALSE) * 0.7, "Below Tier Range", "Normal")</f>
        <v>Normal</v>
      </c>
      <c r="X999" t="str">
        <f t="shared" si="126"/>
        <v>Normal</v>
      </c>
      <c r="Y999" t="str">
        <f t="shared" si="127"/>
        <v>Normal</v>
      </c>
      <c r="Z999" t="str">
        <f t="shared" si="120"/>
        <v>Pass</v>
      </c>
    </row>
    <row r="1000" spans="1:26" x14ac:dyDescent="0.25">
      <c r="A1000" s="2" t="s">
        <v>1896</v>
      </c>
      <c r="B1000" t="s">
        <v>17</v>
      </c>
      <c r="C1000" t="s">
        <v>496</v>
      </c>
      <c r="D1000" s="2" t="str">
        <f>VLOOKUP(C1000,Locality_Reference!A:C,2,)</f>
        <v>Central Line</v>
      </c>
      <c r="E1000" s="2" t="str">
        <f>VLOOKUP(C1000,Locality_Reference!A:C,3,)</f>
        <v>Outer Periphery</v>
      </c>
      <c r="F1000" s="2" t="s">
        <v>2057</v>
      </c>
      <c r="G1000" s="8">
        <v>13000</v>
      </c>
      <c r="H1000">
        <v>2</v>
      </c>
      <c r="I1000">
        <v>2</v>
      </c>
      <c r="J1000">
        <v>6</v>
      </c>
      <c r="K1000">
        <v>13</v>
      </c>
      <c r="L1000">
        <v>536</v>
      </c>
      <c r="M1000" t="s">
        <v>33</v>
      </c>
      <c r="N1000" t="s">
        <v>15</v>
      </c>
      <c r="O1000" t="s">
        <v>16</v>
      </c>
      <c r="P1000" t="s">
        <v>34</v>
      </c>
      <c r="Q1000" t="str">
        <f t="shared" si="121"/>
        <v/>
      </c>
      <c r="R1000" s="5">
        <v>46203</v>
      </c>
      <c r="S1000" s="8">
        <f t="shared" si="122"/>
        <v>24.253731343283583</v>
      </c>
      <c r="T1000">
        <f t="shared" si="123"/>
        <v>156000</v>
      </c>
      <c r="U1000" t="str">
        <f t="shared" si="124"/>
        <v>Budget</v>
      </c>
      <c r="V1000" t="str">
        <f t="shared" si="125"/>
        <v>Medium</v>
      </c>
      <c r="W1000" t="str">
        <f>IF(S1000 &lt; VLOOKUP(E1000, Locality_Tier_Benchmarks!A:B, 2, FALSE) * 0.7, "Below Tier Range", "Normal")</f>
        <v>Normal</v>
      </c>
      <c r="X1000" t="str">
        <f t="shared" si="126"/>
        <v>Normal</v>
      </c>
      <c r="Y1000" t="str">
        <f t="shared" si="127"/>
        <v>Normal</v>
      </c>
      <c r="Z1000" t="str">
        <f t="shared" si="120"/>
        <v>Pass</v>
      </c>
    </row>
    <row r="1001" spans="1:26" x14ac:dyDescent="0.25">
      <c r="A1001" s="2" t="s">
        <v>1897</v>
      </c>
      <c r="B1001" t="s">
        <v>17</v>
      </c>
      <c r="C1001" t="s">
        <v>496</v>
      </c>
      <c r="D1001" s="2" t="str">
        <f>VLOOKUP(C1001,Locality_Reference!A:C,2,)</f>
        <v>Central Line</v>
      </c>
      <c r="E1001" s="2" t="str">
        <f>VLOOKUP(C1001,Locality_Reference!A:C,3,)</f>
        <v>Outer Periphery</v>
      </c>
      <c r="F1001" s="2" t="s">
        <v>2058</v>
      </c>
      <c r="G1001" s="8">
        <v>12000</v>
      </c>
      <c r="H1001">
        <v>2</v>
      </c>
      <c r="I1001">
        <v>2</v>
      </c>
      <c r="J1001">
        <v>12</v>
      </c>
      <c r="K1001">
        <v>14</v>
      </c>
      <c r="L1001">
        <v>500</v>
      </c>
      <c r="M1001" t="s">
        <v>36</v>
      </c>
      <c r="N1001" t="s">
        <v>29</v>
      </c>
      <c r="O1001" t="s">
        <v>16</v>
      </c>
      <c r="P1001" t="s">
        <v>31</v>
      </c>
      <c r="Q1001" t="str">
        <f t="shared" si="121"/>
        <v>3</v>
      </c>
      <c r="R1001" s="5">
        <v>46202</v>
      </c>
      <c r="S1001" s="8">
        <f t="shared" si="122"/>
        <v>24</v>
      </c>
      <c r="T1001">
        <f t="shared" si="123"/>
        <v>144000</v>
      </c>
      <c r="U1001" t="str">
        <f t="shared" si="124"/>
        <v>Budget</v>
      </c>
      <c r="V1001" t="str">
        <f t="shared" si="125"/>
        <v>Compact</v>
      </c>
      <c r="W1001" t="str">
        <f>IF(S1001 &lt; VLOOKUP(E1001, Locality_Tier_Benchmarks!A:B, 2, FALSE) * 0.7, "Below Tier Range", "Normal")</f>
        <v>Normal</v>
      </c>
      <c r="X1001" t="str">
        <f t="shared" si="126"/>
        <v>Normal</v>
      </c>
      <c r="Y1001" t="str">
        <f t="shared" si="127"/>
        <v>Normal</v>
      </c>
      <c r="Z1001" t="str">
        <f t="shared" si="120"/>
        <v>Pass</v>
      </c>
    </row>
    <row r="1002" spans="1:26" x14ac:dyDescent="0.25">
      <c r="A1002" s="2" t="s">
        <v>2029</v>
      </c>
      <c r="B1002" t="s">
        <v>17</v>
      </c>
      <c r="C1002" t="s">
        <v>496</v>
      </c>
      <c r="D1002" s="2" t="str">
        <f>VLOOKUP(C1002,Locality_Reference!A:C,2,)</f>
        <v>Central Line</v>
      </c>
      <c r="E1002" s="2" t="str">
        <f>VLOOKUP(C1002,Locality_Reference!A:C,3,)</f>
        <v>Outer Periphery</v>
      </c>
      <c r="F1002" s="2" t="s">
        <v>2059</v>
      </c>
      <c r="G1002" s="8">
        <v>15000</v>
      </c>
      <c r="H1002">
        <v>2</v>
      </c>
      <c r="I1002">
        <v>2</v>
      </c>
      <c r="J1002">
        <v>4</v>
      </c>
      <c r="K1002">
        <v>14</v>
      </c>
      <c r="L1002">
        <v>608</v>
      </c>
      <c r="M1002" t="s">
        <v>33</v>
      </c>
      <c r="N1002" t="s">
        <v>29</v>
      </c>
      <c r="O1002" t="s">
        <v>16</v>
      </c>
      <c r="P1002" t="s">
        <v>47</v>
      </c>
      <c r="Q1002" t="str">
        <f t="shared" si="121"/>
        <v>1</v>
      </c>
      <c r="R1002" s="5">
        <v>46198</v>
      </c>
      <c r="S1002" s="8">
        <f t="shared" si="122"/>
        <v>24.671052631578949</v>
      </c>
      <c r="T1002">
        <f t="shared" si="123"/>
        <v>180000</v>
      </c>
      <c r="U1002" t="str">
        <f t="shared" si="124"/>
        <v>Budget</v>
      </c>
      <c r="V1002" t="str">
        <f t="shared" si="125"/>
        <v>Medium</v>
      </c>
      <c r="W1002" t="str">
        <f>IF(S1002 &lt; VLOOKUP(E1002, Locality_Tier_Benchmarks!A:B, 2, FALSE) * 0.7, "Below Tier Range", "Normal")</f>
        <v>Normal</v>
      </c>
      <c r="X1002" t="str">
        <f t="shared" si="126"/>
        <v>Normal</v>
      </c>
      <c r="Y1002" t="str">
        <f t="shared" si="127"/>
        <v>Normal</v>
      </c>
      <c r="Z1002" t="str">
        <f t="shared" si="120"/>
        <v>Pass</v>
      </c>
    </row>
    <row r="1003" spans="1:26" x14ac:dyDescent="0.25">
      <c r="A1003" s="2" t="s">
        <v>2030</v>
      </c>
      <c r="B1003" t="s">
        <v>17</v>
      </c>
      <c r="C1003" t="s">
        <v>496</v>
      </c>
      <c r="D1003" s="2" t="str">
        <f>VLOOKUP(C1003,Locality_Reference!A:C,2,)</f>
        <v>Central Line</v>
      </c>
      <c r="E1003" s="2" t="str">
        <f>VLOOKUP(C1003,Locality_Reference!A:C,3,)</f>
        <v>Outer Periphery</v>
      </c>
      <c r="F1003" s="2" t="s">
        <v>2060</v>
      </c>
      <c r="G1003" s="8">
        <v>10000</v>
      </c>
      <c r="H1003">
        <v>2</v>
      </c>
      <c r="I1003">
        <v>1</v>
      </c>
      <c r="J1003">
        <v>2</v>
      </c>
      <c r="K1003">
        <v>4</v>
      </c>
      <c r="L1003">
        <v>605</v>
      </c>
      <c r="M1003" t="s">
        <v>33</v>
      </c>
      <c r="N1003" t="s">
        <v>29</v>
      </c>
      <c r="O1003" t="s">
        <v>16</v>
      </c>
      <c r="P1003" t="s">
        <v>23</v>
      </c>
      <c r="Q1003" t="str">
        <f t="shared" si="121"/>
        <v>10</v>
      </c>
      <c r="R1003" s="5">
        <v>46193</v>
      </c>
      <c r="S1003" s="8">
        <f t="shared" si="122"/>
        <v>16.528925619834709</v>
      </c>
      <c r="T1003">
        <f t="shared" si="123"/>
        <v>120000</v>
      </c>
      <c r="U1003" t="str">
        <f t="shared" si="124"/>
        <v>Budget</v>
      </c>
      <c r="V1003" t="str">
        <f t="shared" si="125"/>
        <v>Medium</v>
      </c>
      <c r="W1003" t="str">
        <f>IF(S1003 &lt; VLOOKUP(E1003, Locality_Tier_Benchmarks!A:B, 2, FALSE) * 0.7, "Below Tier Range", "Normal")</f>
        <v>Normal</v>
      </c>
      <c r="X1003" t="str">
        <f t="shared" si="126"/>
        <v>Normal</v>
      </c>
      <c r="Y1003" t="str">
        <f t="shared" si="127"/>
        <v>Normal</v>
      </c>
      <c r="Z1003" t="str">
        <f t="shared" si="120"/>
        <v>Pass</v>
      </c>
    </row>
    <row r="1004" spans="1:26" x14ac:dyDescent="0.25">
      <c r="A1004" s="2" t="s">
        <v>2031</v>
      </c>
      <c r="B1004" t="s">
        <v>17</v>
      </c>
      <c r="C1004" t="s">
        <v>496</v>
      </c>
      <c r="D1004" s="2" t="str">
        <f>VLOOKUP(C1004,Locality_Reference!A:C,2,)</f>
        <v>Central Line</v>
      </c>
      <c r="E1004" s="2" t="str">
        <f>VLOOKUP(C1004,Locality_Reference!A:C,3,)</f>
        <v>Outer Periphery</v>
      </c>
      <c r="F1004" s="2" t="s">
        <v>2061</v>
      </c>
      <c r="G1004" s="8">
        <v>11000</v>
      </c>
      <c r="H1004">
        <v>2</v>
      </c>
      <c r="I1004">
        <v>2</v>
      </c>
      <c r="J1004">
        <v>1</v>
      </c>
      <c r="K1004">
        <v>9</v>
      </c>
      <c r="L1004">
        <v>600</v>
      </c>
      <c r="M1004" t="s">
        <v>36</v>
      </c>
      <c r="N1004" t="s">
        <v>15</v>
      </c>
      <c r="O1004" t="s">
        <v>16</v>
      </c>
      <c r="P1004" t="s">
        <v>47</v>
      </c>
      <c r="Q1004" t="str">
        <f t="shared" si="121"/>
        <v>1</v>
      </c>
      <c r="R1004" s="5">
        <v>46189</v>
      </c>
      <c r="S1004" s="8">
        <f t="shared" si="122"/>
        <v>18.333333333333332</v>
      </c>
      <c r="T1004">
        <f t="shared" si="123"/>
        <v>132000</v>
      </c>
      <c r="U1004" t="str">
        <f t="shared" si="124"/>
        <v>Budget</v>
      </c>
      <c r="V1004" t="str">
        <f t="shared" si="125"/>
        <v>Medium</v>
      </c>
      <c r="W1004" t="str">
        <f>IF(S1004 &lt; VLOOKUP(E1004, Locality_Tier_Benchmarks!A:B, 2, FALSE) * 0.7, "Below Tier Range", "Normal")</f>
        <v>Normal</v>
      </c>
      <c r="X1004" t="str">
        <f t="shared" si="126"/>
        <v>Normal</v>
      </c>
      <c r="Y1004" t="str">
        <f t="shared" si="127"/>
        <v>Normal</v>
      </c>
      <c r="Z1004" t="str">
        <f t="shared" si="120"/>
        <v>Pass</v>
      </c>
    </row>
    <row r="1005" spans="1:26" x14ac:dyDescent="0.25">
      <c r="A1005" s="2" t="s">
        <v>2032</v>
      </c>
      <c r="B1005" t="s">
        <v>17</v>
      </c>
      <c r="C1005" t="s">
        <v>496</v>
      </c>
      <c r="D1005" s="2" t="str">
        <f>VLOOKUP(C1005,Locality_Reference!A:C,2,)</f>
        <v>Central Line</v>
      </c>
      <c r="E1005" s="2" t="str">
        <f>VLOOKUP(C1005,Locality_Reference!A:C,3,)</f>
        <v>Outer Periphery</v>
      </c>
      <c r="F1005" s="2" t="s">
        <v>2062</v>
      </c>
      <c r="G1005" s="8">
        <v>15000</v>
      </c>
      <c r="H1005">
        <v>3</v>
      </c>
      <c r="I1005">
        <v>3</v>
      </c>
      <c r="J1005">
        <v>4</v>
      </c>
      <c r="K1005">
        <v>7</v>
      </c>
      <c r="L1005">
        <v>920</v>
      </c>
      <c r="M1005" t="s">
        <v>36</v>
      </c>
      <c r="N1005" t="s">
        <v>15</v>
      </c>
      <c r="O1005" t="s">
        <v>16</v>
      </c>
      <c r="P1005" t="s">
        <v>34</v>
      </c>
      <c r="Q1005" t="str">
        <f t="shared" si="121"/>
        <v/>
      </c>
      <c r="R1005" s="5">
        <v>46199</v>
      </c>
      <c r="S1005" s="8">
        <f t="shared" si="122"/>
        <v>16.304347826086957</v>
      </c>
      <c r="T1005">
        <f t="shared" si="123"/>
        <v>180000</v>
      </c>
      <c r="U1005" t="str">
        <f t="shared" si="124"/>
        <v>Budget</v>
      </c>
      <c r="V1005" t="str">
        <f t="shared" si="125"/>
        <v>Large</v>
      </c>
      <c r="W1005" t="str">
        <f>IF(S1005 &lt; VLOOKUP(E1005, Locality_Tier_Benchmarks!A:B, 2, FALSE) * 0.7, "Below Tier Range", "Normal")</f>
        <v>Normal</v>
      </c>
      <c r="X1005" t="str">
        <f t="shared" si="126"/>
        <v>Normal</v>
      </c>
      <c r="Y1005" t="str">
        <f t="shared" si="127"/>
        <v>Normal</v>
      </c>
      <c r="Z1005" t="str">
        <f t="shared" si="120"/>
        <v>Pass</v>
      </c>
    </row>
    <row r="1006" spans="1:26" x14ac:dyDescent="0.25">
      <c r="A1006" s="2" t="s">
        <v>2033</v>
      </c>
      <c r="B1006" t="s">
        <v>366</v>
      </c>
      <c r="C1006" t="s">
        <v>496</v>
      </c>
      <c r="D1006" s="2" t="str">
        <f>VLOOKUP(C1006,Locality_Reference!A:C,2,)</f>
        <v>Central Line</v>
      </c>
      <c r="E1006" s="2" t="str">
        <f>VLOOKUP(C1006,Locality_Reference!A:C,3,)</f>
        <v>Outer Periphery</v>
      </c>
      <c r="F1006" s="2" t="s">
        <v>2063</v>
      </c>
      <c r="G1006" s="8">
        <v>15000</v>
      </c>
      <c r="H1006">
        <v>3</v>
      </c>
      <c r="I1006">
        <v>2</v>
      </c>
      <c r="J1006">
        <v>1</v>
      </c>
      <c r="K1006">
        <v>4</v>
      </c>
      <c r="L1006">
        <v>900</v>
      </c>
      <c r="M1006" t="s">
        <v>33</v>
      </c>
      <c r="N1006" t="s">
        <v>15</v>
      </c>
      <c r="O1006" t="s">
        <v>16</v>
      </c>
      <c r="P1006" t="s">
        <v>1150</v>
      </c>
      <c r="Q1006" t="str">
        <f t="shared" si="121"/>
        <v>20</v>
      </c>
      <c r="R1006" s="5">
        <v>46151</v>
      </c>
      <c r="S1006" s="8">
        <f t="shared" si="122"/>
        <v>16.666666666666668</v>
      </c>
      <c r="T1006">
        <f t="shared" si="123"/>
        <v>180000</v>
      </c>
      <c r="U1006" t="str">
        <f t="shared" si="124"/>
        <v>Budget</v>
      </c>
      <c r="V1006" t="str">
        <f t="shared" si="125"/>
        <v>Large</v>
      </c>
      <c r="W1006" t="str">
        <f>IF(S1006 &lt; VLOOKUP(E1006, Locality_Tier_Benchmarks!A:B, 2, FALSE) * 0.7, "Below Tier Range", "Normal")</f>
        <v>Normal</v>
      </c>
      <c r="X1006" t="str">
        <f t="shared" si="126"/>
        <v>Normal</v>
      </c>
      <c r="Y1006" t="str">
        <f t="shared" si="127"/>
        <v>Normal</v>
      </c>
      <c r="Z1006" t="str">
        <f t="shared" si="120"/>
        <v>Pass</v>
      </c>
    </row>
    <row r="1007" spans="1:26" x14ac:dyDescent="0.25">
      <c r="A1007" s="2" t="s">
        <v>2034</v>
      </c>
      <c r="B1007" t="s">
        <v>17</v>
      </c>
      <c r="C1007" t="s">
        <v>497</v>
      </c>
      <c r="D1007" s="2" t="str">
        <f>VLOOKUP(C1007,Locality_Reference!A:C,2,)</f>
        <v>Central Line</v>
      </c>
      <c r="E1007" s="2" t="str">
        <f>VLOOKUP(C1007,Locality_Reference!A:C,3,)</f>
        <v>Outer Periphery</v>
      </c>
      <c r="F1007" s="2" t="s">
        <v>2064</v>
      </c>
      <c r="G1007" s="8">
        <v>9000</v>
      </c>
      <c r="H1007">
        <v>1</v>
      </c>
      <c r="I1007">
        <v>2</v>
      </c>
      <c r="J1007">
        <v>7</v>
      </c>
      <c r="K1007">
        <v>7</v>
      </c>
      <c r="L1007">
        <v>500</v>
      </c>
      <c r="M1007" t="s">
        <v>33</v>
      </c>
      <c r="N1007" t="s">
        <v>15</v>
      </c>
      <c r="O1007" t="s">
        <v>16</v>
      </c>
      <c r="P1007" t="s">
        <v>52</v>
      </c>
      <c r="Q1007" t="str">
        <f t="shared" si="121"/>
        <v>7.5</v>
      </c>
      <c r="R1007" s="5">
        <v>46203</v>
      </c>
      <c r="S1007" s="8">
        <f t="shared" si="122"/>
        <v>18</v>
      </c>
      <c r="T1007">
        <f t="shared" si="123"/>
        <v>108000</v>
      </c>
      <c r="U1007" t="str">
        <f t="shared" si="124"/>
        <v>Budget</v>
      </c>
      <c r="V1007" t="str">
        <f t="shared" si="125"/>
        <v>Compact</v>
      </c>
      <c r="W1007" t="str">
        <f>IF(S1007 &lt; VLOOKUP(E1007, Locality_Tier_Benchmarks!A:B, 2, FALSE) * 0.7, "Below Tier Range", "Normal")</f>
        <v>Normal</v>
      </c>
      <c r="X1007" t="str">
        <f t="shared" si="126"/>
        <v>Normal</v>
      </c>
      <c r="Y1007" t="str">
        <f t="shared" si="127"/>
        <v>Normal</v>
      </c>
      <c r="Z1007" t="str">
        <f t="shared" si="120"/>
        <v>Pass</v>
      </c>
    </row>
    <row r="1008" spans="1:26" x14ac:dyDescent="0.25">
      <c r="A1008" s="2" t="s">
        <v>2035</v>
      </c>
      <c r="B1008" t="s">
        <v>17</v>
      </c>
      <c r="C1008" t="s">
        <v>497</v>
      </c>
      <c r="D1008" s="2" t="str">
        <f>VLOOKUP(C1008,Locality_Reference!A:C,2,)</f>
        <v>Central Line</v>
      </c>
      <c r="E1008" s="2" t="str">
        <f>VLOOKUP(C1008,Locality_Reference!A:C,3,)</f>
        <v>Outer Periphery</v>
      </c>
      <c r="F1008" s="2" t="s">
        <v>2065</v>
      </c>
      <c r="G1008" s="8">
        <v>6500</v>
      </c>
      <c r="H1008">
        <v>1</v>
      </c>
      <c r="I1008">
        <v>2</v>
      </c>
      <c r="J1008">
        <v>5</v>
      </c>
      <c r="K1008">
        <v>14</v>
      </c>
      <c r="L1008">
        <v>421</v>
      </c>
      <c r="M1008" t="s">
        <v>33</v>
      </c>
      <c r="N1008" t="s">
        <v>15</v>
      </c>
      <c r="O1008" t="s">
        <v>16</v>
      </c>
      <c r="P1008" t="s">
        <v>34</v>
      </c>
      <c r="Q1008" t="str">
        <f t="shared" si="121"/>
        <v/>
      </c>
      <c r="R1008" s="5">
        <v>46203</v>
      </c>
      <c r="S1008" s="8">
        <f t="shared" si="122"/>
        <v>15.439429928741093</v>
      </c>
      <c r="T1008">
        <f t="shared" si="123"/>
        <v>78000</v>
      </c>
      <c r="U1008" t="str">
        <f t="shared" si="124"/>
        <v>Budget</v>
      </c>
      <c r="V1008" t="str">
        <f t="shared" si="125"/>
        <v>Compact</v>
      </c>
      <c r="W1008" t="str">
        <f>IF(S1008 &lt; VLOOKUP(E1008, Locality_Tier_Benchmarks!A:B, 2, FALSE) * 0.7, "Below Tier Range", "Normal")</f>
        <v>Normal</v>
      </c>
      <c r="X1008" t="str">
        <f t="shared" si="126"/>
        <v>Below Absolute Floor</v>
      </c>
      <c r="Y1008" t="str">
        <f t="shared" si="127"/>
        <v>Normal</v>
      </c>
      <c r="Z1008" t="str">
        <f t="shared" si="120"/>
        <v>Review</v>
      </c>
    </row>
    <row r="1009" spans="1:26" x14ac:dyDescent="0.25">
      <c r="A1009" s="2" t="s">
        <v>2036</v>
      </c>
      <c r="B1009" t="s">
        <v>17</v>
      </c>
      <c r="C1009" t="s">
        <v>497</v>
      </c>
      <c r="D1009" s="2" t="str">
        <f>VLOOKUP(C1009,Locality_Reference!A:C,2,)</f>
        <v>Central Line</v>
      </c>
      <c r="E1009" s="2" t="str">
        <f>VLOOKUP(C1009,Locality_Reference!A:C,3,)</f>
        <v>Outer Periphery</v>
      </c>
      <c r="F1009" s="2" t="s">
        <v>2066</v>
      </c>
      <c r="G1009" s="8">
        <v>8000</v>
      </c>
      <c r="H1009">
        <v>1</v>
      </c>
      <c r="I1009">
        <v>2</v>
      </c>
      <c r="J1009">
        <v>1</v>
      </c>
      <c r="K1009">
        <v>15</v>
      </c>
      <c r="L1009">
        <v>745</v>
      </c>
      <c r="M1009" t="s">
        <v>33</v>
      </c>
      <c r="N1009" t="s">
        <v>29</v>
      </c>
      <c r="O1009" t="s">
        <v>16</v>
      </c>
      <c r="P1009" t="s">
        <v>31</v>
      </c>
      <c r="Q1009" t="str">
        <f t="shared" si="121"/>
        <v>3</v>
      </c>
      <c r="R1009" s="5">
        <v>46200</v>
      </c>
      <c r="S1009" s="8">
        <f t="shared" si="122"/>
        <v>10.738255033557047</v>
      </c>
      <c r="T1009">
        <f t="shared" si="123"/>
        <v>96000</v>
      </c>
      <c r="U1009" t="str">
        <f t="shared" si="124"/>
        <v>Budget</v>
      </c>
      <c r="V1009" t="str">
        <f t="shared" si="125"/>
        <v>Medium</v>
      </c>
      <c r="W1009" t="str">
        <f>IF(S1009 &lt; VLOOKUP(E1009, Locality_Tier_Benchmarks!A:B, 2, FALSE) * 0.7, "Below Tier Range", "Normal")</f>
        <v>Normal</v>
      </c>
      <c r="X1009" t="str">
        <f t="shared" si="126"/>
        <v>Normal</v>
      </c>
      <c r="Y1009" t="str">
        <f t="shared" si="127"/>
        <v>Normal</v>
      </c>
      <c r="Z1009" t="str">
        <f t="shared" si="120"/>
        <v>Pass</v>
      </c>
    </row>
    <row r="1010" spans="1:26" x14ac:dyDescent="0.25">
      <c r="A1010" s="2" t="s">
        <v>2037</v>
      </c>
      <c r="B1010" t="s">
        <v>17</v>
      </c>
      <c r="C1010" t="s">
        <v>497</v>
      </c>
      <c r="D1010" s="2" t="str">
        <f>VLOOKUP(C1010,Locality_Reference!A:C,2,)</f>
        <v>Central Line</v>
      </c>
      <c r="E1010" s="2" t="str">
        <f>VLOOKUP(C1010,Locality_Reference!A:C,3,)</f>
        <v>Outer Periphery</v>
      </c>
      <c r="F1010" s="2" t="s">
        <v>2067</v>
      </c>
      <c r="G1010" s="8">
        <v>8500</v>
      </c>
      <c r="H1010">
        <v>1</v>
      </c>
      <c r="I1010">
        <v>1</v>
      </c>
      <c r="J1010">
        <v>9</v>
      </c>
      <c r="K1010">
        <v>12</v>
      </c>
      <c r="L1010">
        <v>469</v>
      </c>
      <c r="M1010" t="s">
        <v>36</v>
      </c>
      <c r="N1010" t="s">
        <v>15</v>
      </c>
      <c r="O1010" t="s">
        <v>16</v>
      </c>
      <c r="P1010" t="s">
        <v>34</v>
      </c>
      <c r="Q1010" t="str">
        <f t="shared" si="121"/>
        <v/>
      </c>
      <c r="R1010" s="5">
        <v>46199</v>
      </c>
      <c r="S1010" s="8">
        <f t="shared" si="122"/>
        <v>18.123667377398721</v>
      </c>
      <c r="T1010">
        <f t="shared" si="123"/>
        <v>102000</v>
      </c>
      <c r="U1010" t="str">
        <f t="shared" si="124"/>
        <v>Budget</v>
      </c>
      <c r="V1010" t="str">
        <f t="shared" si="125"/>
        <v>Compact</v>
      </c>
      <c r="W1010" t="str">
        <f>IF(S1010 &lt; VLOOKUP(E1010, Locality_Tier_Benchmarks!A:B, 2, FALSE) * 0.7, "Below Tier Range", "Normal")</f>
        <v>Normal</v>
      </c>
      <c r="X1010" t="str">
        <f t="shared" si="126"/>
        <v>Normal</v>
      </c>
      <c r="Y1010" t="str">
        <f t="shared" si="127"/>
        <v>Normal</v>
      </c>
      <c r="Z1010" t="str">
        <f t="shared" si="120"/>
        <v>Pass</v>
      </c>
    </row>
    <row r="1011" spans="1:26" x14ac:dyDescent="0.25">
      <c r="A1011" s="2" t="s">
        <v>2038</v>
      </c>
      <c r="B1011" t="s">
        <v>17</v>
      </c>
      <c r="C1011" t="s">
        <v>497</v>
      </c>
      <c r="D1011" s="2" t="str">
        <f>VLOOKUP(C1011,Locality_Reference!A:C,2,)</f>
        <v>Central Line</v>
      </c>
      <c r="E1011" s="2" t="str">
        <f>VLOOKUP(C1011,Locality_Reference!A:C,3,)</f>
        <v>Outer Periphery</v>
      </c>
      <c r="F1011" s="2" t="s">
        <v>2068</v>
      </c>
      <c r="G1011" s="8">
        <v>9000</v>
      </c>
      <c r="H1011">
        <v>1</v>
      </c>
      <c r="I1011">
        <v>2</v>
      </c>
      <c r="J1011">
        <v>5</v>
      </c>
      <c r="K1011">
        <v>10</v>
      </c>
      <c r="L1011">
        <v>550</v>
      </c>
      <c r="M1011" t="s">
        <v>33</v>
      </c>
      <c r="N1011" t="s">
        <v>29</v>
      </c>
      <c r="O1011" t="s">
        <v>16</v>
      </c>
      <c r="P1011" t="s">
        <v>34</v>
      </c>
      <c r="Q1011" t="str">
        <f t="shared" si="121"/>
        <v/>
      </c>
      <c r="R1011" s="5">
        <v>46199</v>
      </c>
      <c r="S1011" s="8">
        <f t="shared" si="122"/>
        <v>16.363636363636363</v>
      </c>
      <c r="T1011">
        <f t="shared" si="123"/>
        <v>108000</v>
      </c>
      <c r="U1011" t="str">
        <f t="shared" si="124"/>
        <v>Budget</v>
      </c>
      <c r="V1011" t="str">
        <f t="shared" si="125"/>
        <v>Medium</v>
      </c>
      <c r="W1011" t="str">
        <f>IF(S1011 &lt; VLOOKUP(E1011, Locality_Tier_Benchmarks!A:B, 2, FALSE) * 0.7, "Below Tier Range", "Normal")</f>
        <v>Normal</v>
      </c>
      <c r="X1011" t="str">
        <f t="shared" si="126"/>
        <v>Normal</v>
      </c>
      <c r="Y1011" t="str">
        <f t="shared" si="127"/>
        <v>Normal</v>
      </c>
      <c r="Z1011" t="str">
        <f t="shared" si="120"/>
        <v>Pass</v>
      </c>
    </row>
    <row r="1012" spans="1:26" x14ac:dyDescent="0.25">
      <c r="A1012" s="2" t="s">
        <v>2039</v>
      </c>
      <c r="B1012" t="s">
        <v>17</v>
      </c>
      <c r="C1012" t="s">
        <v>497</v>
      </c>
      <c r="D1012" s="2" t="str">
        <f>VLOOKUP(C1012,Locality_Reference!A:C,2,)</f>
        <v>Central Line</v>
      </c>
      <c r="E1012" s="2" t="str">
        <f>VLOOKUP(C1012,Locality_Reference!A:C,3,)</f>
        <v>Outer Periphery</v>
      </c>
      <c r="F1012" s="2" t="s">
        <v>2069</v>
      </c>
      <c r="G1012" s="8">
        <v>12000</v>
      </c>
      <c r="H1012">
        <v>2</v>
      </c>
      <c r="I1012">
        <v>2</v>
      </c>
      <c r="J1012">
        <v>4</v>
      </c>
      <c r="K1012">
        <v>18</v>
      </c>
      <c r="L1012">
        <v>793</v>
      </c>
      <c r="M1012" t="s">
        <v>33</v>
      </c>
      <c r="N1012" t="s">
        <v>15</v>
      </c>
      <c r="O1012" t="s">
        <v>16</v>
      </c>
      <c r="P1012" t="s">
        <v>34</v>
      </c>
      <c r="Q1012" t="str">
        <f t="shared" si="121"/>
        <v/>
      </c>
      <c r="R1012" s="5">
        <v>46195</v>
      </c>
      <c r="S1012" s="8">
        <f t="shared" si="122"/>
        <v>15.132408575031526</v>
      </c>
      <c r="T1012">
        <f t="shared" si="123"/>
        <v>144000</v>
      </c>
      <c r="U1012" t="str">
        <f t="shared" si="124"/>
        <v>Budget</v>
      </c>
      <c r="V1012" t="str">
        <f t="shared" si="125"/>
        <v>Medium</v>
      </c>
      <c r="W1012" t="str">
        <f>IF(S1012 &lt; VLOOKUP(E1012, Locality_Tier_Benchmarks!A:B, 2, FALSE) * 0.7, "Below Tier Range", "Normal")</f>
        <v>Normal</v>
      </c>
      <c r="X1012" t="str">
        <f t="shared" si="126"/>
        <v>Normal</v>
      </c>
      <c r="Y1012" t="str">
        <f t="shared" si="127"/>
        <v>Normal</v>
      </c>
      <c r="Z1012" t="str">
        <f t="shared" si="120"/>
        <v>Pass</v>
      </c>
    </row>
    <row r="1013" spans="1:26" x14ac:dyDescent="0.25">
      <c r="A1013" s="2" t="s">
        <v>2040</v>
      </c>
      <c r="B1013" t="s">
        <v>17</v>
      </c>
      <c r="C1013" t="s">
        <v>497</v>
      </c>
      <c r="D1013" s="2" t="str">
        <f>VLOOKUP(C1013,Locality_Reference!A:C,2,)</f>
        <v>Central Line</v>
      </c>
      <c r="E1013" s="2" t="str">
        <f>VLOOKUP(C1013,Locality_Reference!A:C,3,)</f>
        <v>Outer Periphery</v>
      </c>
      <c r="F1013" s="2" t="s">
        <v>2070</v>
      </c>
      <c r="G1013" s="8">
        <v>10500</v>
      </c>
      <c r="H1013">
        <v>2</v>
      </c>
      <c r="I1013">
        <v>2</v>
      </c>
      <c r="J1013">
        <v>4</v>
      </c>
      <c r="K1013">
        <v>6</v>
      </c>
      <c r="L1013">
        <v>630</v>
      </c>
      <c r="M1013" t="s">
        <v>36</v>
      </c>
      <c r="N1013" t="s">
        <v>15</v>
      </c>
      <c r="O1013" t="s">
        <v>16</v>
      </c>
      <c r="P1013" t="s">
        <v>52</v>
      </c>
      <c r="Q1013" t="str">
        <f t="shared" si="121"/>
        <v>7.5</v>
      </c>
      <c r="R1013" s="5">
        <v>46191</v>
      </c>
      <c r="S1013" s="8">
        <f t="shared" si="122"/>
        <v>16.666666666666668</v>
      </c>
      <c r="T1013">
        <f t="shared" si="123"/>
        <v>126000</v>
      </c>
      <c r="U1013" t="str">
        <f t="shared" si="124"/>
        <v>Budget</v>
      </c>
      <c r="V1013" t="str">
        <f t="shared" si="125"/>
        <v>Medium</v>
      </c>
      <c r="W1013" t="str">
        <f>IF(S1013 &lt; VLOOKUP(E1013, Locality_Tier_Benchmarks!A:B, 2, FALSE) * 0.7, "Below Tier Range", "Normal")</f>
        <v>Normal</v>
      </c>
      <c r="X1013" t="str">
        <f t="shared" si="126"/>
        <v>Normal</v>
      </c>
      <c r="Y1013" t="str">
        <f t="shared" si="127"/>
        <v>Normal</v>
      </c>
      <c r="Z1013" t="str">
        <f t="shared" si="120"/>
        <v>Pass</v>
      </c>
    </row>
    <row r="1014" spans="1:26" x14ac:dyDescent="0.25">
      <c r="A1014" s="2" t="s">
        <v>2041</v>
      </c>
      <c r="B1014" t="s">
        <v>17</v>
      </c>
      <c r="C1014" t="s">
        <v>497</v>
      </c>
      <c r="D1014" s="2" t="str">
        <f>VLOOKUP(C1014,Locality_Reference!A:C,2,)</f>
        <v>Central Line</v>
      </c>
      <c r="E1014" s="2" t="str">
        <f>VLOOKUP(C1014,Locality_Reference!A:C,3,)</f>
        <v>Outer Periphery</v>
      </c>
      <c r="F1014" s="2" t="s">
        <v>2071</v>
      </c>
      <c r="G1014" s="8">
        <v>10000</v>
      </c>
      <c r="H1014">
        <v>2</v>
      </c>
      <c r="I1014">
        <v>2</v>
      </c>
      <c r="J1014">
        <v>6</v>
      </c>
      <c r="K1014">
        <v>7</v>
      </c>
      <c r="L1014">
        <v>1200</v>
      </c>
      <c r="M1014" t="s">
        <v>33</v>
      </c>
      <c r="N1014" t="s">
        <v>15</v>
      </c>
      <c r="O1014" t="s">
        <v>16</v>
      </c>
      <c r="P1014" t="s">
        <v>34</v>
      </c>
      <c r="Q1014" t="str">
        <f t="shared" si="121"/>
        <v/>
      </c>
      <c r="R1014" s="5">
        <v>46203</v>
      </c>
      <c r="S1014" s="8">
        <f t="shared" si="122"/>
        <v>8.3333333333333339</v>
      </c>
      <c r="T1014">
        <f t="shared" si="123"/>
        <v>120000</v>
      </c>
      <c r="U1014" t="str">
        <f t="shared" si="124"/>
        <v>Budget</v>
      </c>
      <c r="V1014" t="str">
        <f t="shared" si="125"/>
        <v>Large</v>
      </c>
      <c r="W1014" t="str">
        <f>IF(S1014 &lt; VLOOKUP(E1014, Locality_Tier_Benchmarks!A:B, 2, FALSE) * 0.7, "Below Tier Range", "Normal")</f>
        <v>Normal</v>
      </c>
      <c r="X1014" t="str">
        <f t="shared" si="126"/>
        <v>Normal</v>
      </c>
      <c r="Y1014" t="str">
        <f t="shared" si="127"/>
        <v>Normal</v>
      </c>
      <c r="Z1014" t="str">
        <f t="shared" si="120"/>
        <v>Pass</v>
      </c>
    </row>
    <row r="1015" spans="1:26" x14ac:dyDescent="0.25">
      <c r="A1015" s="2" t="s">
        <v>2042</v>
      </c>
      <c r="B1015" t="s">
        <v>17</v>
      </c>
      <c r="C1015" t="s">
        <v>497</v>
      </c>
      <c r="D1015" s="2" t="str">
        <f>VLOOKUP(C1015,Locality_Reference!A:C,2,)</f>
        <v>Central Line</v>
      </c>
      <c r="E1015" s="2" t="str">
        <f>VLOOKUP(C1015,Locality_Reference!A:C,3,)</f>
        <v>Outer Periphery</v>
      </c>
      <c r="F1015" s="2" t="s">
        <v>2072</v>
      </c>
      <c r="G1015" s="8">
        <v>10500</v>
      </c>
      <c r="H1015">
        <v>2</v>
      </c>
      <c r="I1015">
        <v>2</v>
      </c>
      <c r="J1015">
        <v>4</v>
      </c>
      <c r="K1015">
        <v>7</v>
      </c>
      <c r="L1015">
        <v>630</v>
      </c>
      <c r="M1015" t="s">
        <v>36</v>
      </c>
      <c r="N1015" t="s">
        <v>29</v>
      </c>
      <c r="O1015" t="s">
        <v>16</v>
      </c>
      <c r="P1015" t="s">
        <v>34</v>
      </c>
      <c r="Q1015" t="str">
        <f t="shared" si="121"/>
        <v/>
      </c>
      <c r="R1015" s="5">
        <v>46202</v>
      </c>
      <c r="S1015" s="8">
        <f t="shared" si="122"/>
        <v>16.666666666666668</v>
      </c>
      <c r="T1015">
        <f t="shared" si="123"/>
        <v>126000</v>
      </c>
      <c r="U1015" t="str">
        <f t="shared" si="124"/>
        <v>Budget</v>
      </c>
      <c r="V1015" t="str">
        <f t="shared" si="125"/>
        <v>Medium</v>
      </c>
      <c r="W1015" t="str">
        <f>IF(S1015 &lt; VLOOKUP(E1015, Locality_Tier_Benchmarks!A:B, 2, FALSE) * 0.7, "Below Tier Range", "Normal")</f>
        <v>Normal</v>
      </c>
      <c r="X1015" t="str">
        <f t="shared" si="126"/>
        <v>Normal</v>
      </c>
      <c r="Y1015" t="str">
        <f t="shared" si="127"/>
        <v>Normal</v>
      </c>
      <c r="Z1015" t="str">
        <f t="shared" si="120"/>
        <v>Pass</v>
      </c>
    </row>
    <row r="1016" spans="1:26" x14ac:dyDescent="0.25">
      <c r="A1016" s="2" t="s">
        <v>2043</v>
      </c>
      <c r="B1016" t="s">
        <v>17</v>
      </c>
      <c r="C1016" t="s">
        <v>497</v>
      </c>
      <c r="D1016" s="2" t="str">
        <f>VLOOKUP(C1016,Locality_Reference!A:C,2,)</f>
        <v>Central Line</v>
      </c>
      <c r="E1016" s="2" t="str">
        <f>VLOOKUP(C1016,Locality_Reference!A:C,3,)</f>
        <v>Outer Periphery</v>
      </c>
      <c r="F1016" s="2" t="s">
        <v>2073</v>
      </c>
      <c r="G1016" s="8">
        <v>9000</v>
      </c>
      <c r="H1016">
        <v>2</v>
      </c>
      <c r="I1016">
        <v>3</v>
      </c>
      <c r="J1016">
        <v>1</v>
      </c>
      <c r="K1016">
        <v>3</v>
      </c>
      <c r="L1016">
        <v>795</v>
      </c>
      <c r="M1016" t="s">
        <v>33</v>
      </c>
      <c r="N1016" t="s">
        <v>15</v>
      </c>
      <c r="O1016" t="s">
        <v>16</v>
      </c>
      <c r="P1016" t="s">
        <v>23</v>
      </c>
      <c r="Q1016" t="str">
        <f t="shared" si="121"/>
        <v>10</v>
      </c>
      <c r="R1016" s="5">
        <v>46202</v>
      </c>
      <c r="S1016" s="8">
        <f t="shared" si="122"/>
        <v>11.320754716981131</v>
      </c>
      <c r="T1016">
        <f t="shared" si="123"/>
        <v>108000</v>
      </c>
      <c r="U1016" t="str">
        <f t="shared" si="124"/>
        <v>Budget</v>
      </c>
      <c r="V1016" t="str">
        <f t="shared" si="125"/>
        <v>Medium</v>
      </c>
      <c r="W1016" t="str">
        <f>IF(S1016 &lt; VLOOKUP(E1016, Locality_Tier_Benchmarks!A:B, 2, FALSE) * 0.7, "Below Tier Range", "Normal")</f>
        <v>Normal</v>
      </c>
      <c r="X1016" t="str">
        <f t="shared" si="126"/>
        <v>Normal</v>
      </c>
      <c r="Y1016" t="str">
        <f t="shared" si="127"/>
        <v>Normal</v>
      </c>
      <c r="Z1016" t="str">
        <f t="shared" si="120"/>
        <v>Pass</v>
      </c>
    </row>
    <row r="1017" spans="1:26" x14ac:dyDescent="0.25">
      <c r="A1017" s="2" t="s">
        <v>2044</v>
      </c>
      <c r="B1017" t="s">
        <v>17</v>
      </c>
      <c r="C1017" t="s">
        <v>497</v>
      </c>
      <c r="D1017" s="2" t="str">
        <f>VLOOKUP(C1017,Locality_Reference!A:C,2,)</f>
        <v>Central Line</v>
      </c>
      <c r="E1017" s="2" t="str">
        <f>VLOOKUP(C1017,Locality_Reference!A:C,3,)</f>
        <v>Outer Periphery</v>
      </c>
      <c r="F1017" s="2" t="s">
        <v>2074</v>
      </c>
      <c r="G1017" s="8">
        <v>22000</v>
      </c>
      <c r="H1017">
        <v>3</v>
      </c>
      <c r="I1017">
        <v>2</v>
      </c>
      <c r="J1017">
        <v>7</v>
      </c>
      <c r="K1017">
        <v>16</v>
      </c>
      <c r="L1017">
        <v>814.29</v>
      </c>
      <c r="M1017" t="s">
        <v>33</v>
      </c>
      <c r="N1017" t="s">
        <v>15</v>
      </c>
      <c r="O1017" t="s">
        <v>16</v>
      </c>
      <c r="P1017" t="s">
        <v>34</v>
      </c>
      <c r="Q1017" t="str">
        <f t="shared" si="121"/>
        <v/>
      </c>
      <c r="R1017" s="5">
        <v>46187</v>
      </c>
      <c r="S1017" s="8">
        <f t="shared" si="122"/>
        <v>27.017401662798267</v>
      </c>
      <c r="T1017">
        <f t="shared" si="123"/>
        <v>264000</v>
      </c>
      <c r="U1017" t="str">
        <f t="shared" si="124"/>
        <v>Budget</v>
      </c>
      <c r="V1017" t="str">
        <f t="shared" si="125"/>
        <v>Large</v>
      </c>
      <c r="W1017" t="str">
        <f>IF(S1017 &lt; VLOOKUP(E1017, Locality_Tier_Benchmarks!A:B, 2, FALSE) * 0.7, "Below Tier Range", "Normal")</f>
        <v>Normal</v>
      </c>
      <c r="X1017" t="str">
        <f t="shared" si="126"/>
        <v>Normal</v>
      </c>
      <c r="Y1017" t="str">
        <f t="shared" si="127"/>
        <v>Normal</v>
      </c>
      <c r="Z1017" t="str">
        <f t="shared" si="120"/>
        <v>Pass</v>
      </c>
    </row>
    <row r="1018" spans="1:26" x14ac:dyDescent="0.25">
      <c r="A1018" s="2" t="s">
        <v>2045</v>
      </c>
      <c r="B1018" t="s">
        <v>17</v>
      </c>
      <c r="C1018" t="s">
        <v>497</v>
      </c>
      <c r="D1018" s="2" t="str">
        <f>VLOOKUP(C1018,Locality_Reference!A:C,2,)</f>
        <v>Central Line</v>
      </c>
      <c r="E1018" s="2" t="str">
        <f>VLOOKUP(C1018,Locality_Reference!A:C,3,)</f>
        <v>Outer Periphery</v>
      </c>
      <c r="F1018" s="2" t="s">
        <v>2075</v>
      </c>
      <c r="G1018" s="8">
        <v>20000</v>
      </c>
      <c r="H1018">
        <v>3</v>
      </c>
      <c r="I1018">
        <v>2</v>
      </c>
      <c r="J1018">
        <v>4</v>
      </c>
      <c r="K1018">
        <v>7</v>
      </c>
      <c r="L1018">
        <v>900</v>
      </c>
      <c r="M1018" t="s">
        <v>14</v>
      </c>
      <c r="N1018" t="s">
        <v>15</v>
      </c>
      <c r="O1018" t="s">
        <v>16</v>
      </c>
      <c r="P1018" t="s">
        <v>31</v>
      </c>
      <c r="Q1018" t="str">
        <f t="shared" si="121"/>
        <v>3</v>
      </c>
      <c r="R1018" s="5">
        <v>46174</v>
      </c>
      <c r="S1018" s="8">
        <f t="shared" si="122"/>
        <v>22.222222222222221</v>
      </c>
      <c r="T1018">
        <f t="shared" si="123"/>
        <v>240000</v>
      </c>
      <c r="U1018" t="str">
        <f t="shared" si="124"/>
        <v>Budget</v>
      </c>
      <c r="V1018" t="str">
        <f t="shared" si="125"/>
        <v>Large</v>
      </c>
      <c r="W1018" t="str">
        <f>IF(S1018 &lt; VLOOKUP(E1018, Locality_Tier_Benchmarks!A:B, 2, FALSE) * 0.7, "Below Tier Range", "Normal")</f>
        <v>Normal</v>
      </c>
      <c r="X1018" t="str">
        <f t="shared" si="126"/>
        <v>Normal</v>
      </c>
      <c r="Y1018" t="str">
        <f t="shared" si="127"/>
        <v>Normal</v>
      </c>
      <c r="Z1018" t="str">
        <f t="shared" si="120"/>
        <v>Pass</v>
      </c>
    </row>
    <row r="1019" spans="1:26" x14ac:dyDescent="0.25">
      <c r="A1019" s="2" t="s">
        <v>2046</v>
      </c>
      <c r="B1019" t="s">
        <v>17</v>
      </c>
      <c r="C1019" t="s">
        <v>497</v>
      </c>
      <c r="D1019" s="2" t="str">
        <f>VLOOKUP(C1019,Locality_Reference!A:C,2,)</f>
        <v>Central Line</v>
      </c>
      <c r="E1019" s="2" t="str">
        <f>VLOOKUP(C1019,Locality_Reference!A:C,3,)</f>
        <v>Outer Periphery</v>
      </c>
      <c r="F1019" s="2" t="s">
        <v>2076</v>
      </c>
      <c r="G1019" s="8">
        <v>20000</v>
      </c>
      <c r="H1019">
        <v>3</v>
      </c>
      <c r="I1019">
        <v>2</v>
      </c>
      <c r="J1019">
        <v>4</v>
      </c>
      <c r="K1019">
        <v>8</v>
      </c>
      <c r="L1019">
        <v>900</v>
      </c>
      <c r="M1019" t="s">
        <v>36</v>
      </c>
      <c r="N1019" t="s">
        <v>15</v>
      </c>
      <c r="O1019" t="s">
        <v>16</v>
      </c>
      <c r="P1019" t="s">
        <v>31</v>
      </c>
      <c r="Q1019" t="str">
        <f t="shared" si="121"/>
        <v>3</v>
      </c>
      <c r="R1019" s="5">
        <v>46168</v>
      </c>
      <c r="S1019" s="8">
        <f t="shared" si="122"/>
        <v>22.222222222222221</v>
      </c>
      <c r="T1019">
        <f t="shared" si="123"/>
        <v>240000</v>
      </c>
      <c r="U1019" t="str">
        <f t="shared" si="124"/>
        <v>Budget</v>
      </c>
      <c r="V1019" t="str">
        <f t="shared" si="125"/>
        <v>Large</v>
      </c>
      <c r="W1019" t="str">
        <f>IF(S1019 &lt; VLOOKUP(E1019, Locality_Tier_Benchmarks!A:B, 2, FALSE) * 0.7, "Below Tier Range", "Normal")</f>
        <v>Normal</v>
      </c>
      <c r="X1019" t="str">
        <f t="shared" si="126"/>
        <v>Normal</v>
      </c>
      <c r="Y1019" t="str">
        <f t="shared" si="127"/>
        <v>Normal</v>
      </c>
      <c r="Z1019" t="str">
        <f t="shared" si="120"/>
        <v>Pass</v>
      </c>
    </row>
    <row r="1020" spans="1:26" x14ac:dyDescent="0.25">
      <c r="A1020" s="2" t="s">
        <v>2047</v>
      </c>
      <c r="B1020" t="s">
        <v>17</v>
      </c>
      <c r="C1020" t="s">
        <v>497</v>
      </c>
      <c r="D1020" s="2" t="str">
        <f>VLOOKUP(C1020,Locality_Reference!A:C,2,)</f>
        <v>Central Line</v>
      </c>
      <c r="E1020" s="2" t="str">
        <f>VLOOKUP(C1020,Locality_Reference!A:C,3,)</f>
        <v>Outer Periphery</v>
      </c>
      <c r="F1020" s="2" t="s">
        <v>2077</v>
      </c>
      <c r="G1020" s="8">
        <v>15000</v>
      </c>
      <c r="H1020">
        <v>3</v>
      </c>
      <c r="I1020">
        <v>3</v>
      </c>
      <c r="J1020">
        <v>4</v>
      </c>
      <c r="K1020">
        <v>7</v>
      </c>
      <c r="L1020">
        <v>865</v>
      </c>
      <c r="M1020" t="s">
        <v>36</v>
      </c>
      <c r="N1020" t="s">
        <v>29</v>
      </c>
      <c r="O1020" t="s">
        <v>16</v>
      </c>
      <c r="P1020" t="s">
        <v>23</v>
      </c>
      <c r="Q1020" t="str">
        <f t="shared" si="121"/>
        <v>10</v>
      </c>
      <c r="R1020" s="5">
        <v>46159</v>
      </c>
      <c r="S1020" s="8">
        <f t="shared" si="122"/>
        <v>17.341040462427745</v>
      </c>
      <c r="T1020">
        <f t="shared" si="123"/>
        <v>180000</v>
      </c>
      <c r="U1020" t="str">
        <f t="shared" si="124"/>
        <v>Budget</v>
      </c>
      <c r="V1020" t="str">
        <f t="shared" si="125"/>
        <v>Large</v>
      </c>
      <c r="W1020" t="str">
        <f>IF(S1020 &lt; VLOOKUP(E1020, Locality_Tier_Benchmarks!A:B, 2, FALSE) * 0.7, "Below Tier Range", "Normal")</f>
        <v>Normal</v>
      </c>
      <c r="X1020" t="str">
        <f t="shared" si="126"/>
        <v>Normal</v>
      </c>
      <c r="Y1020" t="str">
        <f t="shared" si="127"/>
        <v>Normal</v>
      </c>
      <c r="Z1020" t="str">
        <f t="shared" si="120"/>
        <v>Pass</v>
      </c>
    </row>
    <row r="1021" spans="1:26" x14ac:dyDescent="0.25">
      <c r="A1021" s="2" t="s">
        <v>2048</v>
      </c>
      <c r="B1021" t="s">
        <v>17</v>
      </c>
      <c r="C1021" t="s">
        <v>497</v>
      </c>
      <c r="D1021" s="2" t="str">
        <f>VLOOKUP(C1021,Locality_Reference!A:C,2,)</f>
        <v>Central Line</v>
      </c>
      <c r="E1021" s="2" t="str">
        <f>VLOOKUP(C1021,Locality_Reference!A:C,3,)</f>
        <v>Outer Periphery</v>
      </c>
      <c r="F1021" s="2" t="s">
        <v>2078</v>
      </c>
      <c r="G1021" s="8">
        <v>14000</v>
      </c>
      <c r="H1021">
        <v>3</v>
      </c>
      <c r="I1021">
        <v>2</v>
      </c>
      <c r="J1021">
        <v>4</v>
      </c>
      <c r="K1021">
        <v>8</v>
      </c>
      <c r="L1021">
        <v>606</v>
      </c>
      <c r="M1021" t="s">
        <v>36</v>
      </c>
      <c r="N1021" t="s">
        <v>15</v>
      </c>
      <c r="O1021" t="s">
        <v>16</v>
      </c>
      <c r="P1021" t="s">
        <v>31</v>
      </c>
      <c r="Q1021" t="str">
        <f t="shared" si="121"/>
        <v>3</v>
      </c>
      <c r="R1021" s="5">
        <v>46180</v>
      </c>
      <c r="S1021" s="8">
        <f t="shared" si="122"/>
        <v>23.102310231023104</v>
      </c>
      <c r="T1021">
        <f t="shared" si="123"/>
        <v>168000</v>
      </c>
      <c r="U1021" t="str">
        <f t="shared" si="124"/>
        <v>Budget</v>
      </c>
      <c r="V1021" t="str">
        <f t="shared" si="125"/>
        <v>Medium</v>
      </c>
      <c r="W1021" t="str">
        <f>IF(S1021 &lt; VLOOKUP(E1021, Locality_Tier_Benchmarks!A:B, 2, FALSE) * 0.7, "Below Tier Range", "Normal")</f>
        <v>Normal</v>
      </c>
      <c r="X1021" t="str">
        <f t="shared" si="126"/>
        <v>Normal</v>
      </c>
      <c r="Y1021" t="str">
        <f t="shared" si="127"/>
        <v>Normal</v>
      </c>
      <c r="Z1021" t="str">
        <f t="shared" si="120"/>
        <v>Pass</v>
      </c>
    </row>
    <row r="1022" spans="1:26" x14ac:dyDescent="0.25">
      <c r="A1022" s="2" t="s">
        <v>2049</v>
      </c>
      <c r="B1022" t="s">
        <v>17</v>
      </c>
      <c r="C1022" t="s">
        <v>498</v>
      </c>
      <c r="D1022" s="2" t="str">
        <f>VLOOKUP(C1022,Locality_Reference!A:C,2,)</f>
        <v>Harbour Line</v>
      </c>
      <c r="E1022" s="2" t="str">
        <f>VLOOKUP(C1022,Locality_Reference!A:C,3,)</f>
        <v>Mid Suburb</v>
      </c>
      <c r="F1022" s="2" t="s">
        <v>2079</v>
      </c>
      <c r="G1022" s="8">
        <v>78000</v>
      </c>
      <c r="H1022">
        <v>1</v>
      </c>
      <c r="I1022">
        <v>1</v>
      </c>
      <c r="J1022">
        <v>4</v>
      </c>
      <c r="K1022">
        <v>40</v>
      </c>
      <c r="L1022">
        <v>514</v>
      </c>
      <c r="M1022" t="s">
        <v>33</v>
      </c>
      <c r="N1022" t="s">
        <v>29</v>
      </c>
      <c r="O1022" t="s">
        <v>16</v>
      </c>
      <c r="P1022" t="s">
        <v>31</v>
      </c>
      <c r="Q1022" t="str">
        <f t="shared" si="121"/>
        <v>3</v>
      </c>
      <c r="R1022" s="5">
        <v>46151</v>
      </c>
      <c r="S1022" s="8">
        <f t="shared" si="122"/>
        <v>151.75097276264592</v>
      </c>
      <c r="T1022">
        <f t="shared" si="123"/>
        <v>936000</v>
      </c>
      <c r="U1022" t="str">
        <f t="shared" si="124"/>
        <v>Premium</v>
      </c>
      <c r="V1022" t="str">
        <f t="shared" si="125"/>
        <v>Medium</v>
      </c>
      <c r="W1022" t="str">
        <f>IF(S1022 &lt; VLOOKUP(E1022, Locality_Tier_Benchmarks!A:B, 2, FALSE) * 0.7, "Below Tier Range", "Normal")</f>
        <v>Normal</v>
      </c>
      <c r="X1022" t="str">
        <f t="shared" si="126"/>
        <v>Normal</v>
      </c>
      <c r="Y1022" t="str">
        <f t="shared" si="127"/>
        <v>Normal</v>
      </c>
      <c r="Z1022" t="str">
        <f t="shared" si="120"/>
        <v>Pass</v>
      </c>
    </row>
    <row r="1023" spans="1:26" x14ac:dyDescent="0.25">
      <c r="A1023" s="2" t="s">
        <v>2050</v>
      </c>
      <c r="B1023" t="s">
        <v>17</v>
      </c>
      <c r="C1023" t="s">
        <v>498</v>
      </c>
      <c r="D1023" s="2" t="str">
        <f>VLOOKUP(C1023,Locality_Reference!A:C,2,)</f>
        <v>Harbour Line</v>
      </c>
      <c r="E1023" s="2" t="str">
        <f>VLOOKUP(C1023,Locality_Reference!A:C,3,)</f>
        <v>Mid Suburb</v>
      </c>
      <c r="F1023" s="2" t="s">
        <v>2080</v>
      </c>
      <c r="G1023" s="8">
        <v>50000</v>
      </c>
      <c r="H1023">
        <v>1</v>
      </c>
      <c r="I1023">
        <v>2</v>
      </c>
      <c r="J1023">
        <v>13</v>
      </c>
      <c r="K1023">
        <v>22</v>
      </c>
      <c r="L1023">
        <v>359.5</v>
      </c>
      <c r="M1023" t="s">
        <v>36</v>
      </c>
      <c r="N1023" t="s">
        <v>29</v>
      </c>
      <c r="O1023" t="s">
        <v>16</v>
      </c>
      <c r="P1023" t="s">
        <v>34</v>
      </c>
      <c r="Q1023" t="str">
        <f t="shared" si="121"/>
        <v/>
      </c>
      <c r="R1023" s="5">
        <v>46199</v>
      </c>
      <c r="S1023" s="8">
        <f t="shared" si="122"/>
        <v>139.08205841446454</v>
      </c>
      <c r="T1023">
        <f t="shared" si="123"/>
        <v>600000</v>
      </c>
      <c r="U1023" t="str">
        <f t="shared" si="124"/>
        <v>Mid</v>
      </c>
      <c r="V1023" t="str">
        <f t="shared" si="125"/>
        <v>Compact</v>
      </c>
      <c r="W1023" t="str">
        <f>IF(S1023 &lt; VLOOKUP(E1023, Locality_Tier_Benchmarks!A:B, 2, FALSE) * 0.7, "Below Tier Range", "Normal")</f>
        <v>Normal</v>
      </c>
      <c r="X1023" t="str">
        <f t="shared" si="126"/>
        <v>Normal</v>
      </c>
      <c r="Y1023" t="str">
        <f t="shared" si="127"/>
        <v>Normal</v>
      </c>
      <c r="Z1023" t="str">
        <f t="shared" si="120"/>
        <v>Pass</v>
      </c>
    </row>
    <row r="1024" spans="1:26" x14ac:dyDescent="0.25">
      <c r="A1024" s="2" t="s">
        <v>2051</v>
      </c>
      <c r="B1024" t="s">
        <v>17</v>
      </c>
      <c r="C1024" t="s">
        <v>498</v>
      </c>
      <c r="D1024" s="2" t="str">
        <f>VLOOKUP(C1024,Locality_Reference!A:C,2,)</f>
        <v>Harbour Line</v>
      </c>
      <c r="E1024" s="2" t="str">
        <f>VLOOKUP(C1024,Locality_Reference!A:C,3,)</f>
        <v>Mid Suburb</v>
      </c>
      <c r="F1024" s="2" t="s">
        <v>2081</v>
      </c>
      <c r="G1024" s="8">
        <v>47000</v>
      </c>
      <c r="H1024">
        <v>1</v>
      </c>
      <c r="I1024">
        <v>1</v>
      </c>
      <c r="J1024">
        <v>5</v>
      </c>
      <c r="K1024">
        <v>7</v>
      </c>
      <c r="L1024">
        <v>450</v>
      </c>
      <c r="M1024" t="s">
        <v>33</v>
      </c>
      <c r="N1024" t="s">
        <v>29</v>
      </c>
      <c r="O1024" t="s">
        <v>16</v>
      </c>
      <c r="P1024" t="s">
        <v>34</v>
      </c>
      <c r="Q1024" t="str">
        <f t="shared" si="121"/>
        <v/>
      </c>
      <c r="R1024" s="5">
        <v>46195</v>
      </c>
      <c r="S1024" s="8">
        <f t="shared" si="122"/>
        <v>104.44444444444444</v>
      </c>
      <c r="T1024">
        <f t="shared" si="123"/>
        <v>564000</v>
      </c>
      <c r="U1024" t="str">
        <f t="shared" si="124"/>
        <v>Mid</v>
      </c>
      <c r="V1024" t="str">
        <f t="shared" si="125"/>
        <v>Compact</v>
      </c>
      <c r="W1024" t="str">
        <f>IF(S1024 &lt; VLOOKUP(E1024, Locality_Tier_Benchmarks!A:B, 2, FALSE) * 0.7, "Below Tier Range", "Normal")</f>
        <v>Normal</v>
      </c>
      <c r="X1024" t="str">
        <f t="shared" si="126"/>
        <v>Normal</v>
      </c>
      <c r="Y1024" t="str">
        <f t="shared" si="127"/>
        <v>Normal</v>
      </c>
      <c r="Z1024" t="str">
        <f t="shared" si="120"/>
        <v>Pass</v>
      </c>
    </row>
    <row r="1025" spans="1:26" x14ac:dyDescent="0.25">
      <c r="A1025" s="2" t="s">
        <v>2205</v>
      </c>
      <c r="B1025" t="s">
        <v>17</v>
      </c>
      <c r="C1025" t="s">
        <v>498</v>
      </c>
      <c r="D1025" s="2" t="str">
        <f>VLOOKUP(C1025,Locality_Reference!A:C,2,)</f>
        <v>Harbour Line</v>
      </c>
      <c r="E1025" s="2" t="str">
        <f>VLOOKUP(C1025,Locality_Reference!A:C,3,)</f>
        <v>Mid Suburb</v>
      </c>
      <c r="F1025" s="2" t="s">
        <v>2082</v>
      </c>
      <c r="G1025" s="8">
        <v>55000</v>
      </c>
      <c r="H1025">
        <v>1</v>
      </c>
      <c r="I1025">
        <v>2</v>
      </c>
      <c r="J1025">
        <v>13</v>
      </c>
      <c r="K1025">
        <v>14</v>
      </c>
      <c r="L1025">
        <v>450</v>
      </c>
      <c r="M1025" t="s">
        <v>36</v>
      </c>
      <c r="N1025" t="s">
        <v>29</v>
      </c>
      <c r="O1025" t="s">
        <v>16</v>
      </c>
      <c r="P1025" t="s">
        <v>23</v>
      </c>
      <c r="Q1025" t="str">
        <f t="shared" si="121"/>
        <v>10</v>
      </c>
      <c r="R1025" s="5">
        <v>46196</v>
      </c>
      <c r="S1025" s="8">
        <f t="shared" si="122"/>
        <v>122.22222222222223</v>
      </c>
      <c r="T1025">
        <f t="shared" si="123"/>
        <v>660000</v>
      </c>
      <c r="U1025" t="str">
        <f t="shared" si="124"/>
        <v>Mid</v>
      </c>
      <c r="V1025" t="str">
        <f t="shared" si="125"/>
        <v>Compact</v>
      </c>
      <c r="W1025" t="str">
        <f>IF(S1025 &lt; VLOOKUP(E1025, Locality_Tier_Benchmarks!A:B, 2, FALSE) * 0.7, "Below Tier Range", "Normal")</f>
        <v>Normal</v>
      </c>
      <c r="X1025" t="str">
        <f t="shared" si="126"/>
        <v>Normal</v>
      </c>
      <c r="Y1025" t="str">
        <f t="shared" si="127"/>
        <v>Normal</v>
      </c>
      <c r="Z1025" t="str">
        <f t="shared" si="120"/>
        <v>Pass</v>
      </c>
    </row>
    <row r="1026" spans="1:26" x14ac:dyDescent="0.25">
      <c r="A1026" s="2" t="s">
        <v>2206</v>
      </c>
      <c r="B1026" t="s">
        <v>17</v>
      </c>
      <c r="C1026" t="s">
        <v>498</v>
      </c>
      <c r="D1026" s="2" t="str">
        <f>VLOOKUP(C1026,Locality_Reference!A:C,2,)</f>
        <v>Harbour Line</v>
      </c>
      <c r="E1026" s="2" t="str">
        <f>VLOOKUP(C1026,Locality_Reference!A:C,3,)</f>
        <v>Mid Suburb</v>
      </c>
      <c r="F1026" s="2" t="s">
        <v>2083</v>
      </c>
      <c r="G1026" s="8">
        <v>50000</v>
      </c>
      <c r="H1026">
        <v>1</v>
      </c>
      <c r="I1026">
        <v>2</v>
      </c>
      <c r="J1026">
        <v>3</v>
      </c>
      <c r="K1026">
        <v>7</v>
      </c>
      <c r="L1026">
        <v>450</v>
      </c>
      <c r="M1026" t="s">
        <v>33</v>
      </c>
      <c r="N1026" t="s">
        <v>29</v>
      </c>
      <c r="O1026" t="s">
        <v>16</v>
      </c>
      <c r="P1026" t="s">
        <v>34</v>
      </c>
      <c r="Q1026" t="str">
        <f t="shared" si="121"/>
        <v/>
      </c>
      <c r="R1026" s="5">
        <v>46196</v>
      </c>
      <c r="S1026" s="8">
        <f t="shared" si="122"/>
        <v>111.11111111111111</v>
      </c>
      <c r="T1026">
        <f t="shared" si="123"/>
        <v>600000</v>
      </c>
      <c r="U1026" t="str">
        <f t="shared" si="124"/>
        <v>Mid</v>
      </c>
      <c r="V1026" t="str">
        <f t="shared" si="125"/>
        <v>Compact</v>
      </c>
      <c r="W1026" t="str">
        <f>IF(S1026 &lt; VLOOKUP(E1026, Locality_Tier_Benchmarks!A:B, 2, FALSE) * 0.7, "Below Tier Range", "Normal")</f>
        <v>Normal</v>
      </c>
      <c r="X1026" t="str">
        <f t="shared" si="126"/>
        <v>Normal</v>
      </c>
      <c r="Y1026" t="str">
        <f t="shared" si="127"/>
        <v>Normal</v>
      </c>
      <c r="Z1026" t="str">
        <f t="shared" ref="Z1026:Z1089" si="128">IF(OR(W1026&lt;&gt;"Normal",X1026&lt;&gt;"Normal",Y1026&lt;&gt;"Normal"),"Review","Pass")</f>
        <v>Pass</v>
      </c>
    </row>
    <row r="1027" spans="1:26" x14ac:dyDescent="0.25">
      <c r="A1027" s="2" t="s">
        <v>2207</v>
      </c>
      <c r="B1027" t="s">
        <v>17</v>
      </c>
      <c r="C1027" t="s">
        <v>498</v>
      </c>
      <c r="D1027" s="2" t="str">
        <f>VLOOKUP(C1027,Locality_Reference!A:C,2,)</f>
        <v>Harbour Line</v>
      </c>
      <c r="E1027" s="2" t="str">
        <f>VLOOKUP(C1027,Locality_Reference!A:C,3,)</f>
        <v>Mid Suburb</v>
      </c>
      <c r="F1027" s="2" t="s">
        <v>2079</v>
      </c>
      <c r="G1027" s="8">
        <v>140000</v>
      </c>
      <c r="H1027">
        <v>2</v>
      </c>
      <c r="I1027">
        <v>2</v>
      </c>
      <c r="J1027">
        <v>5</v>
      </c>
      <c r="K1027">
        <v>40</v>
      </c>
      <c r="L1027">
        <v>957</v>
      </c>
      <c r="M1027" t="s">
        <v>33</v>
      </c>
      <c r="N1027" t="s">
        <v>29</v>
      </c>
      <c r="O1027" t="s">
        <v>16</v>
      </c>
      <c r="P1027" t="s">
        <v>31</v>
      </c>
      <c r="Q1027" t="str">
        <f t="shared" ref="Q1027:Q1090" si="129">IF(P1027="20+ Years","20",IF(P1027="15-20 Years","17.5",IF(P1027="10+ Years","10",IF(P1027="5-10 Years","7.5",IF(P1027="1-5 Years","3",IF(P1027="0-1 Year","1",""))))))</f>
        <v>3</v>
      </c>
      <c r="R1027" s="5">
        <v>46191</v>
      </c>
      <c r="S1027" s="8">
        <f t="shared" ref="S1027:S1090" si="130">G1027/L1027</f>
        <v>146.29049111807731</v>
      </c>
      <c r="T1027">
        <f t="shared" ref="T1027:T1090" si="131">G1027*12</f>
        <v>1680000</v>
      </c>
      <c r="U1027" t="str">
        <f t="shared" ref="U1027:U1090" si="132">IF(G1027&lt;=30000,"Budget",IF(G1027&lt;=60000,"Mid",IF(G1027&lt;=100000,"Premium","Luxury")))</f>
        <v>Luxury</v>
      </c>
      <c r="V1027" t="str">
        <f t="shared" ref="V1027:V1090" si="133">IF(L1027&lt;=500,"Compact",IF(L1027&lt;=800,"Medium",IF(L1027&lt;=1200,"Large","Spacious")))</f>
        <v>Large</v>
      </c>
      <c r="W1027" t="str">
        <f>IF(S1027 &lt; VLOOKUP(E1027, Locality_Tier_Benchmarks!A:B, 2, FALSE) * 0.7, "Below Tier Range", "Normal")</f>
        <v>Normal</v>
      </c>
      <c r="X1027" t="str">
        <f t="shared" ref="X1027:X1090" si="134">IF(G1027&lt;7000,"Below Absolute Floor","Normal")</f>
        <v>Normal</v>
      </c>
      <c r="Y1027" t="str">
        <f t="shared" ref="Y1027:Y1090" si="135">IF(S1027&gt;500,"Possible Typo - Check Zero","Normal")</f>
        <v>Normal</v>
      </c>
      <c r="Z1027" t="str">
        <f t="shared" si="128"/>
        <v>Pass</v>
      </c>
    </row>
    <row r="1028" spans="1:26" x14ac:dyDescent="0.25">
      <c r="A1028" s="2" t="s">
        <v>2208</v>
      </c>
      <c r="B1028" t="s">
        <v>17</v>
      </c>
      <c r="C1028" t="s">
        <v>498</v>
      </c>
      <c r="D1028" s="2" t="str">
        <f>VLOOKUP(C1028,Locality_Reference!A:C,2,)</f>
        <v>Harbour Line</v>
      </c>
      <c r="E1028" s="2" t="str">
        <f>VLOOKUP(C1028,Locality_Reference!A:C,3,)</f>
        <v>Mid Suburb</v>
      </c>
      <c r="F1028" s="2" t="s">
        <v>2084</v>
      </c>
      <c r="G1028" s="8">
        <v>80000</v>
      </c>
      <c r="H1028">
        <v>2</v>
      </c>
      <c r="I1028">
        <v>2</v>
      </c>
      <c r="J1028">
        <v>0</v>
      </c>
      <c r="K1028">
        <v>4</v>
      </c>
      <c r="L1028">
        <v>620</v>
      </c>
      <c r="M1028" t="s">
        <v>36</v>
      </c>
      <c r="N1028" t="s">
        <v>29</v>
      </c>
      <c r="O1028" t="s">
        <v>16</v>
      </c>
      <c r="P1028" t="s">
        <v>23</v>
      </c>
      <c r="Q1028" t="str">
        <f t="shared" si="129"/>
        <v>10</v>
      </c>
      <c r="R1028" s="5">
        <v>46189</v>
      </c>
      <c r="S1028" s="8">
        <f t="shared" si="130"/>
        <v>129.03225806451613</v>
      </c>
      <c r="T1028">
        <f t="shared" si="131"/>
        <v>960000</v>
      </c>
      <c r="U1028" t="str">
        <f t="shared" si="132"/>
        <v>Premium</v>
      </c>
      <c r="V1028" t="str">
        <f t="shared" si="133"/>
        <v>Medium</v>
      </c>
      <c r="W1028" t="str">
        <f>IF(S1028 &lt; VLOOKUP(E1028, Locality_Tier_Benchmarks!A:B, 2, FALSE) * 0.7, "Below Tier Range", "Normal")</f>
        <v>Normal</v>
      </c>
      <c r="X1028" t="str">
        <f t="shared" si="134"/>
        <v>Normal</v>
      </c>
      <c r="Y1028" t="str">
        <f t="shared" si="135"/>
        <v>Normal</v>
      </c>
      <c r="Z1028" t="str">
        <f t="shared" si="128"/>
        <v>Pass</v>
      </c>
    </row>
    <row r="1029" spans="1:26" x14ac:dyDescent="0.25">
      <c r="A1029" s="2" t="s">
        <v>2209</v>
      </c>
      <c r="B1029" t="s">
        <v>17</v>
      </c>
      <c r="C1029" t="s">
        <v>498</v>
      </c>
      <c r="D1029" s="2" t="str">
        <f>VLOOKUP(C1029,Locality_Reference!A:C,2,)</f>
        <v>Harbour Line</v>
      </c>
      <c r="E1029" s="2" t="str">
        <f>VLOOKUP(C1029,Locality_Reference!A:C,3,)</f>
        <v>Mid Suburb</v>
      </c>
      <c r="F1029" s="2" t="s">
        <v>2085</v>
      </c>
      <c r="G1029" s="8">
        <v>110000</v>
      </c>
      <c r="H1029">
        <v>2</v>
      </c>
      <c r="I1029">
        <v>2</v>
      </c>
      <c r="J1029">
        <v>27</v>
      </c>
      <c r="K1029">
        <v>50</v>
      </c>
      <c r="L1029">
        <v>684</v>
      </c>
      <c r="M1029" t="s">
        <v>33</v>
      </c>
      <c r="N1029" t="s">
        <v>15</v>
      </c>
      <c r="O1029" t="s">
        <v>16</v>
      </c>
      <c r="P1029" t="s">
        <v>31</v>
      </c>
      <c r="Q1029" t="str">
        <f t="shared" si="129"/>
        <v>3</v>
      </c>
      <c r="R1029" s="5">
        <v>46150</v>
      </c>
      <c r="S1029" s="8">
        <f t="shared" si="130"/>
        <v>160.81871345029239</v>
      </c>
      <c r="T1029">
        <f t="shared" si="131"/>
        <v>1320000</v>
      </c>
      <c r="U1029" t="str">
        <f t="shared" si="132"/>
        <v>Luxury</v>
      </c>
      <c r="V1029" t="str">
        <f t="shared" si="133"/>
        <v>Medium</v>
      </c>
      <c r="W1029" t="str">
        <f>IF(S1029 &lt; VLOOKUP(E1029, Locality_Tier_Benchmarks!A:B, 2, FALSE) * 0.7, "Below Tier Range", "Normal")</f>
        <v>Normal</v>
      </c>
      <c r="X1029" t="str">
        <f t="shared" si="134"/>
        <v>Normal</v>
      </c>
      <c r="Y1029" t="str">
        <f t="shared" si="135"/>
        <v>Normal</v>
      </c>
      <c r="Z1029" t="str">
        <f t="shared" si="128"/>
        <v>Pass</v>
      </c>
    </row>
    <row r="1030" spans="1:26" x14ac:dyDescent="0.25">
      <c r="A1030" s="2" t="s">
        <v>2210</v>
      </c>
      <c r="B1030" t="s">
        <v>17</v>
      </c>
      <c r="C1030" t="s">
        <v>498</v>
      </c>
      <c r="D1030" s="2" t="str">
        <f>VLOOKUP(C1030,Locality_Reference!A:C,2,)</f>
        <v>Harbour Line</v>
      </c>
      <c r="E1030" s="2" t="str">
        <f>VLOOKUP(C1030,Locality_Reference!A:C,3,)</f>
        <v>Mid Suburb</v>
      </c>
      <c r="F1030" s="2" t="s">
        <v>2086</v>
      </c>
      <c r="G1030" s="8">
        <v>89000</v>
      </c>
      <c r="H1030">
        <v>2</v>
      </c>
      <c r="I1030">
        <v>2</v>
      </c>
      <c r="J1030">
        <v>4</v>
      </c>
      <c r="K1030">
        <v>8</v>
      </c>
      <c r="L1030">
        <v>700</v>
      </c>
      <c r="M1030" t="s">
        <v>36</v>
      </c>
      <c r="N1030" t="s">
        <v>15</v>
      </c>
      <c r="O1030" t="s">
        <v>16</v>
      </c>
      <c r="P1030" t="s">
        <v>34</v>
      </c>
      <c r="Q1030" t="str">
        <f t="shared" si="129"/>
        <v/>
      </c>
      <c r="R1030" s="5">
        <v>46188</v>
      </c>
      <c r="S1030" s="8">
        <f t="shared" si="130"/>
        <v>127.14285714285714</v>
      </c>
      <c r="T1030">
        <f t="shared" si="131"/>
        <v>1068000</v>
      </c>
      <c r="U1030" t="str">
        <f t="shared" si="132"/>
        <v>Premium</v>
      </c>
      <c r="V1030" t="str">
        <f t="shared" si="133"/>
        <v>Medium</v>
      </c>
      <c r="W1030" t="str">
        <f>IF(S1030 &lt; VLOOKUP(E1030, Locality_Tier_Benchmarks!A:B, 2, FALSE) * 0.7, "Below Tier Range", "Normal")</f>
        <v>Normal</v>
      </c>
      <c r="X1030" t="str">
        <f t="shared" si="134"/>
        <v>Normal</v>
      </c>
      <c r="Y1030" t="str">
        <f t="shared" si="135"/>
        <v>Normal</v>
      </c>
      <c r="Z1030" t="str">
        <f t="shared" si="128"/>
        <v>Pass</v>
      </c>
    </row>
    <row r="1031" spans="1:26" x14ac:dyDescent="0.25">
      <c r="A1031" s="2" t="s">
        <v>2211</v>
      </c>
      <c r="B1031" t="s">
        <v>17</v>
      </c>
      <c r="C1031" t="s">
        <v>498</v>
      </c>
      <c r="D1031" s="2" t="str">
        <f>VLOOKUP(C1031,Locality_Reference!A:C,2,)</f>
        <v>Harbour Line</v>
      </c>
      <c r="E1031" s="2" t="str">
        <f>VLOOKUP(C1031,Locality_Reference!A:C,3,)</f>
        <v>Mid Suburb</v>
      </c>
      <c r="F1031" s="2" t="s">
        <v>2087</v>
      </c>
      <c r="G1031" s="8">
        <v>130000</v>
      </c>
      <c r="H1031">
        <v>2</v>
      </c>
      <c r="I1031">
        <v>2</v>
      </c>
      <c r="J1031">
        <v>29</v>
      </c>
      <c r="K1031">
        <v>43</v>
      </c>
      <c r="L1031">
        <v>926</v>
      </c>
      <c r="M1031" t="s">
        <v>36</v>
      </c>
      <c r="N1031" t="s">
        <v>29</v>
      </c>
      <c r="O1031" t="s">
        <v>16</v>
      </c>
      <c r="P1031" t="s">
        <v>52</v>
      </c>
      <c r="Q1031" t="str">
        <f t="shared" si="129"/>
        <v>7.5</v>
      </c>
      <c r="R1031" s="5">
        <v>46191</v>
      </c>
      <c r="S1031" s="8">
        <f t="shared" si="130"/>
        <v>140.38876889848811</v>
      </c>
      <c r="T1031">
        <f t="shared" si="131"/>
        <v>1560000</v>
      </c>
      <c r="U1031" t="str">
        <f t="shared" si="132"/>
        <v>Luxury</v>
      </c>
      <c r="V1031" t="str">
        <f t="shared" si="133"/>
        <v>Large</v>
      </c>
      <c r="W1031" t="str">
        <f>IF(S1031 &lt; VLOOKUP(E1031, Locality_Tier_Benchmarks!A:B, 2, FALSE) * 0.7, "Below Tier Range", "Normal")</f>
        <v>Normal</v>
      </c>
      <c r="X1031" t="str">
        <f t="shared" si="134"/>
        <v>Normal</v>
      </c>
      <c r="Y1031" t="str">
        <f t="shared" si="135"/>
        <v>Normal</v>
      </c>
      <c r="Z1031" t="str">
        <f t="shared" si="128"/>
        <v>Pass</v>
      </c>
    </row>
    <row r="1032" spans="1:26" x14ac:dyDescent="0.25">
      <c r="A1032" s="2" t="s">
        <v>2212</v>
      </c>
      <c r="B1032" t="s">
        <v>17</v>
      </c>
      <c r="C1032" t="s">
        <v>498</v>
      </c>
      <c r="D1032" s="2" t="str">
        <f>VLOOKUP(C1032,Locality_Reference!A:C,2,)</f>
        <v>Harbour Line</v>
      </c>
      <c r="E1032" s="2" t="str">
        <f>VLOOKUP(C1032,Locality_Reference!A:C,3,)</f>
        <v>Mid Suburb</v>
      </c>
      <c r="F1032" s="2" t="s">
        <v>2088</v>
      </c>
      <c r="G1032" s="8">
        <v>170000</v>
      </c>
      <c r="H1032">
        <v>3</v>
      </c>
      <c r="I1032">
        <v>3</v>
      </c>
      <c r="J1032">
        <v>18</v>
      </c>
      <c r="K1032">
        <v>40</v>
      </c>
      <c r="L1032">
        <v>1116</v>
      </c>
      <c r="M1032" t="s">
        <v>33</v>
      </c>
      <c r="N1032" t="s">
        <v>29</v>
      </c>
      <c r="O1032" t="s">
        <v>16</v>
      </c>
      <c r="P1032" t="s">
        <v>47</v>
      </c>
      <c r="Q1032" t="str">
        <f t="shared" si="129"/>
        <v>1</v>
      </c>
      <c r="R1032" s="5">
        <v>46174</v>
      </c>
      <c r="S1032" s="8">
        <f t="shared" si="130"/>
        <v>152.32974910394265</v>
      </c>
      <c r="T1032">
        <f t="shared" si="131"/>
        <v>2040000</v>
      </c>
      <c r="U1032" t="str">
        <f t="shared" si="132"/>
        <v>Luxury</v>
      </c>
      <c r="V1032" t="str">
        <f t="shared" si="133"/>
        <v>Large</v>
      </c>
      <c r="W1032" t="str">
        <f>IF(S1032 &lt; VLOOKUP(E1032, Locality_Tier_Benchmarks!A:B, 2, FALSE) * 0.7, "Below Tier Range", "Normal")</f>
        <v>Normal</v>
      </c>
      <c r="X1032" t="str">
        <f t="shared" si="134"/>
        <v>Normal</v>
      </c>
      <c r="Y1032" t="str">
        <f t="shared" si="135"/>
        <v>Normal</v>
      </c>
      <c r="Z1032" t="str">
        <f t="shared" si="128"/>
        <v>Pass</v>
      </c>
    </row>
    <row r="1033" spans="1:26" x14ac:dyDescent="0.25">
      <c r="A1033" s="2" t="s">
        <v>2213</v>
      </c>
      <c r="B1033" t="s">
        <v>17</v>
      </c>
      <c r="C1033" t="s">
        <v>498</v>
      </c>
      <c r="D1033" s="2" t="str">
        <f>VLOOKUP(C1033,Locality_Reference!A:C,2,)</f>
        <v>Harbour Line</v>
      </c>
      <c r="E1033" s="2" t="str">
        <f>VLOOKUP(C1033,Locality_Reference!A:C,3,)</f>
        <v>Mid Suburb</v>
      </c>
      <c r="F1033" s="2" t="s">
        <v>2085</v>
      </c>
      <c r="G1033" s="8">
        <v>170000</v>
      </c>
      <c r="H1033">
        <v>3</v>
      </c>
      <c r="I1033">
        <v>3</v>
      </c>
      <c r="J1033">
        <v>22</v>
      </c>
      <c r="K1033">
        <v>50</v>
      </c>
      <c r="L1033">
        <v>1191</v>
      </c>
      <c r="M1033" t="s">
        <v>36</v>
      </c>
      <c r="N1033" t="s">
        <v>15</v>
      </c>
      <c r="O1033" t="s">
        <v>16</v>
      </c>
      <c r="P1033" t="s">
        <v>31</v>
      </c>
      <c r="Q1033" t="str">
        <f t="shared" si="129"/>
        <v>3</v>
      </c>
      <c r="R1033" s="5">
        <v>46163</v>
      </c>
      <c r="S1033" s="8">
        <f t="shared" si="130"/>
        <v>142.73719563392106</v>
      </c>
      <c r="T1033">
        <f t="shared" si="131"/>
        <v>2040000</v>
      </c>
      <c r="U1033" t="str">
        <f t="shared" si="132"/>
        <v>Luxury</v>
      </c>
      <c r="V1033" t="str">
        <f t="shared" si="133"/>
        <v>Large</v>
      </c>
      <c r="W1033" t="str">
        <f>IF(S1033 &lt; VLOOKUP(E1033, Locality_Tier_Benchmarks!A:B, 2, FALSE) * 0.7, "Below Tier Range", "Normal")</f>
        <v>Normal</v>
      </c>
      <c r="X1033" t="str">
        <f t="shared" si="134"/>
        <v>Normal</v>
      </c>
      <c r="Y1033" t="str">
        <f t="shared" si="135"/>
        <v>Normal</v>
      </c>
      <c r="Z1033" t="str">
        <f t="shared" si="128"/>
        <v>Pass</v>
      </c>
    </row>
    <row r="1034" spans="1:26" x14ac:dyDescent="0.25">
      <c r="A1034" s="2" t="s">
        <v>2214</v>
      </c>
      <c r="B1034" t="s">
        <v>17</v>
      </c>
      <c r="C1034" t="s">
        <v>498</v>
      </c>
      <c r="D1034" s="2" t="str">
        <f>VLOOKUP(C1034,Locality_Reference!A:C,2,)</f>
        <v>Harbour Line</v>
      </c>
      <c r="E1034" s="2" t="str">
        <f>VLOOKUP(C1034,Locality_Reference!A:C,3,)</f>
        <v>Mid Suburb</v>
      </c>
      <c r="F1034" s="2" t="s">
        <v>2089</v>
      </c>
      <c r="G1034" s="8">
        <v>181000</v>
      </c>
      <c r="H1034">
        <v>3</v>
      </c>
      <c r="I1034">
        <v>3</v>
      </c>
      <c r="J1034">
        <v>22</v>
      </c>
      <c r="K1034">
        <v>43</v>
      </c>
      <c r="L1034">
        <v>1538</v>
      </c>
      <c r="M1034" t="s">
        <v>33</v>
      </c>
      <c r="N1034" t="s">
        <v>29</v>
      </c>
      <c r="O1034" t="s">
        <v>16</v>
      </c>
      <c r="P1034" t="s">
        <v>31</v>
      </c>
      <c r="Q1034" t="str">
        <f t="shared" si="129"/>
        <v>3</v>
      </c>
      <c r="R1034" s="5">
        <v>46191</v>
      </c>
      <c r="S1034" s="8">
        <f t="shared" si="130"/>
        <v>117.6853055916775</v>
      </c>
      <c r="T1034">
        <f t="shared" si="131"/>
        <v>2172000</v>
      </c>
      <c r="U1034" t="str">
        <f t="shared" si="132"/>
        <v>Luxury</v>
      </c>
      <c r="V1034" t="str">
        <f t="shared" si="133"/>
        <v>Spacious</v>
      </c>
      <c r="W1034" t="str">
        <f>IF(S1034 &lt; VLOOKUP(E1034, Locality_Tier_Benchmarks!A:B, 2, FALSE) * 0.7, "Below Tier Range", "Normal")</f>
        <v>Normal</v>
      </c>
      <c r="X1034" t="str">
        <f t="shared" si="134"/>
        <v>Normal</v>
      </c>
      <c r="Y1034" t="str">
        <f t="shared" si="135"/>
        <v>Normal</v>
      </c>
      <c r="Z1034" t="str">
        <f t="shared" si="128"/>
        <v>Pass</v>
      </c>
    </row>
    <row r="1035" spans="1:26" x14ac:dyDescent="0.25">
      <c r="A1035" s="2" t="s">
        <v>2215</v>
      </c>
      <c r="B1035" t="s">
        <v>17</v>
      </c>
      <c r="C1035" t="s">
        <v>498</v>
      </c>
      <c r="D1035" s="2" t="str">
        <f>VLOOKUP(C1035,Locality_Reference!A:C,2,)</f>
        <v>Harbour Line</v>
      </c>
      <c r="E1035" s="2" t="str">
        <f>VLOOKUP(C1035,Locality_Reference!A:C,3,)</f>
        <v>Mid Suburb</v>
      </c>
      <c r="F1035" s="2" t="s">
        <v>2090</v>
      </c>
      <c r="G1035" s="8">
        <v>145000</v>
      </c>
      <c r="H1035">
        <v>3</v>
      </c>
      <c r="I1035">
        <v>2</v>
      </c>
      <c r="J1035">
        <v>23</v>
      </c>
      <c r="K1035">
        <v>42</v>
      </c>
      <c r="L1035">
        <v>1086</v>
      </c>
      <c r="M1035" t="s">
        <v>33</v>
      </c>
      <c r="N1035" t="s">
        <v>29</v>
      </c>
      <c r="O1035" t="s">
        <v>16</v>
      </c>
      <c r="P1035" t="s">
        <v>52</v>
      </c>
      <c r="Q1035" t="str">
        <f t="shared" si="129"/>
        <v>7.5</v>
      </c>
      <c r="R1035" s="5">
        <v>46191</v>
      </c>
      <c r="S1035" s="8">
        <f t="shared" si="130"/>
        <v>133.51749539594843</v>
      </c>
      <c r="T1035">
        <f t="shared" si="131"/>
        <v>1740000</v>
      </c>
      <c r="U1035" t="str">
        <f t="shared" si="132"/>
        <v>Luxury</v>
      </c>
      <c r="V1035" t="str">
        <f t="shared" si="133"/>
        <v>Large</v>
      </c>
      <c r="W1035" t="str">
        <f>IF(S1035 &lt; VLOOKUP(E1035, Locality_Tier_Benchmarks!A:B, 2, FALSE) * 0.7, "Below Tier Range", "Normal")</f>
        <v>Normal</v>
      </c>
      <c r="X1035" t="str">
        <f t="shared" si="134"/>
        <v>Normal</v>
      </c>
      <c r="Y1035" t="str">
        <f t="shared" si="135"/>
        <v>Normal</v>
      </c>
      <c r="Z1035" t="str">
        <f t="shared" si="128"/>
        <v>Pass</v>
      </c>
    </row>
    <row r="1036" spans="1:26" x14ac:dyDescent="0.25">
      <c r="A1036" s="2" t="s">
        <v>2216</v>
      </c>
      <c r="B1036" t="s">
        <v>17</v>
      </c>
      <c r="C1036" t="s">
        <v>498</v>
      </c>
      <c r="D1036" s="2" t="str">
        <f>VLOOKUP(C1036,Locality_Reference!A:C,2,)</f>
        <v>Harbour Line</v>
      </c>
      <c r="E1036" s="2" t="str">
        <f>VLOOKUP(C1036,Locality_Reference!A:C,3,)</f>
        <v>Mid Suburb</v>
      </c>
      <c r="F1036" s="2" t="s">
        <v>2091</v>
      </c>
      <c r="G1036" s="8">
        <v>230000</v>
      </c>
      <c r="H1036">
        <v>3</v>
      </c>
      <c r="I1036">
        <v>4</v>
      </c>
      <c r="J1036">
        <v>29</v>
      </c>
      <c r="K1036">
        <v>41</v>
      </c>
      <c r="L1036">
        <v>1661</v>
      </c>
      <c r="M1036" t="s">
        <v>36</v>
      </c>
      <c r="N1036" t="s">
        <v>29</v>
      </c>
      <c r="O1036" t="s">
        <v>16</v>
      </c>
      <c r="P1036" t="s">
        <v>34</v>
      </c>
      <c r="Q1036" t="str">
        <f t="shared" si="129"/>
        <v/>
      </c>
      <c r="R1036" s="5">
        <v>46202</v>
      </c>
      <c r="S1036" s="8">
        <f t="shared" si="130"/>
        <v>138.47080072245635</v>
      </c>
      <c r="T1036">
        <f t="shared" si="131"/>
        <v>2760000</v>
      </c>
      <c r="U1036" t="str">
        <f t="shared" si="132"/>
        <v>Luxury</v>
      </c>
      <c r="V1036" t="str">
        <f t="shared" si="133"/>
        <v>Spacious</v>
      </c>
      <c r="W1036" t="str">
        <f>IF(S1036 &lt; VLOOKUP(E1036, Locality_Tier_Benchmarks!A:B, 2, FALSE) * 0.7, "Below Tier Range", "Normal")</f>
        <v>Normal</v>
      </c>
      <c r="X1036" t="str">
        <f t="shared" si="134"/>
        <v>Normal</v>
      </c>
      <c r="Y1036" t="str">
        <f t="shared" si="135"/>
        <v>Normal</v>
      </c>
      <c r="Z1036" t="str">
        <f t="shared" si="128"/>
        <v>Pass</v>
      </c>
    </row>
    <row r="1037" spans="1:26" x14ac:dyDescent="0.25">
      <c r="A1037" s="2" t="s">
        <v>2217</v>
      </c>
      <c r="B1037" t="s">
        <v>17</v>
      </c>
      <c r="C1037" t="s">
        <v>2092</v>
      </c>
      <c r="D1037" s="2" t="str">
        <f>VLOOKUP(C1037,Locality_Reference!A:C,2,)</f>
        <v>Harbour Line</v>
      </c>
      <c r="E1037" s="2" t="str">
        <f>VLOOKUP(C1037,Locality_Reference!A:C,3,)</f>
        <v>Mid Suburb</v>
      </c>
      <c r="F1037" s="2" t="s">
        <v>2094</v>
      </c>
      <c r="G1037" s="8">
        <v>45000</v>
      </c>
      <c r="H1037">
        <v>1</v>
      </c>
      <c r="I1037">
        <v>2</v>
      </c>
      <c r="J1037">
        <v>3</v>
      </c>
      <c r="K1037">
        <v>18</v>
      </c>
      <c r="L1037">
        <v>470</v>
      </c>
      <c r="M1037" t="s">
        <v>36</v>
      </c>
      <c r="N1037" t="s">
        <v>29</v>
      </c>
      <c r="O1037" t="s">
        <v>16</v>
      </c>
      <c r="P1037" t="s">
        <v>34</v>
      </c>
      <c r="Q1037" t="str">
        <f t="shared" si="129"/>
        <v/>
      </c>
      <c r="R1037" s="5">
        <v>46202</v>
      </c>
      <c r="S1037" s="8">
        <f t="shared" si="130"/>
        <v>95.744680851063833</v>
      </c>
      <c r="T1037">
        <f t="shared" si="131"/>
        <v>540000</v>
      </c>
      <c r="U1037" t="str">
        <f t="shared" si="132"/>
        <v>Mid</v>
      </c>
      <c r="V1037" t="str">
        <f t="shared" si="133"/>
        <v>Compact</v>
      </c>
      <c r="W1037" t="str">
        <f>IF(S1037 &lt; VLOOKUP(E1037, Locality_Tier_Benchmarks!A:B, 2, FALSE) * 0.7, "Below Tier Range", "Normal")</f>
        <v>Normal</v>
      </c>
      <c r="X1037" t="str">
        <f t="shared" si="134"/>
        <v>Normal</v>
      </c>
      <c r="Y1037" t="str">
        <f t="shared" si="135"/>
        <v>Normal</v>
      </c>
      <c r="Z1037" t="str">
        <f t="shared" si="128"/>
        <v>Pass</v>
      </c>
    </row>
    <row r="1038" spans="1:26" x14ac:dyDescent="0.25">
      <c r="A1038" s="2" t="s">
        <v>2218</v>
      </c>
      <c r="B1038" t="s">
        <v>17</v>
      </c>
      <c r="C1038" t="s">
        <v>2092</v>
      </c>
      <c r="D1038" s="2" t="str">
        <f>VLOOKUP(C1038,Locality_Reference!A:C,2,)</f>
        <v>Harbour Line</v>
      </c>
      <c r="E1038" s="2" t="str">
        <f>VLOOKUP(C1038,Locality_Reference!A:C,3,)</f>
        <v>Mid Suburb</v>
      </c>
      <c r="F1038" s="2" t="s">
        <v>2095</v>
      </c>
      <c r="G1038" s="8">
        <v>58000</v>
      </c>
      <c r="H1038">
        <v>1</v>
      </c>
      <c r="I1038">
        <v>2</v>
      </c>
      <c r="J1038">
        <v>7</v>
      </c>
      <c r="K1038">
        <v>18</v>
      </c>
      <c r="L1038">
        <v>500</v>
      </c>
      <c r="M1038" t="s">
        <v>36</v>
      </c>
      <c r="N1038" t="s">
        <v>15</v>
      </c>
      <c r="O1038" t="s">
        <v>16</v>
      </c>
      <c r="P1038" t="s">
        <v>34</v>
      </c>
      <c r="Q1038" t="str">
        <f t="shared" si="129"/>
        <v/>
      </c>
      <c r="R1038" s="5">
        <v>46190</v>
      </c>
      <c r="S1038" s="8">
        <f t="shared" si="130"/>
        <v>116</v>
      </c>
      <c r="T1038">
        <f t="shared" si="131"/>
        <v>696000</v>
      </c>
      <c r="U1038" t="str">
        <f t="shared" si="132"/>
        <v>Mid</v>
      </c>
      <c r="V1038" t="str">
        <f t="shared" si="133"/>
        <v>Compact</v>
      </c>
      <c r="W1038" t="str">
        <f>IF(S1038 &lt; VLOOKUP(E1038, Locality_Tier_Benchmarks!A:B, 2, FALSE) * 0.7, "Below Tier Range", "Normal")</f>
        <v>Normal</v>
      </c>
      <c r="X1038" t="str">
        <f t="shared" si="134"/>
        <v>Normal</v>
      </c>
      <c r="Y1038" t="str">
        <f t="shared" si="135"/>
        <v>Normal</v>
      </c>
      <c r="Z1038" t="str">
        <f t="shared" si="128"/>
        <v>Pass</v>
      </c>
    </row>
    <row r="1039" spans="1:26" x14ac:dyDescent="0.25">
      <c r="A1039" s="2" t="s">
        <v>2219</v>
      </c>
      <c r="B1039" t="s">
        <v>17</v>
      </c>
      <c r="C1039" t="s">
        <v>2092</v>
      </c>
      <c r="D1039" s="2" t="str">
        <f>VLOOKUP(C1039,Locality_Reference!A:C,2,)</f>
        <v>Harbour Line</v>
      </c>
      <c r="E1039" s="2" t="str">
        <f>VLOOKUP(C1039,Locality_Reference!A:C,3,)</f>
        <v>Mid Suburb</v>
      </c>
      <c r="F1039" s="2" t="s">
        <v>2096</v>
      </c>
      <c r="G1039" s="8">
        <v>70000</v>
      </c>
      <c r="H1039">
        <v>1</v>
      </c>
      <c r="I1039">
        <v>2</v>
      </c>
      <c r="J1039">
        <v>5</v>
      </c>
      <c r="K1039">
        <v>15</v>
      </c>
      <c r="L1039">
        <v>520</v>
      </c>
      <c r="M1039" t="s">
        <v>33</v>
      </c>
      <c r="N1039" t="s">
        <v>15</v>
      </c>
      <c r="O1039" t="s">
        <v>16</v>
      </c>
      <c r="P1039" t="s">
        <v>34</v>
      </c>
      <c r="Q1039" t="str">
        <f t="shared" si="129"/>
        <v/>
      </c>
      <c r="R1039" s="5">
        <v>46192</v>
      </c>
      <c r="S1039" s="8">
        <f t="shared" si="130"/>
        <v>134.61538461538461</v>
      </c>
      <c r="T1039">
        <f t="shared" si="131"/>
        <v>840000</v>
      </c>
      <c r="U1039" t="str">
        <f t="shared" si="132"/>
        <v>Premium</v>
      </c>
      <c r="V1039" t="str">
        <f t="shared" si="133"/>
        <v>Medium</v>
      </c>
      <c r="W1039" t="str">
        <f>IF(S1039 &lt; VLOOKUP(E1039, Locality_Tier_Benchmarks!A:B, 2, FALSE) * 0.7, "Below Tier Range", "Normal")</f>
        <v>Normal</v>
      </c>
      <c r="X1039" t="str">
        <f t="shared" si="134"/>
        <v>Normal</v>
      </c>
      <c r="Y1039" t="str">
        <f t="shared" si="135"/>
        <v>Normal</v>
      </c>
      <c r="Z1039" t="str">
        <f t="shared" si="128"/>
        <v>Pass</v>
      </c>
    </row>
    <row r="1040" spans="1:26" x14ac:dyDescent="0.25">
      <c r="A1040" s="2" t="s">
        <v>2220</v>
      </c>
      <c r="B1040" t="s">
        <v>17</v>
      </c>
      <c r="C1040" t="s">
        <v>2092</v>
      </c>
      <c r="D1040" s="2" t="str">
        <f>VLOOKUP(C1040,Locality_Reference!A:C,2,)</f>
        <v>Harbour Line</v>
      </c>
      <c r="E1040" s="2" t="str">
        <f>VLOOKUP(C1040,Locality_Reference!A:C,3,)</f>
        <v>Mid Suburb</v>
      </c>
      <c r="F1040" s="2" t="s">
        <v>2097</v>
      </c>
      <c r="G1040" s="8">
        <v>52000</v>
      </c>
      <c r="H1040">
        <v>1</v>
      </c>
      <c r="I1040">
        <v>1</v>
      </c>
      <c r="J1040">
        <v>5</v>
      </c>
      <c r="K1040">
        <v>17</v>
      </c>
      <c r="L1040">
        <v>522</v>
      </c>
      <c r="M1040" t="s">
        <v>36</v>
      </c>
      <c r="N1040" t="s">
        <v>29</v>
      </c>
      <c r="O1040" t="s">
        <v>16</v>
      </c>
      <c r="P1040" t="s">
        <v>31</v>
      </c>
      <c r="Q1040" t="str">
        <f t="shared" si="129"/>
        <v>3</v>
      </c>
      <c r="R1040" s="5">
        <v>46202</v>
      </c>
      <c r="S1040" s="8">
        <f t="shared" si="130"/>
        <v>99.616858237547888</v>
      </c>
      <c r="T1040">
        <f t="shared" si="131"/>
        <v>624000</v>
      </c>
      <c r="U1040" t="str">
        <f t="shared" si="132"/>
        <v>Mid</v>
      </c>
      <c r="V1040" t="str">
        <f t="shared" si="133"/>
        <v>Medium</v>
      </c>
      <c r="W1040" t="str">
        <f>IF(S1040 &lt; VLOOKUP(E1040, Locality_Tier_Benchmarks!A:B, 2, FALSE) * 0.7, "Below Tier Range", "Normal")</f>
        <v>Normal</v>
      </c>
      <c r="X1040" t="str">
        <f t="shared" si="134"/>
        <v>Normal</v>
      </c>
      <c r="Y1040" t="str">
        <f t="shared" si="135"/>
        <v>Normal</v>
      </c>
      <c r="Z1040" t="str">
        <f t="shared" si="128"/>
        <v>Pass</v>
      </c>
    </row>
    <row r="1041" spans="1:26" x14ac:dyDescent="0.25">
      <c r="A1041" s="2" t="s">
        <v>2221</v>
      </c>
      <c r="B1041" t="s">
        <v>17</v>
      </c>
      <c r="C1041" t="s">
        <v>2092</v>
      </c>
      <c r="D1041" s="2" t="str">
        <f>VLOOKUP(C1041,Locality_Reference!A:C,2,)</f>
        <v>Harbour Line</v>
      </c>
      <c r="E1041" s="2" t="str">
        <f>VLOOKUP(C1041,Locality_Reference!A:C,3,)</f>
        <v>Mid Suburb</v>
      </c>
      <c r="F1041" s="2" t="s">
        <v>2098</v>
      </c>
      <c r="G1041" s="8">
        <v>45000</v>
      </c>
      <c r="H1041">
        <v>1</v>
      </c>
      <c r="I1041">
        <v>1</v>
      </c>
      <c r="J1041">
        <v>7</v>
      </c>
      <c r="K1041">
        <v>7</v>
      </c>
      <c r="L1041">
        <v>425</v>
      </c>
      <c r="M1041" t="s">
        <v>36</v>
      </c>
      <c r="N1041" t="s">
        <v>15</v>
      </c>
      <c r="O1041" t="s">
        <v>16</v>
      </c>
      <c r="P1041" t="s">
        <v>23</v>
      </c>
      <c r="Q1041" t="str">
        <f t="shared" si="129"/>
        <v>10</v>
      </c>
      <c r="R1041" s="5">
        <v>46189</v>
      </c>
      <c r="S1041" s="8">
        <f t="shared" si="130"/>
        <v>105.88235294117646</v>
      </c>
      <c r="T1041">
        <f t="shared" si="131"/>
        <v>540000</v>
      </c>
      <c r="U1041" t="str">
        <f t="shared" si="132"/>
        <v>Mid</v>
      </c>
      <c r="V1041" t="str">
        <f t="shared" si="133"/>
        <v>Compact</v>
      </c>
      <c r="W1041" t="str">
        <f>IF(S1041 &lt; VLOOKUP(E1041, Locality_Tier_Benchmarks!A:B, 2, FALSE) * 0.7, "Below Tier Range", "Normal")</f>
        <v>Normal</v>
      </c>
      <c r="X1041" t="str">
        <f t="shared" si="134"/>
        <v>Normal</v>
      </c>
      <c r="Y1041" t="str">
        <f t="shared" si="135"/>
        <v>Normal</v>
      </c>
      <c r="Z1041" t="str">
        <f t="shared" si="128"/>
        <v>Pass</v>
      </c>
    </row>
    <row r="1042" spans="1:26" x14ac:dyDescent="0.25">
      <c r="A1042" s="2" t="s">
        <v>2222</v>
      </c>
      <c r="B1042" t="s">
        <v>17</v>
      </c>
      <c r="C1042" t="s">
        <v>2092</v>
      </c>
      <c r="D1042" s="2" t="str">
        <f>VLOOKUP(C1042,Locality_Reference!A:C,2,)</f>
        <v>Harbour Line</v>
      </c>
      <c r="E1042" s="2" t="str">
        <f>VLOOKUP(C1042,Locality_Reference!A:C,3,)</f>
        <v>Mid Suburb</v>
      </c>
      <c r="F1042" s="2" t="s">
        <v>2099</v>
      </c>
      <c r="G1042" s="8">
        <v>75000</v>
      </c>
      <c r="H1042">
        <v>2</v>
      </c>
      <c r="I1042">
        <v>2</v>
      </c>
      <c r="J1042">
        <v>7</v>
      </c>
      <c r="K1042">
        <v>15</v>
      </c>
      <c r="L1042">
        <v>777</v>
      </c>
      <c r="M1042" t="s">
        <v>33</v>
      </c>
      <c r="N1042" t="s">
        <v>29</v>
      </c>
      <c r="O1042" t="s">
        <v>16</v>
      </c>
      <c r="P1042" t="s">
        <v>47</v>
      </c>
      <c r="Q1042" t="str">
        <f t="shared" si="129"/>
        <v>1</v>
      </c>
      <c r="R1042" s="5">
        <v>46191</v>
      </c>
      <c r="S1042" s="8">
        <f t="shared" si="130"/>
        <v>96.525096525096529</v>
      </c>
      <c r="T1042">
        <f t="shared" si="131"/>
        <v>900000</v>
      </c>
      <c r="U1042" t="str">
        <f t="shared" si="132"/>
        <v>Premium</v>
      </c>
      <c r="V1042" t="str">
        <f t="shared" si="133"/>
        <v>Medium</v>
      </c>
      <c r="W1042" t="str">
        <f>IF(S1042 &lt; VLOOKUP(E1042, Locality_Tier_Benchmarks!A:B, 2, FALSE) * 0.7, "Below Tier Range", "Normal")</f>
        <v>Normal</v>
      </c>
      <c r="X1042" t="str">
        <f t="shared" si="134"/>
        <v>Normal</v>
      </c>
      <c r="Y1042" t="str">
        <f t="shared" si="135"/>
        <v>Normal</v>
      </c>
      <c r="Z1042" t="str">
        <f t="shared" si="128"/>
        <v>Pass</v>
      </c>
    </row>
    <row r="1043" spans="1:26" x14ac:dyDescent="0.25">
      <c r="A1043" s="2" t="s">
        <v>2223</v>
      </c>
      <c r="B1043" t="s">
        <v>17</v>
      </c>
      <c r="C1043" t="s">
        <v>2092</v>
      </c>
      <c r="D1043" s="2" t="str">
        <f>VLOOKUP(C1043,Locality_Reference!A:C,2,)</f>
        <v>Harbour Line</v>
      </c>
      <c r="E1043" s="2" t="str">
        <f>VLOOKUP(C1043,Locality_Reference!A:C,3,)</f>
        <v>Mid Suburb</v>
      </c>
      <c r="F1043" s="2" t="s">
        <v>2100</v>
      </c>
      <c r="G1043" s="8">
        <v>95000</v>
      </c>
      <c r="H1043">
        <v>2</v>
      </c>
      <c r="I1043">
        <v>2</v>
      </c>
      <c r="J1043">
        <v>7</v>
      </c>
      <c r="K1043">
        <v>9</v>
      </c>
      <c r="L1043">
        <v>750</v>
      </c>
      <c r="M1043" t="s">
        <v>14</v>
      </c>
      <c r="N1043" t="s">
        <v>15</v>
      </c>
      <c r="O1043" t="s">
        <v>16</v>
      </c>
      <c r="P1043" t="s">
        <v>34</v>
      </c>
      <c r="Q1043" t="str">
        <f t="shared" si="129"/>
        <v/>
      </c>
      <c r="R1043" s="5">
        <v>46198</v>
      </c>
      <c r="S1043" s="8">
        <f t="shared" si="130"/>
        <v>126.66666666666667</v>
      </c>
      <c r="T1043">
        <f t="shared" si="131"/>
        <v>1140000</v>
      </c>
      <c r="U1043" t="str">
        <f t="shared" si="132"/>
        <v>Premium</v>
      </c>
      <c r="V1043" t="str">
        <f t="shared" si="133"/>
        <v>Medium</v>
      </c>
      <c r="W1043" t="str">
        <f>IF(S1043 &lt; VLOOKUP(E1043, Locality_Tier_Benchmarks!A:B, 2, FALSE) * 0.7, "Below Tier Range", "Normal")</f>
        <v>Normal</v>
      </c>
      <c r="X1043" t="str">
        <f t="shared" si="134"/>
        <v>Normal</v>
      </c>
      <c r="Y1043" t="str">
        <f t="shared" si="135"/>
        <v>Normal</v>
      </c>
      <c r="Z1043" t="str">
        <f t="shared" si="128"/>
        <v>Pass</v>
      </c>
    </row>
    <row r="1044" spans="1:26" x14ac:dyDescent="0.25">
      <c r="A1044" s="2" t="s">
        <v>2224</v>
      </c>
      <c r="B1044" t="s">
        <v>17</v>
      </c>
      <c r="C1044" t="s">
        <v>2092</v>
      </c>
      <c r="D1044" s="2" t="str">
        <f>VLOOKUP(C1044,Locality_Reference!A:C,2,)</f>
        <v>Harbour Line</v>
      </c>
      <c r="E1044" s="2" t="str">
        <f>VLOOKUP(C1044,Locality_Reference!A:C,3,)</f>
        <v>Mid Suburb</v>
      </c>
      <c r="F1044" s="2" t="s">
        <v>2101</v>
      </c>
      <c r="G1044" s="8">
        <v>100000</v>
      </c>
      <c r="H1044">
        <v>2</v>
      </c>
      <c r="I1044">
        <v>2</v>
      </c>
      <c r="J1044">
        <v>9</v>
      </c>
      <c r="K1044">
        <v>20</v>
      </c>
      <c r="L1044">
        <v>837.97</v>
      </c>
      <c r="M1044" t="s">
        <v>36</v>
      </c>
      <c r="N1044" t="s">
        <v>29</v>
      </c>
      <c r="O1044" t="s">
        <v>16</v>
      </c>
      <c r="P1044" t="s">
        <v>47</v>
      </c>
      <c r="Q1044" t="str">
        <f t="shared" si="129"/>
        <v>1</v>
      </c>
      <c r="R1044" s="5">
        <v>46202</v>
      </c>
      <c r="S1044" s="8">
        <f t="shared" si="130"/>
        <v>119.33601441579054</v>
      </c>
      <c r="T1044">
        <f t="shared" si="131"/>
        <v>1200000</v>
      </c>
      <c r="U1044" t="str">
        <f t="shared" si="132"/>
        <v>Premium</v>
      </c>
      <c r="V1044" t="str">
        <f t="shared" si="133"/>
        <v>Large</v>
      </c>
      <c r="W1044" t="str">
        <f>IF(S1044 &lt; VLOOKUP(E1044, Locality_Tier_Benchmarks!A:B, 2, FALSE) * 0.7, "Below Tier Range", "Normal")</f>
        <v>Normal</v>
      </c>
      <c r="X1044" t="str">
        <f t="shared" si="134"/>
        <v>Normal</v>
      </c>
      <c r="Y1044" t="str">
        <f t="shared" si="135"/>
        <v>Normal</v>
      </c>
      <c r="Z1044" t="str">
        <f t="shared" si="128"/>
        <v>Pass</v>
      </c>
    </row>
    <row r="1045" spans="1:26" x14ac:dyDescent="0.25">
      <c r="A1045" s="2" t="s">
        <v>2225</v>
      </c>
      <c r="B1045" t="s">
        <v>17</v>
      </c>
      <c r="C1045" t="s">
        <v>2092</v>
      </c>
      <c r="D1045" s="2" t="str">
        <f>VLOOKUP(C1045,Locality_Reference!A:C,2,)</f>
        <v>Harbour Line</v>
      </c>
      <c r="E1045" s="2" t="str">
        <f>VLOOKUP(C1045,Locality_Reference!A:C,3,)</f>
        <v>Mid Suburb</v>
      </c>
      <c r="F1045" s="2" t="s">
        <v>2102</v>
      </c>
      <c r="G1045" s="8">
        <v>80000</v>
      </c>
      <c r="H1045">
        <v>2</v>
      </c>
      <c r="I1045">
        <v>2</v>
      </c>
      <c r="J1045">
        <v>8</v>
      </c>
      <c r="K1045">
        <v>15</v>
      </c>
      <c r="L1045">
        <v>750</v>
      </c>
      <c r="M1045" t="s">
        <v>36</v>
      </c>
      <c r="N1045" t="s">
        <v>29</v>
      </c>
      <c r="O1045" t="s">
        <v>16</v>
      </c>
      <c r="P1045" t="s">
        <v>34</v>
      </c>
      <c r="Q1045" t="str">
        <f t="shared" si="129"/>
        <v/>
      </c>
      <c r="R1045" s="5">
        <v>46183</v>
      </c>
      <c r="S1045" s="8">
        <f t="shared" si="130"/>
        <v>106.66666666666667</v>
      </c>
      <c r="T1045">
        <f t="shared" si="131"/>
        <v>960000</v>
      </c>
      <c r="U1045" t="str">
        <f t="shared" si="132"/>
        <v>Premium</v>
      </c>
      <c r="V1045" t="str">
        <f t="shared" si="133"/>
        <v>Medium</v>
      </c>
      <c r="W1045" t="str">
        <f>IF(S1045 &lt; VLOOKUP(E1045, Locality_Tier_Benchmarks!A:B, 2, FALSE) * 0.7, "Below Tier Range", "Normal")</f>
        <v>Normal</v>
      </c>
      <c r="X1045" t="str">
        <f t="shared" si="134"/>
        <v>Normal</v>
      </c>
      <c r="Y1045" t="str">
        <f t="shared" si="135"/>
        <v>Normal</v>
      </c>
      <c r="Z1045" t="str">
        <f t="shared" si="128"/>
        <v>Pass</v>
      </c>
    </row>
    <row r="1046" spans="1:26" x14ac:dyDescent="0.25">
      <c r="A1046" s="2" t="s">
        <v>2226</v>
      </c>
      <c r="B1046" t="s">
        <v>17</v>
      </c>
      <c r="C1046" t="s">
        <v>2092</v>
      </c>
      <c r="D1046" s="2" t="str">
        <f>VLOOKUP(C1046,Locality_Reference!A:C,2,)</f>
        <v>Harbour Line</v>
      </c>
      <c r="E1046" s="2" t="str">
        <f>VLOOKUP(C1046,Locality_Reference!A:C,3,)</f>
        <v>Mid Suburb</v>
      </c>
      <c r="F1046" s="2" t="s">
        <v>2103</v>
      </c>
      <c r="G1046" s="8">
        <v>75000</v>
      </c>
      <c r="H1046">
        <v>2</v>
      </c>
      <c r="I1046">
        <v>2</v>
      </c>
      <c r="J1046">
        <v>8</v>
      </c>
      <c r="K1046">
        <v>14</v>
      </c>
      <c r="L1046">
        <v>700</v>
      </c>
      <c r="M1046" t="s">
        <v>36</v>
      </c>
      <c r="N1046" t="s">
        <v>29</v>
      </c>
      <c r="O1046" t="s">
        <v>16</v>
      </c>
      <c r="P1046" t="s">
        <v>31</v>
      </c>
      <c r="Q1046" t="str">
        <f t="shared" si="129"/>
        <v>3</v>
      </c>
      <c r="R1046" s="5">
        <v>46197</v>
      </c>
      <c r="S1046" s="8">
        <f t="shared" si="130"/>
        <v>107.14285714285714</v>
      </c>
      <c r="T1046">
        <f t="shared" si="131"/>
        <v>900000</v>
      </c>
      <c r="U1046" t="str">
        <f t="shared" si="132"/>
        <v>Premium</v>
      </c>
      <c r="V1046" t="str">
        <f t="shared" si="133"/>
        <v>Medium</v>
      </c>
      <c r="W1046" t="str">
        <f>IF(S1046 &lt; VLOOKUP(E1046, Locality_Tier_Benchmarks!A:B, 2, FALSE) * 0.7, "Below Tier Range", "Normal")</f>
        <v>Normal</v>
      </c>
      <c r="X1046" t="str">
        <f t="shared" si="134"/>
        <v>Normal</v>
      </c>
      <c r="Y1046" t="str">
        <f t="shared" si="135"/>
        <v>Normal</v>
      </c>
      <c r="Z1046" t="str">
        <f t="shared" si="128"/>
        <v>Pass</v>
      </c>
    </row>
    <row r="1047" spans="1:26" x14ac:dyDescent="0.25">
      <c r="A1047" s="2" t="s">
        <v>2227</v>
      </c>
      <c r="B1047" t="s">
        <v>17</v>
      </c>
      <c r="C1047" t="s">
        <v>2092</v>
      </c>
      <c r="D1047" s="2" t="str">
        <f>VLOOKUP(C1047,Locality_Reference!A:C,2,)</f>
        <v>Harbour Line</v>
      </c>
      <c r="E1047" s="2" t="str">
        <f>VLOOKUP(C1047,Locality_Reference!A:C,3,)</f>
        <v>Mid Suburb</v>
      </c>
      <c r="F1047" s="2" t="s">
        <v>2098</v>
      </c>
      <c r="G1047" s="8">
        <v>140000</v>
      </c>
      <c r="H1047">
        <v>3</v>
      </c>
      <c r="I1047">
        <v>3</v>
      </c>
      <c r="J1047">
        <v>8</v>
      </c>
      <c r="K1047">
        <v>12</v>
      </c>
      <c r="L1047">
        <v>1550</v>
      </c>
      <c r="M1047" t="s">
        <v>33</v>
      </c>
      <c r="N1047" t="s">
        <v>29</v>
      </c>
      <c r="O1047" t="s">
        <v>16</v>
      </c>
      <c r="P1047" t="s">
        <v>34</v>
      </c>
      <c r="Q1047" t="str">
        <f t="shared" si="129"/>
        <v/>
      </c>
      <c r="R1047" s="5">
        <v>46199</v>
      </c>
      <c r="S1047" s="8">
        <f t="shared" si="130"/>
        <v>90.322580645161295</v>
      </c>
      <c r="T1047">
        <f t="shared" si="131"/>
        <v>1680000</v>
      </c>
      <c r="U1047" t="str">
        <f t="shared" si="132"/>
        <v>Luxury</v>
      </c>
      <c r="V1047" t="str">
        <f t="shared" si="133"/>
        <v>Spacious</v>
      </c>
      <c r="W1047" t="str">
        <f>IF(S1047 &lt; VLOOKUP(E1047, Locality_Tier_Benchmarks!A:B, 2, FALSE) * 0.7, "Below Tier Range", "Normal")</f>
        <v>Normal</v>
      </c>
      <c r="X1047" t="str">
        <f t="shared" si="134"/>
        <v>Normal</v>
      </c>
      <c r="Y1047" t="str">
        <f t="shared" si="135"/>
        <v>Normal</v>
      </c>
      <c r="Z1047" t="str">
        <f t="shared" si="128"/>
        <v>Pass</v>
      </c>
    </row>
    <row r="1048" spans="1:26" x14ac:dyDescent="0.25">
      <c r="A1048" s="2" t="s">
        <v>2228</v>
      </c>
      <c r="B1048" t="s">
        <v>17</v>
      </c>
      <c r="C1048" t="s">
        <v>2092</v>
      </c>
      <c r="D1048" s="2" t="str">
        <f>VLOOKUP(C1048,Locality_Reference!A:C,2,)</f>
        <v>Harbour Line</v>
      </c>
      <c r="E1048" s="2" t="str">
        <f>VLOOKUP(C1048,Locality_Reference!A:C,3,)</f>
        <v>Mid Suburb</v>
      </c>
      <c r="F1048" s="2" t="s">
        <v>2104</v>
      </c>
      <c r="G1048" s="8">
        <v>270000</v>
      </c>
      <c r="H1048">
        <v>3</v>
      </c>
      <c r="I1048">
        <v>3</v>
      </c>
      <c r="J1048">
        <v>15</v>
      </c>
      <c r="K1048">
        <v>15</v>
      </c>
      <c r="L1048">
        <v>2400</v>
      </c>
      <c r="M1048" t="s">
        <v>33</v>
      </c>
      <c r="N1048" t="s">
        <v>29</v>
      </c>
      <c r="O1048" t="s">
        <v>16</v>
      </c>
      <c r="P1048" t="s">
        <v>31</v>
      </c>
      <c r="Q1048" t="str">
        <f t="shared" si="129"/>
        <v>3</v>
      </c>
      <c r="R1048" s="5">
        <v>46189</v>
      </c>
      <c r="S1048" s="8">
        <f t="shared" si="130"/>
        <v>112.5</v>
      </c>
      <c r="T1048">
        <f t="shared" si="131"/>
        <v>3240000</v>
      </c>
      <c r="U1048" t="str">
        <f t="shared" si="132"/>
        <v>Luxury</v>
      </c>
      <c r="V1048" t="str">
        <f t="shared" si="133"/>
        <v>Spacious</v>
      </c>
      <c r="W1048" t="str">
        <f>IF(S1048 &lt; VLOOKUP(E1048, Locality_Tier_Benchmarks!A:B, 2, FALSE) * 0.7, "Below Tier Range", "Normal")</f>
        <v>Normal</v>
      </c>
      <c r="X1048" t="str">
        <f t="shared" si="134"/>
        <v>Normal</v>
      </c>
      <c r="Y1048" t="str">
        <f t="shared" si="135"/>
        <v>Normal</v>
      </c>
      <c r="Z1048" t="str">
        <f t="shared" si="128"/>
        <v>Pass</v>
      </c>
    </row>
    <row r="1049" spans="1:26" x14ac:dyDescent="0.25">
      <c r="A1049" s="2" t="s">
        <v>2229</v>
      </c>
      <c r="B1049" t="s">
        <v>17</v>
      </c>
      <c r="C1049" t="s">
        <v>2092</v>
      </c>
      <c r="D1049" s="2" t="str">
        <f>VLOOKUP(C1049,Locality_Reference!A:C,2,)</f>
        <v>Harbour Line</v>
      </c>
      <c r="E1049" s="2" t="str">
        <f>VLOOKUP(C1049,Locality_Reference!A:C,3,)</f>
        <v>Mid Suburb</v>
      </c>
      <c r="F1049" s="2" t="s">
        <v>2105</v>
      </c>
      <c r="G1049" s="8">
        <v>125000</v>
      </c>
      <c r="H1049">
        <v>3</v>
      </c>
      <c r="I1049">
        <v>3</v>
      </c>
      <c r="J1049">
        <v>9</v>
      </c>
      <c r="K1049">
        <v>14</v>
      </c>
      <c r="L1049">
        <v>1100</v>
      </c>
      <c r="M1049" t="s">
        <v>14</v>
      </c>
      <c r="N1049" t="s">
        <v>15</v>
      </c>
      <c r="O1049" t="s">
        <v>16</v>
      </c>
      <c r="P1049" t="s">
        <v>52</v>
      </c>
      <c r="Q1049" t="str">
        <f t="shared" si="129"/>
        <v>7.5</v>
      </c>
      <c r="R1049" s="5">
        <v>46171</v>
      </c>
      <c r="S1049" s="8">
        <f t="shared" si="130"/>
        <v>113.63636363636364</v>
      </c>
      <c r="T1049">
        <f t="shared" si="131"/>
        <v>1500000</v>
      </c>
      <c r="U1049" t="str">
        <f t="shared" si="132"/>
        <v>Luxury</v>
      </c>
      <c r="V1049" t="str">
        <f t="shared" si="133"/>
        <v>Large</v>
      </c>
      <c r="W1049" t="str">
        <f>IF(S1049 &lt; VLOOKUP(E1049, Locality_Tier_Benchmarks!A:B, 2, FALSE) * 0.7, "Below Tier Range", "Normal")</f>
        <v>Normal</v>
      </c>
      <c r="X1049" t="str">
        <f t="shared" si="134"/>
        <v>Normal</v>
      </c>
      <c r="Y1049" t="str">
        <f t="shared" si="135"/>
        <v>Normal</v>
      </c>
      <c r="Z1049" t="str">
        <f t="shared" si="128"/>
        <v>Pass</v>
      </c>
    </row>
    <row r="1050" spans="1:26" x14ac:dyDescent="0.25">
      <c r="A1050" s="2" t="s">
        <v>2230</v>
      </c>
      <c r="B1050" t="s">
        <v>17</v>
      </c>
      <c r="C1050" t="s">
        <v>2092</v>
      </c>
      <c r="D1050" s="2" t="str">
        <f>VLOOKUP(C1050,Locality_Reference!A:C,2,)</f>
        <v>Harbour Line</v>
      </c>
      <c r="E1050" s="2" t="str">
        <f>VLOOKUP(C1050,Locality_Reference!A:C,3,)</f>
        <v>Mid Suburb</v>
      </c>
      <c r="F1050" s="2" t="s">
        <v>2106</v>
      </c>
      <c r="G1050" s="8">
        <v>280000</v>
      </c>
      <c r="H1050">
        <v>3</v>
      </c>
      <c r="I1050">
        <v>3</v>
      </c>
      <c r="J1050">
        <v>18</v>
      </c>
      <c r="K1050">
        <v>20</v>
      </c>
      <c r="L1050">
        <v>2300</v>
      </c>
      <c r="M1050" t="s">
        <v>36</v>
      </c>
      <c r="N1050" t="s">
        <v>29</v>
      </c>
      <c r="O1050" t="s">
        <v>16</v>
      </c>
      <c r="P1050" t="s">
        <v>34</v>
      </c>
      <c r="Q1050" t="str">
        <f t="shared" si="129"/>
        <v/>
      </c>
      <c r="R1050" s="5">
        <v>46188</v>
      </c>
      <c r="S1050" s="8">
        <f t="shared" si="130"/>
        <v>121.73913043478261</v>
      </c>
      <c r="T1050">
        <f t="shared" si="131"/>
        <v>3360000</v>
      </c>
      <c r="U1050" t="str">
        <f t="shared" si="132"/>
        <v>Luxury</v>
      </c>
      <c r="V1050" t="str">
        <f t="shared" si="133"/>
        <v>Spacious</v>
      </c>
      <c r="W1050" t="str">
        <f>IF(S1050 &lt; VLOOKUP(E1050, Locality_Tier_Benchmarks!A:B, 2, FALSE) * 0.7, "Below Tier Range", "Normal")</f>
        <v>Normal</v>
      </c>
      <c r="X1050" t="str">
        <f t="shared" si="134"/>
        <v>Normal</v>
      </c>
      <c r="Y1050" t="str">
        <f t="shared" si="135"/>
        <v>Normal</v>
      </c>
      <c r="Z1050" t="str">
        <f t="shared" si="128"/>
        <v>Pass</v>
      </c>
    </row>
    <row r="1051" spans="1:26" x14ac:dyDescent="0.25">
      <c r="A1051" s="2" t="s">
        <v>2231</v>
      </c>
      <c r="B1051" t="s">
        <v>17</v>
      </c>
      <c r="C1051" t="s">
        <v>2092</v>
      </c>
      <c r="D1051" s="2" t="str">
        <f>VLOOKUP(C1051,Locality_Reference!A:C,2,)</f>
        <v>Harbour Line</v>
      </c>
      <c r="E1051" s="2" t="str">
        <f>VLOOKUP(C1051,Locality_Reference!A:C,3,)</f>
        <v>Mid Suburb</v>
      </c>
      <c r="F1051" s="2" t="s">
        <v>2107</v>
      </c>
      <c r="G1051" s="8">
        <v>102000</v>
      </c>
      <c r="H1051">
        <v>3</v>
      </c>
      <c r="I1051">
        <v>3</v>
      </c>
      <c r="J1051">
        <v>2</v>
      </c>
      <c r="K1051">
        <v>3</v>
      </c>
      <c r="L1051">
        <v>1150</v>
      </c>
      <c r="M1051" t="s">
        <v>14</v>
      </c>
      <c r="N1051" t="s">
        <v>29</v>
      </c>
      <c r="O1051" t="s">
        <v>16</v>
      </c>
      <c r="P1051" t="s">
        <v>23</v>
      </c>
      <c r="Q1051" t="str">
        <f t="shared" si="129"/>
        <v>10</v>
      </c>
      <c r="R1051" s="5">
        <v>46191</v>
      </c>
      <c r="S1051" s="8">
        <f t="shared" si="130"/>
        <v>88.695652173913047</v>
      </c>
      <c r="T1051">
        <f t="shared" si="131"/>
        <v>1224000</v>
      </c>
      <c r="U1051" t="str">
        <f t="shared" si="132"/>
        <v>Luxury</v>
      </c>
      <c r="V1051" t="str">
        <f t="shared" si="133"/>
        <v>Large</v>
      </c>
      <c r="W1051" t="str">
        <f>IF(S1051 &lt; VLOOKUP(E1051, Locality_Tier_Benchmarks!A:B, 2, FALSE) * 0.7, "Below Tier Range", "Normal")</f>
        <v>Normal</v>
      </c>
      <c r="X1051" t="str">
        <f t="shared" si="134"/>
        <v>Normal</v>
      </c>
      <c r="Y1051" t="str">
        <f t="shared" si="135"/>
        <v>Normal</v>
      </c>
      <c r="Z1051" t="str">
        <f t="shared" si="128"/>
        <v>Pass</v>
      </c>
    </row>
    <row r="1052" spans="1:26" x14ac:dyDescent="0.25">
      <c r="A1052" s="2" t="s">
        <v>2232</v>
      </c>
      <c r="B1052" t="s">
        <v>17</v>
      </c>
      <c r="C1052" t="s">
        <v>2093</v>
      </c>
      <c r="D1052" s="2" t="str">
        <f>VLOOKUP(C1052,Locality_Reference!A:C,2,)</f>
        <v>Harbour Line</v>
      </c>
      <c r="E1052" s="2" t="str">
        <f>VLOOKUP(C1052,Locality_Reference!A:C,3,)</f>
        <v>Mid Suburb</v>
      </c>
      <c r="F1052" s="2" t="s">
        <v>2108</v>
      </c>
      <c r="G1052" s="8">
        <v>37000</v>
      </c>
      <c r="H1052">
        <v>1</v>
      </c>
      <c r="I1052">
        <v>2</v>
      </c>
      <c r="J1052">
        <v>1</v>
      </c>
      <c r="K1052">
        <v>3</v>
      </c>
      <c r="L1052">
        <v>510</v>
      </c>
      <c r="M1052" t="s">
        <v>36</v>
      </c>
      <c r="N1052" t="s">
        <v>29</v>
      </c>
      <c r="O1052" t="s">
        <v>16</v>
      </c>
      <c r="P1052" t="s">
        <v>34</v>
      </c>
      <c r="Q1052" t="str">
        <f t="shared" si="129"/>
        <v/>
      </c>
      <c r="R1052" s="5">
        <v>46190</v>
      </c>
      <c r="S1052" s="8">
        <f t="shared" si="130"/>
        <v>72.549019607843135</v>
      </c>
      <c r="T1052">
        <f t="shared" si="131"/>
        <v>444000</v>
      </c>
      <c r="U1052" t="str">
        <f t="shared" si="132"/>
        <v>Mid</v>
      </c>
      <c r="V1052" t="str">
        <f t="shared" si="133"/>
        <v>Medium</v>
      </c>
      <c r="W1052" t="str">
        <f>IF(S1052 &lt; VLOOKUP(E1052, Locality_Tier_Benchmarks!A:B, 2, FALSE) * 0.7, "Below Tier Range", "Normal")</f>
        <v>Normal</v>
      </c>
      <c r="X1052" t="str">
        <f t="shared" si="134"/>
        <v>Normal</v>
      </c>
      <c r="Y1052" t="str">
        <f t="shared" si="135"/>
        <v>Normal</v>
      </c>
      <c r="Z1052" t="str">
        <f t="shared" si="128"/>
        <v>Pass</v>
      </c>
    </row>
    <row r="1053" spans="1:26" x14ac:dyDescent="0.25">
      <c r="A1053" s="2" t="s">
        <v>2233</v>
      </c>
      <c r="B1053" t="s">
        <v>17</v>
      </c>
      <c r="C1053" t="s">
        <v>2093</v>
      </c>
      <c r="D1053" s="2" t="str">
        <f>VLOOKUP(C1053,Locality_Reference!A:C,2,)</f>
        <v>Harbour Line</v>
      </c>
      <c r="E1053" s="2" t="str">
        <f>VLOOKUP(C1053,Locality_Reference!A:C,3,)</f>
        <v>Mid Suburb</v>
      </c>
      <c r="F1053" s="2" t="s">
        <v>2109</v>
      </c>
      <c r="G1053" s="8">
        <v>40000</v>
      </c>
      <c r="H1053">
        <v>1</v>
      </c>
      <c r="I1053">
        <v>2</v>
      </c>
      <c r="J1053">
        <v>3</v>
      </c>
      <c r="K1053">
        <v>7</v>
      </c>
      <c r="L1053">
        <v>450</v>
      </c>
      <c r="M1053" t="s">
        <v>33</v>
      </c>
      <c r="N1053" t="s">
        <v>15</v>
      </c>
      <c r="O1053" t="s">
        <v>16</v>
      </c>
      <c r="P1053" t="s">
        <v>34</v>
      </c>
      <c r="Q1053" t="str">
        <f t="shared" si="129"/>
        <v/>
      </c>
      <c r="R1053" s="5">
        <v>46199</v>
      </c>
      <c r="S1053" s="8">
        <f t="shared" si="130"/>
        <v>88.888888888888886</v>
      </c>
      <c r="T1053">
        <f t="shared" si="131"/>
        <v>480000</v>
      </c>
      <c r="U1053" t="str">
        <f t="shared" si="132"/>
        <v>Mid</v>
      </c>
      <c r="V1053" t="str">
        <f t="shared" si="133"/>
        <v>Compact</v>
      </c>
      <c r="W1053" t="str">
        <f>IF(S1053 &lt; VLOOKUP(E1053, Locality_Tier_Benchmarks!A:B, 2, FALSE) * 0.7, "Below Tier Range", "Normal")</f>
        <v>Normal</v>
      </c>
      <c r="X1053" t="str">
        <f t="shared" si="134"/>
        <v>Normal</v>
      </c>
      <c r="Y1053" t="str">
        <f t="shared" si="135"/>
        <v>Normal</v>
      </c>
      <c r="Z1053" t="str">
        <f t="shared" si="128"/>
        <v>Pass</v>
      </c>
    </row>
    <row r="1054" spans="1:26" x14ac:dyDescent="0.25">
      <c r="A1054" s="2" t="s">
        <v>2234</v>
      </c>
      <c r="B1054" t="s">
        <v>17</v>
      </c>
      <c r="C1054" t="s">
        <v>2093</v>
      </c>
      <c r="D1054" s="2" t="str">
        <f>VLOOKUP(C1054,Locality_Reference!A:C,2,)</f>
        <v>Harbour Line</v>
      </c>
      <c r="E1054" s="2" t="str">
        <f>VLOOKUP(C1054,Locality_Reference!A:C,3,)</f>
        <v>Mid Suburb</v>
      </c>
      <c r="F1054" s="2" t="s">
        <v>2110</v>
      </c>
      <c r="G1054" s="8">
        <v>44000</v>
      </c>
      <c r="H1054">
        <v>1</v>
      </c>
      <c r="I1054">
        <v>1</v>
      </c>
      <c r="J1054">
        <v>10</v>
      </c>
      <c r="K1054">
        <v>15</v>
      </c>
      <c r="L1054">
        <v>450</v>
      </c>
      <c r="M1054" t="s">
        <v>33</v>
      </c>
      <c r="N1054" t="s">
        <v>29</v>
      </c>
      <c r="O1054" t="s">
        <v>16</v>
      </c>
      <c r="P1054" t="s">
        <v>34</v>
      </c>
      <c r="Q1054" t="str">
        <f t="shared" si="129"/>
        <v/>
      </c>
      <c r="R1054" s="5">
        <v>46200</v>
      </c>
      <c r="S1054" s="8">
        <f t="shared" si="130"/>
        <v>97.777777777777771</v>
      </c>
      <c r="T1054">
        <f t="shared" si="131"/>
        <v>528000</v>
      </c>
      <c r="U1054" t="str">
        <f t="shared" si="132"/>
        <v>Mid</v>
      </c>
      <c r="V1054" t="str">
        <f t="shared" si="133"/>
        <v>Compact</v>
      </c>
      <c r="W1054" t="str">
        <f>IF(S1054 &lt; VLOOKUP(E1054, Locality_Tier_Benchmarks!A:B, 2, FALSE) * 0.7, "Below Tier Range", "Normal")</f>
        <v>Normal</v>
      </c>
      <c r="X1054" t="str">
        <f t="shared" si="134"/>
        <v>Normal</v>
      </c>
      <c r="Y1054" t="str">
        <f t="shared" si="135"/>
        <v>Normal</v>
      </c>
      <c r="Z1054" t="str">
        <f t="shared" si="128"/>
        <v>Pass</v>
      </c>
    </row>
    <row r="1055" spans="1:26" x14ac:dyDescent="0.25">
      <c r="A1055" s="2" t="s">
        <v>2235</v>
      </c>
      <c r="B1055" t="s">
        <v>17</v>
      </c>
      <c r="C1055" t="s">
        <v>2093</v>
      </c>
      <c r="D1055" s="2" t="str">
        <f>VLOOKUP(C1055,Locality_Reference!A:C,2,)</f>
        <v>Harbour Line</v>
      </c>
      <c r="E1055" s="2" t="str">
        <f>VLOOKUP(C1055,Locality_Reference!A:C,3,)</f>
        <v>Mid Suburb</v>
      </c>
      <c r="F1055" s="2" t="s">
        <v>2111</v>
      </c>
      <c r="G1055" s="8">
        <v>40000</v>
      </c>
      <c r="H1055">
        <v>1</v>
      </c>
      <c r="I1055">
        <v>1</v>
      </c>
      <c r="J1055">
        <v>2</v>
      </c>
      <c r="K1055">
        <v>7</v>
      </c>
      <c r="L1055">
        <v>400</v>
      </c>
      <c r="M1055" t="s">
        <v>36</v>
      </c>
      <c r="N1055" t="s">
        <v>29</v>
      </c>
      <c r="O1055" t="s">
        <v>16</v>
      </c>
      <c r="P1055" t="s">
        <v>34</v>
      </c>
      <c r="Q1055" t="str">
        <f t="shared" si="129"/>
        <v/>
      </c>
      <c r="R1055" s="5">
        <v>46199</v>
      </c>
      <c r="S1055" s="8">
        <f t="shared" si="130"/>
        <v>100</v>
      </c>
      <c r="T1055">
        <f t="shared" si="131"/>
        <v>480000</v>
      </c>
      <c r="U1055" t="str">
        <f t="shared" si="132"/>
        <v>Mid</v>
      </c>
      <c r="V1055" t="str">
        <f t="shared" si="133"/>
        <v>Compact</v>
      </c>
      <c r="W1055" t="str">
        <f>IF(S1055 &lt; VLOOKUP(E1055, Locality_Tier_Benchmarks!A:B, 2, FALSE) * 0.7, "Below Tier Range", "Normal")</f>
        <v>Normal</v>
      </c>
      <c r="X1055" t="str">
        <f t="shared" si="134"/>
        <v>Normal</v>
      </c>
      <c r="Y1055" t="str">
        <f t="shared" si="135"/>
        <v>Normal</v>
      </c>
      <c r="Z1055" t="str">
        <f t="shared" si="128"/>
        <v>Pass</v>
      </c>
    </row>
    <row r="1056" spans="1:26" x14ac:dyDescent="0.25">
      <c r="A1056" s="2" t="s">
        <v>2236</v>
      </c>
      <c r="B1056" t="s">
        <v>17</v>
      </c>
      <c r="C1056" t="s">
        <v>2093</v>
      </c>
      <c r="D1056" s="2" t="str">
        <f>VLOOKUP(C1056,Locality_Reference!A:C,2,)</f>
        <v>Harbour Line</v>
      </c>
      <c r="E1056" s="2" t="str">
        <f>VLOOKUP(C1056,Locality_Reference!A:C,3,)</f>
        <v>Mid Suburb</v>
      </c>
      <c r="F1056" s="2" t="s">
        <v>2112</v>
      </c>
      <c r="G1056" s="8">
        <v>36000</v>
      </c>
      <c r="H1056">
        <v>1</v>
      </c>
      <c r="I1056">
        <v>1</v>
      </c>
      <c r="J1056">
        <v>6</v>
      </c>
      <c r="K1056">
        <v>7</v>
      </c>
      <c r="L1056">
        <v>380</v>
      </c>
      <c r="M1056" t="s">
        <v>33</v>
      </c>
      <c r="N1056" t="s">
        <v>29</v>
      </c>
      <c r="O1056" t="s">
        <v>16</v>
      </c>
      <c r="P1056" t="s">
        <v>34</v>
      </c>
      <c r="Q1056" t="str">
        <f t="shared" si="129"/>
        <v/>
      </c>
      <c r="R1056" s="5">
        <v>46200</v>
      </c>
      <c r="S1056" s="8">
        <f t="shared" si="130"/>
        <v>94.736842105263165</v>
      </c>
      <c r="T1056">
        <f t="shared" si="131"/>
        <v>432000</v>
      </c>
      <c r="U1056" t="str">
        <f t="shared" si="132"/>
        <v>Mid</v>
      </c>
      <c r="V1056" t="str">
        <f t="shared" si="133"/>
        <v>Compact</v>
      </c>
      <c r="W1056" t="str">
        <f>IF(S1056 &lt; VLOOKUP(E1056, Locality_Tier_Benchmarks!A:B, 2, FALSE) * 0.7, "Below Tier Range", "Normal")</f>
        <v>Normal</v>
      </c>
      <c r="X1056" t="str">
        <f t="shared" si="134"/>
        <v>Normal</v>
      </c>
      <c r="Y1056" t="str">
        <f t="shared" si="135"/>
        <v>Normal</v>
      </c>
      <c r="Z1056" t="str">
        <f t="shared" si="128"/>
        <v>Pass</v>
      </c>
    </row>
    <row r="1057" spans="1:26" x14ac:dyDescent="0.25">
      <c r="A1057" s="2" t="s">
        <v>2237</v>
      </c>
      <c r="B1057" t="s">
        <v>17</v>
      </c>
      <c r="C1057" t="s">
        <v>2093</v>
      </c>
      <c r="D1057" s="2" t="str">
        <f>VLOOKUP(C1057,Locality_Reference!A:C,2,)</f>
        <v>Harbour Line</v>
      </c>
      <c r="E1057" s="2" t="str">
        <f>VLOOKUP(C1057,Locality_Reference!A:C,3,)</f>
        <v>Mid Suburb</v>
      </c>
      <c r="F1057" s="2" t="s">
        <v>2113</v>
      </c>
      <c r="G1057" s="8">
        <v>65000</v>
      </c>
      <c r="H1057">
        <v>2</v>
      </c>
      <c r="I1057">
        <v>2</v>
      </c>
      <c r="J1057">
        <v>6</v>
      </c>
      <c r="K1057">
        <v>7</v>
      </c>
      <c r="L1057">
        <v>700</v>
      </c>
      <c r="M1057" t="s">
        <v>14</v>
      </c>
      <c r="N1057" t="s">
        <v>29</v>
      </c>
      <c r="O1057" t="s">
        <v>16</v>
      </c>
      <c r="P1057" t="s">
        <v>23</v>
      </c>
      <c r="Q1057" t="str">
        <f t="shared" si="129"/>
        <v>10</v>
      </c>
      <c r="R1057" s="5">
        <v>46200</v>
      </c>
      <c r="S1057" s="8">
        <f t="shared" si="130"/>
        <v>92.857142857142861</v>
      </c>
      <c r="T1057">
        <f t="shared" si="131"/>
        <v>780000</v>
      </c>
      <c r="U1057" t="str">
        <f t="shared" si="132"/>
        <v>Premium</v>
      </c>
      <c r="V1057" t="str">
        <f t="shared" si="133"/>
        <v>Medium</v>
      </c>
      <c r="W1057" t="str">
        <f>IF(S1057 &lt; VLOOKUP(E1057, Locality_Tier_Benchmarks!A:B, 2, FALSE) * 0.7, "Below Tier Range", "Normal")</f>
        <v>Normal</v>
      </c>
      <c r="X1057" t="str">
        <f t="shared" si="134"/>
        <v>Normal</v>
      </c>
      <c r="Y1057" t="str">
        <f t="shared" si="135"/>
        <v>Normal</v>
      </c>
      <c r="Z1057" t="str">
        <f t="shared" si="128"/>
        <v>Pass</v>
      </c>
    </row>
    <row r="1058" spans="1:26" x14ac:dyDescent="0.25">
      <c r="A1058" s="2" t="s">
        <v>2238</v>
      </c>
      <c r="B1058" t="s">
        <v>17</v>
      </c>
      <c r="C1058" t="s">
        <v>2093</v>
      </c>
      <c r="D1058" s="2" t="str">
        <f>VLOOKUP(C1058,Locality_Reference!A:C,2,)</f>
        <v>Harbour Line</v>
      </c>
      <c r="E1058" s="2" t="str">
        <f>VLOOKUP(C1058,Locality_Reference!A:C,3,)</f>
        <v>Mid Suburb</v>
      </c>
      <c r="F1058" s="2" t="s">
        <v>2114</v>
      </c>
      <c r="G1058" s="8">
        <v>62000</v>
      </c>
      <c r="H1058">
        <v>2</v>
      </c>
      <c r="I1058">
        <v>2</v>
      </c>
      <c r="J1058">
        <v>13</v>
      </c>
      <c r="K1058">
        <v>16</v>
      </c>
      <c r="L1058">
        <v>641</v>
      </c>
      <c r="M1058" t="s">
        <v>36</v>
      </c>
      <c r="N1058" t="s">
        <v>29</v>
      </c>
      <c r="O1058" t="s">
        <v>16</v>
      </c>
      <c r="P1058" t="s">
        <v>31</v>
      </c>
      <c r="Q1058" t="str">
        <f t="shared" si="129"/>
        <v>3</v>
      </c>
      <c r="R1058" s="5">
        <v>46190</v>
      </c>
      <c r="S1058" s="8">
        <f t="shared" si="130"/>
        <v>96.723868954758188</v>
      </c>
      <c r="T1058">
        <f t="shared" si="131"/>
        <v>744000</v>
      </c>
      <c r="U1058" t="str">
        <f t="shared" si="132"/>
        <v>Premium</v>
      </c>
      <c r="V1058" t="str">
        <f t="shared" si="133"/>
        <v>Medium</v>
      </c>
      <c r="W1058" t="str">
        <f>IF(S1058 &lt; VLOOKUP(E1058, Locality_Tier_Benchmarks!A:B, 2, FALSE) * 0.7, "Below Tier Range", "Normal")</f>
        <v>Normal</v>
      </c>
      <c r="X1058" t="str">
        <f t="shared" si="134"/>
        <v>Normal</v>
      </c>
      <c r="Y1058" t="str">
        <f t="shared" si="135"/>
        <v>Normal</v>
      </c>
      <c r="Z1058" t="str">
        <f t="shared" si="128"/>
        <v>Pass</v>
      </c>
    </row>
    <row r="1059" spans="1:26" x14ac:dyDescent="0.25">
      <c r="A1059" s="2" t="s">
        <v>2239</v>
      </c>
      <c r="B1059" t="s">
        <v>17</v>
      </c>
      <c r="C1059" t="s">
        <v>2093</v>
      </c>
      <c r="D1059" s="2" t="str">
        <f>VLOOKUP(C1059,Locality_Reference!A:C,2,)</f>
        <v>Harbour Line</v>
      </c>
      <c r="E1059" s="2" t="str">
        <f>VLOOKUP(C1059,Locality_Reference!A:C,3,)</f>
        <v>Mid Suburb</v>
      </c>
      <c r="F1059" s="2" t="s">
        <v>2115</v>
      </c>
      <c r="G1059" s="8">
        <v>65000</v>
      </c>
      <c r="H1059">
        <v>2</v>
      </c>
      <c r="I1059">
        <v>2</v>
      </c>
      <c r="J1059">
        <v>4</v>
      </c>
      <c r="K1059">
        <v>11</v>
      </c>
      <c r="L1059">
        <v>670</v>
      </c>
      <c r="M1059" t="s">
        <v>36</v>
      </c>
      <c r="N1059" t="s">
        <v>15</v>
      </c>
      <c r="O1059" t="s">
        <v>16</v>
      </c>
      <c r="P1059" t="s">
        <v>23</v>
      </c>
      <c r="Q1059" t="str">
        <f t="shared" si="129"/>
        <v>10</v>
      </c>
      <c r="R1059" s="5">
        <v>46191</v>
      </c>
      <c r="S1059" s="8">
        <f t="shared" si="130"/>
        <v>97.014925373134332</v>
      </c>
      <c r="T1059">
        <f t="shared" si="131"/>
        <v>780000</v>
      </c>
      <c r="U1059" t="str">
        <f t="shared" si="132"/>
        <v>Premium</v>
      </c>
      <c r="V1059" t="str">
        <f t="shared" si="133"/>
        <v>Medium</v>
      </c>
      <c r="W1059" t="str">
        <f>IF(S1059 &lt; VLOOKUP(E1059, Locality_Tier_Benchmarks!A:B, 2, FALSE) * 0.7, "Below Tier Range", "Normal")</f>
        <v>Normal</v>
      </c>
      <c r="X1059" t="str">
        <f t="shared" si="134"/>
        <v>Normal</v>
      </c>
      <c r="Y1059" t="str">
        <f t="shared" si="135"/>
        <v>Normal</v>
      </c>
      <c r="Z1059" t="str">
        <f t="shared" si="128"/>
        <v>Pass</v>
      </c>
    </row>
    <row r="1060" spans="1:26" x14ac:dyDescent="0.25">
      <c r="A1060" s="2" t="s">
        <v>2240</v>
      </c>
      <c r="B1060" t="s">
        <v>17</v>
      </c>
      <c r="C1060" t="s">
        <v>2093</v>
      </c>
      <c r="D1060" s="2" t="str">
        <f>VLOOKUP(C1060,Locality_Reference!A:C,2,)</f>
        <v>Harbour Line</v>
      </c>
      <c r="E1060" s="2" t="str">
        <f>VLOOKUP(C1060,Locality_Reference!A:C,3,)</f>
        <v>Mid Suburb</v>
      </c>
      <c r="F1060" s="2" t="s">
        <v>2116</v>
      </c>
      <c r="G1060" s="8">
        <v>80000</v>
      </c>
      <c r="H1060">
        <v>2</v>
      </c>
      <c r="I1060">
        <v>2</v>
      </c>
      <c r="J1060">
        <v>7</v>
      </c>
      <c r="K1060">
        <v>16</v>
      </c>
      <c r="L1060">
        <v>745</v>
      </c>
      <c r="M1060" t="s">
        <v>14</v>
      </c>
      <c r="N1060" t="s">
        <v>15</v>
      </c>
      <c r="O1060" t="s">
        <v>16</v>
      </c>
      <c r="P1060" t="s">
        <v>31</v>
      </c>
      <c r="Q1060" t="str">
        <f t="shared" si="129"/>
        <v>3</v>
      </c>
      <c r="R1060" s="5">
        <v>46179</v>
      </c>
      <c r="S1060" s="8">
        <f t="shared" si="130"/>
        <v>107.38255033557047</v>
      </c>
      <c r="T1060">
        <f t="shared" si="131"/>
        <v>960000</v>
      </c>
      <c r="U1060" t="str">
        <f t="shared" si="132"/>
        <v>Premium</v>
      </c>
      <c r="V1060" t="str">
        <f t="shared" si="133"/>
        <v>Medium</v>
      </c>
      <c r="W1060" t="str">
        <f>IF(S1060 &lt; VLOOKUP(E1060, Locality_Tier_Benchmarks!A:B, 2, FALSE) * 0.7, "Below Tier Range", "Normal")</f>
        <v>Normal</v>
      </c>
      <c r="X1060" t="str">
        <f t="shared" si="134"/>
        <v>Normal</v>
      </c>
      <c r="Y1060" t="str">
        <f t="shared" si="135"/>
        <v>Normal</v>
      </c>
      <c r="Z1060" t="str">
        <f t="shared" si="128"/>
        <v>Pass</v>
      </c>
    </row>
    <row r="1061" spans="1:26" x14ac:dyDescent="0.25">
      <c r="A1061" s="2" t="s">
        <v>2241</v>
      </c>
      <c r="B1061" t="s">
        <v>17</v>
      </c>
      <c r="C1061" t="s">
        <v>2093</v>
      </c>
      <c r="D1061" s="2" t="str">
        <f>VLOOKUP(C1061,Locality_Reference!A:C,2,)</f>
        <v>Harbour Line</v>
      </c>
      <c r="E1061" s="2" t="str">
        <f>VLOOKUP(C1061,Locality_Reference!A:C,3,)</f>
        <v>Mid Suburb</v>
      </c>
      <c r="F1061" s="2" t="s">
        <v>2117</v>
      </c>
      <c r="G1061" s="8">
        <v>75000</v>
      </c>
      <c r="H1061">
        <v>2</v>
      </c>
      <c r="I1061">
        <v>2</v>
      </c>
      <c r="J1061">
        <v>7</v>
      </c>
      <c r="K1061">
        <v>15</v>
      </c>
      <c r="L1061">
        <v>750</v>
      </c>
      <c r="M1061" t="s">
        <v>33</v>
      </c>
      <c r="N1061" t="s">
        <v>15</v>
      </c>
      <c r="O1061" t="s">
        <v>16</v>
      </c>
      <c r="P1061" t="s">
        <v>47</v>
      </c>
      <c r="Q1061" t="str">
        <f t="shared" si="129"/>
        <v>1</v>
      </c>
      <c r="R1061" s="5">
        <v>46153</v>
      </c>
      <c r="S1061" s="8">
        <f t="shared" si="130"/>
        <v>100</v>
      </c>
      <c r="T1061">
        <f t="shared" si="131"/>
        <v>900000</v>
      </c>
      <c r="U1061" t="str">
        <f t="shared" si="132"/>
        <v>Premium</v>
      </c>
      <c r="V1061" t="str">
        <f t="shared" si="133"/>
        <v>Medium</v>
      </c>
      <c r="W1061" t="str">
        <f>IF(S1061 &lt; VLOOKUP(E1061, Locality_Tier_Benchmarks!A:B, 2, FALSE) * 0.7, "Below Tier Range", "Normal")</f>
        <v>Normal</v>
      </c>
      <c r="X1061" t="str">
        <f t="shared" si="134"/>
        <v>Normal</v>
      </c>
      <c r="Y1061" t="str">
        <f t="shared" si="135"/>
        <v>Normal</v>
      </c>
      <c r="Z1061" t="str">
        <f t="shared" si="128"/>
        <v>Pass</v>
      </c>
    </row>
    <row r="1062" spans="1:26" x14ac:dyDescent="0.25">
      <c r="A1062" s="2" t="s">
        <v>2242</v>
      </c>
      <c r="B1062" t="s">
        <v>17</v>
      </c>
      <c r="C1062" t="s">
        <v>2093</v>
      </c>
      <c r="D1062" s="2" t="str">
        <f>VLOOKUP(C1062,Locality_Reference!A:C,2,)</f>
        <v>Harbour Line</v>
      </c>
      <c r="E1062" s="2" t="str">
        <f>VLOOKUP(C1062,Locality_Reference!A:C,3,)</f>
        <v>Mid Suburb</v>
      </c>
      <c r="F1062" s="2" t="s">
        <v>2118</v>
      </c>
      <c r="G1062" s="8">
        <v>130000</v>
      </c>
      <c r="H1062">
        <v>3</v>
      </c>
      <c r="I1062">
        <v>3</v>
      </c>
      <c r="J1062">
        <v>6</v>
      </c>
      <c r="K1062">
        <v>15</v>
      </c>
      <c r="L1062">
        <v>1100</v>
      </c>
      <c r="M1062" t="s">
        <v>36</v>
      </c>
      <c r="N1062" t="s">
        <v>15</v>
      </c>
      <c r="O1062" t="s">
        <v>16</v>
      </c>
      <c r="P1062" t="s">
        <v>31</v>
      </c>
      <c r="Q1062" t="str">
        <f t="shared" si="129"/>
        <v>3</v>
      </c>
      <c r="R1062" s="5">
        <v>46190</v>
      </c>
      <c r="S1062" s="8">
        <f t="shared" si="130"/>
        <v>118.18181818181819</v>
      </c>
      <c r="T1062">
        <f t="shared" si="131"/>
        <v>1560000</v>
      </c>
      <c r="U1062" t="str">
        <f t="shared" si="132"/>
        <v>Luxury</v>
      </c>
      <c r="V1062" t="str">
        <f t="shared" si="133"/>
        <v>Large</v>
      </c>
      <c r="W1062" t="str">
        <f>IF(S1062 &lt; VLOOKUP(E1062, Locality_Tier_Benchmarks!A:B, 2, FALSE) * 0.7, "Below Tier Range", "Normal")</f>
        <v>Normal</v>
      </c>
      <c r="X1062" t="str">
        <f t="shared" si="134"/>
        <v>Normal</v>
      </c>
      <c r="Y1062" t="str">
        <f t="shared" si="135"/>
        <v>Normal</v>
      </c>
      <c r="Z1062" t="str">
        <f t="shared" si="128"/>
        <v>Pass</v>
      </c>
    </row>
    <row r="1063" spans="1:26" x14ac:dyDescent="0.25">
      <c r="A1063" s="2" t="s">
        <v>2243</v>
      </c>
      <c r="B1063" t="s">
        <v>17</v>
      </c>
      <c r="C1063" t="s">
        <v>2093</v>
      </c>
      <c r="D1063" s="2" t="str">
        <f>VLOOKUP(C1063,Locality_Reference!A:C,2,)</f>
        <v>Harbour Line</v>
      </c>
      <c r="E1063" s="2" t="str">
        <f>VLOOKUP(C1063,Locality_Reference!A:C,3,)</f>
        <v>Mid Suburb</v>
      </c>
      <c r="F1063" s="2" t="s">
        <v>2119</v>
      </c>
      <c r="G1063" s="8">
        <v>75000</v>
      </c>
      <c r="H1063">
        <v>3</v>
      </c>
      <c r="I1063">
        <v>2</v>
      </c>
      <c r="J1063">
        <v>4</v>
      </c>
      <c r="K1063">
        <v>16</v>
      </c>
      <c r="L1063">
        <v>923.97</v>
      </c>
      <c r="M1063" t="s">
        <v>36</v>
      </c>
      <c r="N1063" t="s">
        <v>15</v>
      </c>
      <c r="O1063" t="s">
        <v>16</v>
      </c>
      <c r="P1063" t="s">
        <v>34</v>
      </c>
      <c r="Q1063" t="str">
        <f t="shared" si="129"/>
        <v/>
      </c>
      <c r="R1063" s="5">
        <v>46199</v>
      </c>
      <c r="S1063" s="8">
        <f t="shared" si="130"/>
        <v>81.17146660605863</v>
      </c>
      <c r="T1063">
        <f t="shared" si="131"/>
        <v>900000</v>
      </c>
      <c r="U1063" t="str">
        <f t="shared" si="132"/>
        <v>Premium</v>
      </c>
      <c r="V1063" t="str">
        <f t="shared" si="133"/>
        <v>Large</v>
      </c>
      <c r="W1063" t="str">
        <f>IF(S1063 &lt; VLOOKUP(E1063, Locality_Tier_Benchmarks!A:B, 2, FALSE) * 0.7, "Below Tier Range", "Normal")</f>
        <v>Normal</v>
      </c>
      <c r="X1063" t="str">
        <f t="shared" si="134"/>
        <v>Normal</v>
      </c>
      <c r="Y1063" t="str">
        <f t="shared" si="135"/>
        <v>Normal</v>
      </c>
      <c r="Z1063" t="str">
        <f t="shared" si="128"/>
        <v>Pass</v>
      </c>
    </row>
    <row r="1064" spans="1:26" x14ac:dyDescent="0.25">
      <c r="A1064" s="2" t="s">
        <v>2244</v>
      </c>
      <c r="B1064" t="s">
        <v>17</v>
      </c>
      <c r="C1064" t="s">
        <v>2093</v>
      </c>
      <c r="D1064" s="2" t="str">
        <f>VLOOKUP(C1064,Locality_Reference!A:C,2,)</f>
        <v>Harbour Line</v>
      </c>
      <c r="E1064" s="2" t="str">
        <f>VLOOKUP(C1064,Locality_Reference!A:C,3,)</f>
        <v>Mid Suburb</v>
      </c>
      <c r="F1064" s="2" t="s">
        <v>2120</v>
      </c>
      <c r="G1064" s="8">
        <v>90000</v>
      </c>
      <c r="H1064">
        <v>3</v>
      </c>
      <c r="I1064">
        <v>3</v>
      </c>
      <c r="J1064">
        <v>9</v>
      </c>
      <c r="K1064">
        <v>16</v>
      </c>
      <c r="L1064">
        <v>905</v>
      </c>
      <c r="M1064" t="s">
        <v>33</v>
      </c>
      <c r="N1064" t="s">
        <v>29</v>
      </c>
      <c r="O1064" t="s">
        <v>16</v>
      </c>
      <c r="P1064" t="s">
        <v>47</v>
      </c>
      <c r="Q1064" t="str">
        <f t="shared" si="129"/>
        <v>1</v>
      </c>
      <c r="R1064" s="5">
        <v>46168</v>
      </c>
      <c r="S1064" s="8">
        <f t="shared" si="130"/>
        <v>99.447513812154696</v>
      </c>
      <c r="T1064">
        <f t="shared" si="131"/>
        <v>1080000</v>
      </c>
      <c r="U1064" t="str">
        <f t="shared" si="132"/>
        <v>Premium</v>
      </c>
      <c r="V1064" t="str">
        <f t="shared" si="133"/>
        <v>Large</v>
      </c>
      <c r="W1064" t="str">
        <f>IF(S1064 &lt; VLOOKUP(E1064, Locality_Tier_Benchmarks!A:B, 2, FALSE) * 0.7, "Below Tier Range", "Normal")</f>
        <v>Normal</v>
      </c>
      <c r="X1064" t="str">
        <f t="shared" si="134"/>
        <v>Normal</v>
      </c>
      <c r="Y1064" t="str">
        <f t="shared" si="135"/>
        <v>Normal</v>
      </c>
      <c r="Z1064" t="str">
        <f t="shared" si="128"/>
        <v>Pass</v>
      </c>
    </row>
    <row r="1065" spans="1:26" x14ac:dyDescent="0.25">
      <c r="A1065" s="2" t="s">
        <v>2245</v>
      </c>
      <c r="B1065" t="s">
        <v>17</v>
      </c>
      <c r="C1065" t="s">
        <v>2093</v>
      </c>
      <c r="D1065" s="2" t="str">
        <f>VLOOKUP(C1065,Locality_Reference!A:C,2,)</f>
        <v>Harbour Line</v>
      </c>
      <c r="E1065" s="2" t="str">
        <f>VLOOKUP(C1065,Locality_Reference!A:C,3,)</f>
        <v>Mid Suburb</v>
      </c>
      <c r="F1065" s="2" t="s">
        <v>2121</v>
      </c>
      <c r="G1065" s="8">
        <v>80000</v>
      </c>
      <c r="H1065">
        <v>3</v>
      </c>
      <c r="I1065">
        <v>3</v>
      </c>
      <c r="J1065">
        <v>9</v>
      </c>
      <c r="K1065">
        <v>18</v>
      </c>
      <c r="L1065">
        <v>750</v>
      </c>
      <c r="M1065" t="s">
        <v>33</v>
      </c>
      <c r="N1065" t="s">
        <v>29</v>
      </c>
      <c r="O1065" t="s">
        <v>16</v>
      </c>
      <c r="P1065" t="s">
        <v>47</v>
      </c>
      <c r="Q1065" t="str">
        <f t="shared" si="129"/>
        <v>1</v>
      </c>
      <c r="R1065" s="5">
        <v>46161</v>
      </c>
      <c r="S1065" s="8">
        <f t="shared" si="130"/>
        <v>106.66666666666667</v>
      </c>
      <c r="T1065">
        <f t="shared" si="131"/>
        <v>960000</v>
      </c>
      <c r="U1065" t="str">
        <f t="shared" si="132"/>
        <v>Premium</v>
      </c>
      <c r="V1065" t="str">
        <f t="shared" si="133"/>
        <v>Medium</v>
      </c>
      <c r="W1065" t="str">
        <f>IF(S1065 &lt; VLOOKUP(E1065, Locality_Tier_Benchmarks!A:B, 2, FALSE) * 0.7, "Below Tier Range", "Normal")</f>
        <v>Normal</v>
      </c>
      <c r="X1065" t="str">
        <f t="shared" si="134"/>
        <v>Normal</v>
      </c>
      <c r="Y1065" t="str">
        <f t="shared" si="135"/>
        <v>Normal</v>
      </c>
      <c r="Z1065" t="str">
        <f t="shared" si="128"/>
        <v>Pass</v>
      </c>
    </row>
    <row r="1066" spans="1:26" x14ac:dyDescent="0.25">
      <c r="A1066" s="2" t="s">
        <v>2246</v>
      </c>
      <c r="B1066" t="s">
        <v>17</v>
      </c>
      <c r="C1066" t="s">
        <v>2093</v>
      </c>
      <c r="D1066" s="2" t="str">
        <f>VLOOKUP(C1066,Locality_Reference!A:C,2,)</f>
        <v>Harbour Line</v>
      </c>
      <c r="E1066" s="2" t="str">
        <f>VLOOKUP(C1066,Locality_Reference!A:C,3,)</f>
        <v>Mid Suburb</v>
      </c>
      <c r="F1066" s="2" t="s">
        <v>2122</v>
      </c>
      <c r="G1066" s="8">
        <v>85000</v>
      </c>
      <c r="H1066">
        <v>3</v>
      </c>
      <c r="I1066">
        <v>3</v>
      </c>
      <c r="J1066">
        <v>5</v>
      </c>
      <c r="K1066">
        <v>16</v>
      </c>
      <c r="L1066">
        <v>790</v>
      </c>
      <c r="M1066" t="s">
        <v>33</v>
      </c>
      <c r="N1066" t="s">
        <v>29</v>
      </c>
      <c r="O1066" t="s">
        <v>16</v>
      </c>
      <c r="P1066" t="s">
        <v>47</v>
      </c>
      <c r="Q1066" t="str">
        <f t="shared" si="129"/>
        <v>1</v>
      </c>
      <c r="R1066" s="5">
        <v>46198</v>
      </c>
      <c r="S1066" s="8">
        <f t="shared" si="130"/>
        <v>107.59493670886076</v>
      </c>
      <c r="T1066">
        <f t="shared" si="131"/>
        <v>1020000</v>
      </c>
      <c r="U1066" t="str">
        <f t="shared" si="132"/>
        <v>Premium</v>
      </c>
      <c r="V1066" t="str">
        <f t="shared" si="133"/>
        <v>Medium</v>
      </c>
      <c r="W1066" t="str">
        <f>IF(S1066 &lt; VLOOKUP(E1066, Locality_Tier_Benchmarks!A:B, 2, FALSE) * 0.7, "Below Tier Range", "Normal")</f>
        <v>Normal</v>
      </c>
      <c r="X1066" t="str">
        <f t="shared" si="134"/>
        <v>Normal</v>
      </c>
      <c r="Y1066" t="str">
        <f t="shared" si="135"/>
        <v>Normal</v>
      </c>
      <c r="Z1066" t="str">
        <f t="shared" si="128"/>
        <v>Pass</v>
      </c>
    </row>
    <row r="1067" spans="1:26" x14ac:dyDescent="0.25">
      <c r="A1067" s="2" t="s">
        <v>2247</v>
      </c>
      <c r="B1067" t="s">
        <v>17</v>
      </c>
      <c r="C1067" t="s">
        <v>502</v>
      </c>
      <c r="D1067" s="2" t="str">
        <f>VLOOKUP(C1067,Locality_Reference!A:C,2,)</f>
        <v>Navi Mumbai</v>
      </c>
      <c r="E1067" s="2" t="str">
        <f>VLOOKUP(C1067,Locality_Reference!A:C,3,)</f>
        <v>Navi Mumbai</v>
      </c>
      <c r="F1067" s="2" t="s">
        <v>2123</v>
      </c>
      <c r="G1067" s="8">
        <v>42000</v>
      </c>
      <c r="H1067">
        <v>1</v>
      </c>
      <c r="I1067">
        <v>2</v>
      </c>
      <c r="J1067">
        <v>5</v>
      </c>
      <c r="K1067">
        <v>7</v>
      </c>
      <c r="L1067">
        <v>500</v>
      </c>
      <c r="M1067" t="s">
        <v>36</v>
      </c>
      <c r="N1067" t="s">
        <v>29</v>
      </c>
      <c r="O1067" t="s">
        <v>16</v>
      </c>
      <c r="P1067" t="s">
        <v>34</v>
      </c>
      <c r="Q1067" t="str">
        <f t="shared" si="129"/>
        <v/>
      </c>
      <c r="R1067" s="5">
        <v>46190</v>
      </c>
      <c r="S1067" s="8">
        <f t="shared" si="130"/>
        <v>84</v>
      </c>
      <c r="T1067">
        <f t="shared" si="131"/>
        <v>504000</v>
      </c>
      <c r="U1067" t="str">
        <f t="shared" si="132"/>
        <v>Mid</v>
      </c>
      <c r="V1067" t="str">
        <f t="shared" si="133"/>
        <v>Compact</v>
      </c>
      <c r="W1067" t="str">
        <f>IF(S1067 &lt; VLOOKUP(E1067, Locality_Tier_Benchmarks!A:B, 2, FALSE) * 0.7, "Below Tier Range", "Normal")</f>
        <v>Normal</v>
      </c>
      <c r="X1067" t="str">
        <f t="shared" si="134"/>
        <v>Normal</v>
      </c>
      <c r="Y1067" t="str">
        <f t="shared" si="135"/>
        <v>Normal</v>
      </c>
      <c r="Z1067" t="str">
        <f t="shared" si="128"/>
        <v>Pass</v>
      </c>
    </row>
    <row r="1068" spans="1:26" x14ac:dyDescent="0.25">
      <c r="A1068" s="2" t="s">
        <v>2248</v>
      </c>
      <c r="B1068" t="s">
        <v>17</v>
      </c>
      <c r="C1068" t="s">
        <v>502</v>
      </c>
      <c r="D1068" s="2" t="str">
        <f>VLOOKUP(C1068,Locality_Reference!A:C,2,)</f>
        <v>Navi Mumbai</v>
      </c>
      <c r="E1068" s="2" t="str">
        <f>VLOOKUP(C1068,Locality_Reference!A:C,3,)</f>
        <v>Navi Mumbai</v>
      </c>
      <c r="F1068" s="2" t="s">
        <v>2125</v>
      </c>
      <c r="G1068" s="8">
        <v>40000</v>
      </c>
      <c r="H1068">
        <v>1</v>
      </c>
      <c r="I1068">
        <v>1</v>
      </c>
      <c r="J1068">
        <v>2</v>
      </c>
      <c r="K1068">
        <v>4</v>
      </c>
      <c r="L1068">
        <v>560</v>
      </c>
      <c r="M1068" t="s">
        <v>14</v>
      </c>
      <c r="N1068" t="s">
        <v>15</v>
      </c>
      <c r="O1068" t="s">
        <v>16</v>
      </c>
      <c r="P1068" t="s">
        <v>34</v>
      </c>
      <c r="Q1068" t="str">
        <f t="shared" si="129"/>
        <v/>
      </c>
      <c r="R1068" s="5">
        <v>46191</v>
      </c>
      <c r="S1068" s="8">
        <f t="shared" si="130"/>
        <v>71.428571428571431</v>
      </c>
      <c r="T1068">
        <f t="shared" si="131"/>
        <v>480000</v>
      </c>
      <c r="U1068" t="str">
        <f t="shared" si="132"/>
        <v>Mid</v>
      </c>
      <c r="V1068" t="str">
        <f t="shared" si="133"/>
        <v>Medium</v>
      </c>
      <c r="W1068" t="str">
        <f>IF(S1068 &lt; VLOOKUP(E1068, Locality_Tier_Benchmarks!A:B, 2, FALSE) * 0.7, "Below Tier Range", "Normal")</f>
        <v>Normal</v>
      </c>
      <c r="X1068" t="str">
        <f t="shared" si="134"/>
        <v>Normal</v>
      </c>
      <c r="Y1068" t="str">
        <f t="shared" si="135"/>
        <v>Normal</v>
      </c>
      <c r="Z1068" t="str">
        <f t="shared" si="128"/>
        <v>Pass</v>
      </c>
    </row>
    <row r="1069" spans="1:26" x14ac:dyDescent="0.25">
      <c r="A1069" s="2" t="s">
        <v>2249</v>
      </c>
      <c r="B1069" t="s">
        <v>17</v>
      </c>
      <c r="C1069" t="s">
        <v>502</v>
      </c>
      <c r="D1069" s="2" t="str">
        <f>VLOOKUP(C1069,Locality_Reference!A:C,2,)</f>
        <v>Navi Mumbai</v>
      </c>
      <c r="E1069" s="2" t="str">
        <f>VLOOKUP(C1069,Locality_Reference!A:C,3,)</f>
        <v>Navi Mumbai</v>
      </c>
      <c r="F1069" s="2" t="s">
        <v>2124</v>
      </c>
      <c r="G1069" s="8">
        <v>35000</v>
      </c>
      <c r="H1069">
        <v>1</v>
      </c>
      <c r="I1069">
        <v>1</v>
      </c>
      <c r="J1069">
        <v>3</v>
      </c>
      <c r="K1069">
        <v>4</v>
      </c>
      <c r="L1069">
        <v>420</v>
      </c>
      <c r="M1069" t="s">
        <v>36</v>
      </c>
      <c r="N1069" t="s">
        <v>29</v>
      </c>
      <c r="O1069" t="s">
        <v>16</v>
      </c>
      <c r="P1069" t="s">
        <v>23</v>
      </c>
      <c r="Q1069" t="str">
        <f t="shared" si="129"/>
        <v>10</v>
      </c>
      <c r="R1069" s="5">
        <v>46202</v>
      </c>
      <c r="S1069" s="8">
        <f t="shared" si="130"/>
        <v>83.333333333333329</v>
      </c>
      <c r="T1069">
        <f t="shared" si="131"/>
        <v>420000</v>
      </c>
      <c r="U1069" t="str">
        <f t="shared" si="132"/>
        <v>Mid</v>
      </c>
      <c r="V1069" t="str">
        <f t="shared" si="133"/>
        <v>Compact</v>
      </c>
      <c r="W1069" t="str">
        <f>IF(S1069 &lt; VLOOKUP(E1069, Locality_Tier_Benchmarks!A:B, 2, FALSE) * 0.7, "Below Tier Range", "Normal")</f>
        <v>Normal</v>
      </c>
      <c r="X1069" t="str">
        <f t="shared" si="134"/>
        <v>Normal</v>
      </c>
      <c r="Y1069" t="str">
        <f t="shared" si="135"/>
        <v>Normal</v>
      </c>
      <c r="Z1069" t="str">
        <f t="shared" si="128"/>
        <v>Pass</v>
      </c>
    </row>
    <row r="1070" spans="1:26" x14ac:dyDescent="0.25">
      <c r="A1070" s="2" t="s">
        <v>2250</v>
      </c>
      <c r="B1070" t="s">
        <v>17</v>
      </c>
      <c r="C1070" t="s">
        <v>502</v>
      </c>
      <c r="D1070" s="2" t="str">
        <f>VLOOKUP(C1070,Locality_Reference!A:C,2,)</f>
        <v>Navi Mumbai</v>
      </c>
      <c r="E1070" s="2" t="str">
        <f>VLOOKUP(C1070,Locality_Reference!A:C,3,)</f>
        <v>Navi Mumbai</v>
      </c>
      <c r="F1070" s="2" t="s">
        <v>2126</v>
      </c>
      <c r="G1070" s="8">
        <v>35000</v>
      </c>
      <c r="H1070">
        <v>1</v>
      </c>
      <c r="I1070">
        <v>1</v>
      </c>
      <c r="J1070">
        <v>2</v>
      </c>
      <c r="K1070">
        <v>2</v>
      </c>
      <c r="L1070">
        <v>550</v>
      </c>
      <c r="M1070" t="s">
        <v>36</v>
      </c>
      <c r="N1070" t="s">
        <v>29</v>
      </c>
      <c r="O1070" t="s">
        <v>16</v>
      </c>
      <c r="P1070" t="s">
        <v>23</v>
      </c>
      <c r="Q1070" t="str">
        <f t="shared" si="129"/>
        <v>10</v>
      </c>
      <c r="R1070" s="5">
        <v>46202</v>
      </c>
      <c r="S1070" s="8">
        <f t="shared" si="130"/>
        <v>63.636363636363633</v>
      </c>
      <c r="T1070">
        <f t="shared" si="131"/>
        <v>420000</v>
      </c>
      <c r="U1070" t="str">
        <f t="shared" si="132"/>
        <v>Mid</v>
      </c>
      <c r="V1070" t="str">
        <f t="shared" si="133"/>
        <v>Medium</v>
      </c>
      <c r="W1070" t="str">
        <f>IF(S1070 &lt; VLOOKUP(E1070, Locality_Tier_Benchmarks!A:B, 2, FALSE) * 0.7, "Below Tier Range", "Normal")</f>
        <v>Normal</v>
      </c>
      <c r="X1070" t="str">
        <f t="shared" si="134"/>
        <v>Normal</v>
      </c>
      <c r="Y1070" t="str">
        <f t="shared" si="135"/>
        <v>Normal</v>
      </c>
      <c r="Z1070" t="str">
        <f t="shared" si="128"/>
        <v>Pass</v>
      </c>
    </row>
    <row r="1071" spans="1:26" x14ac:dyDescent="0.25">
      <c r="A1071" s="2" t="s">
        <v>2251</v>
      </c>
      <c r="B1071" t="s">
        <v>17</v>
      </c>
      <c r="C1071" t="s">
        <v>502</v>
      </c>
      <c r="D1071" s="2" t="str">
        <f>VLOOKUP(C1071,Locality_Reference!A:C,2,)</f>
        <v>Navi Mumbai</v>
      </c>
      <c r="E1071" s="2" t="str">
        <f>VLOOKUP(C1071,Locality_Reference!A:C,3,)</f>
        <v>Navi Mumbai</v>
      </c>
      <c r="F1071" s="2" t="s">
        <v>2127</v>
      </c>
      <c r="G1071" s="8">
        <v>42000</v>
      </c>
      <c r="H1071">
        <v>1</v>
      </c>
      <c r="I1071">
        <v>2</v>
      </c>
      <c r="J1071">
        <v>1</v>
      </c>
      <c r="K1071">
        <v>4</v>
      </c>
      <c r="L1071">
        <v>400</v>
      </c>
      <c r="M1071" t="s">
        <v>36</v>
      </c>
      <c r="N1071" t="s">
        <v>29</v>
      </c>
      <c r="O1071" t="s">
        <v>16</v>
      </c>
      <c r="P1071" t="s">
        <v>52</v>
      </c>
      <c r="Q1071" t="str">
        <f t="shared" si="129"/>
        <v>7.5</v>
      </c>
      <c r="R1071" s="5">
        <v>46188</v>
      </c>
      <c r="S1071" s="8">
        <f t="shared" si="130"/>
        <v>105</v>
      </c>
      <c r="T1071">
        <f t="shared" si="131"/>
        <v>504000</v>
      </c>
      <c r="U1071" t="str">
        <f t="shared" si="132"/>
        <v>Mid</v>
      </c>
      <c r="V1071" t="str">
        <f t="shared" si="133"/>
        <v>Compact</v>
      </c>
      <c r="W1071" t="str">
        <f>IF(S1071 &lt; VLOOKUP(E1071, Locality_Tier_Benchmarks!A:B, 2, FALSE) * 0.7, "Below Tier Range", "Normal")</f>
        <v>Normal</v>
      </c>
      <c r="X1071" t="str">
        <f t="shared" si="134"/>
        <v>Normal</v>
      </c>
      <c r="Y1071" t="str">
        <f t="shared" si="135"/>
        <v>Normal</v>
      </c>
      <c r="Z1071" t="str">
        <f t="shared" si="128"/>
        <v>Pass</v>
      </c>
    </row>
    <row r="1072" spans="1:26" x14ac:dyDescent="0.25">
      <c r="A1072" s="2" t="s">
        <v>2252</v>
      </c>
      <c r="B1072" t="s">
        <v>17</v>
      </c>
      <c r="C1072" t="s">
        <v>502</v>
      </c>
      <c r="D1072" s="2" t="str">
        <f>VLOOKUP(C1072,Locality_Reference!A:C,2,)</f>
        <v>Navi Mumbai</v>
      </c>
      <c r="E1072" s="2" t="str">
        <f>VLOOKUP(C1072,Locality_Reference!A:C,3,)</f>
        <v>Navi Mumbai</v>
      </c>
      <c r="F1072" s="2" t="s">
        <v>2128</v>
      </c>
      <c r="G1072" s="8">
        <v>45000</v>
      </c>
      <c r="H1072">
        <v>2</v>
      </c>
      <c r="I1072">
        <v>2</v>
      </c>
      <c r="J1072">
        <v>2</v>
      </c>
      <c r="K1072">
        <v>3</v>
      </c>
      <c r="L1072">
        <v>650</v>
      </c>
      <c r="M1072" t="s">
        <v>36</v>
      </c>
      <c r="N1072" t="s">
        <v>29</v>
      </c>
      <c r="O1072" t="s">
        <v>16</v>
      </c>
      <c r="P1072" t="s">
        <v>23</v>
      </c>
      <c r="Q1072" t="str">
        <f t="shared" si="129"/>
        <v>10</v>
      </c>
      <c r="R1072" s="5">
        <v>46182</v>
      </c>
      <c r="S1072" s="8">
        <f t="shared" si="130"/>
        <v>69.230769230769226</v>
      </c>
      <c r="T1072">
        <f t="shared" si="131"/>
        <v>540000</v>
      </c>
      <c r="U1072" t="str">
        <f t="shared" si="132"/>
        <v>Mid</v>
      </c>
      <c r="V1072" t="str">
        <f t="shared" si="133"/>
        <v>Medium</v>
      </c>
      <c r="W1072" t="str">
        <f>IF(S1072 &lt; VLOOKUP(E1072, Locality_Tier_Benchmarks!A:B, 2, FALSE) * 0.7, "Below Tier Range", "Normal")</f>
        <v>Normal</v>
      </c>
      <c r="X1072" t="str">
        <f t="shared" si="134"/>
        <v>Normal</v>
      </c>
      <c r="Y1072" t="str">
        <f t="shared" si="135"/>
        <v>Normal</v>
      </c>
      <c r="Z1072" t="str">
        <f t="shared" si="128"/>
        <v>Pass</v>
      </c>
    </row>
    <row r="1073" spans="1:26" x14ac:dyDescent="0.25">
      <c r="A1073" s="2" t="s">
        <v>2253</v>
      </c>
      <c r="B1073" t="s">
        <v>17</v>
      </c>
      <c r="C1073" t="s">
        <v>502</v>
      </c>
      <c r="D1073" s="2" t="str">
        <f>VLOOKUP(C1073,Locality_Reference!A:C,2,)</f>
        <v>Navi Mumbai</v>
      </c>
      <c r="E1073" s="2" t="str">
        <f>VLOOKUP(C1073,Locality_Reference!A:C,3,)</f>
        <v>Navi Mumbai</v>
      </c>
      <c r="F1073" s="2" t="s">
        <v>2129</v>
      </c>
      <c r="G1073" s="8">
        <v>40000</v>
      </c>
      <c r="H1073">
        <v>2</v>
      </c>
      <c r="I1073">
        <v>1</v>
      </c>
      <c r="J1073">
        <v>2</v>
      </c>
      <c r="K1073">
        <v>3</v>
      </c>
      <c r="L1073">
        <v>600</v>
      </c>
      <c r="M1073" t="s">
        <v>33</v>
      </c>
      <c r="N1073" t="s">
        <v>29</v>
      </c>
      <c r="O1073" t="s">
        <v>16</v>
      </c>
      <c r="P1073" t="s">
        <v>34</v>
      </c>
      <c r="Q1073" t="str">
        <f t="shared" si="129"/>
        <v/>
      </c>
      <c r="R1073" s="5">
        <v>46199</v>
      </c>
      <c r="S1073" s="8">
        <f t="shared" si="130"/>
        <v>66.666666666666671</v>
      </c>
      <c r="T1073">
        <f t="shared" si="131"/>
        <v>480000</v>
      </c>
      <c r="U1073" t="str">
        <f t="shared" si="132"/>
        <v>Mid</v>
      </c>
      <c r="V1073" t="str">
        <f t="shared" si="133"/>
        <v>Medium</v>
      </c>
      <c r="W1073" t="str">
        <f>IF(S1073 &lt; VLOOKUP(E1073, Locality_Tier_Benchmarks!A:B, 2, FALSE) * 0.7, "Below Tier Range", "Normal")</f>
        <v>Normal</v>
      </c>
      <c r="X1073" t="str">
        <f t="shared" si="134"/>
        <v>Normal</v>
      </c>
      <c r="Y1073" t="str">
        <f t="shared" si="135"/>
        <v>Normal</v>
      </c>
      <c r="Z1073" t="str">
        <f t="shared" si="128"/>
        <v>Pass</v>
      </c>
    </row>
    <row r="1074" spans="1:26" x14ac:dyDescent="0.25">
      <c r="A1074" s="2" t="s">
        <v>2254</v>
      </c>
      <c r="B1074" t="s">
        <v>17</v>
      </c>
      <c r="C1074" t="s">
        <v>502</v>
      </c>
      <c r="D1074" s="2" t="str">
        <f>VLOOKUP(C1074,Locality_Reference!A:C,2,)</f>
        <v>Navi Mumbai</v>
      </c>
      <c r="E1074" s="2" t="str">
        <f>VLOOKUP(C1074,Locality_Reference!A:C,3,)</f>
        <v>Navi Mumbai</v>
      </c>
      <c r="F1074" s="2" t="s">
        <v>2130</v>
      </c>
      <c r="G1074" s="8">
        <v>65000</v>
      </c>
      <c r="H1074">
        <v>2</v>
      </c>
      <c r="I1074">
        <v>2</v>
      </c>
      <c r="J1074">
        <v>0</v>
      </c>
      <c r="K1074">
        <v>3</v>
      </c>
      <c r="L1074">
        <v>750</v>
      </c>
      <c r="M1074" t="s">
        <v>36</v>
      </c>
      <c r="N1074" t="s">
        <v>15</v>
      </c>
      <c r="O1074" t="s">
        <v>16</v>
      </c>
      <c r="P1074" t="s">
        <v>23</v>
      </c>
      <c r="Q1074" t="str">
        <f t="shared" si="129"/>
        <v>10</v>
      </c>
      <c r="R1074" s="5">
        <v>46190</v>
      </c>
      <c r="S1074" s="8">
        <f t="shared" si="130"/>
        <v>86.666666666666671</v>
      </c>
      <c r="T1074">
        <f t="shared" si="131"/>
        <v>780000</v>
      </c>
      <c r="U1074" t="str">
        <f t="shared" si="132"/>
        <v>Premium</v>
      </c>
      <c r="V1074" t="str">
        <f t="shared" si="133"/>
        <v>Medium</v>
      </c>
      <c r="W1074" t="str">
        <f>IF(S1074 &lt; VLOOKUP(E1074, Locality_Tier_Benchmarks!A:B, 2, FALSE) * 0.7, "Below Tier Range", "Normal")</f>
        <v>Normal</v>
      </c>
      <c r="X1074" t="str">
        <f t="shared" si="134"/>
        <v>Normal</v>
      </c>
      <c r="Y1074" t="str">
        <f t="shared" si="135"/>
        <v>Normal</v>
      </c>
      <c r="Z1074" t="str">
        <f t="shared" si="128"/>
        <v>Pass</v>
      </c>
    </row>
    <row r="1075" spans="1:26" x14ac:dyDescent="0.25">
      <c r="A1075" s="2" t="s">
        <v>2255</v>
      </c>
      <c r="B1075" t="s">
        <v>17</v>
      </c>
      <c r="C1075" t="s">
        <v>502</v>
      </c>
      <c r="D1075" s="2" t="str">
        <f>VLOOKUP(C1075,Locality_Reference!A:C,2,)</f>
        <v>Navi Mumbai</v>
      </c>
      <c r="E1075" s="2" t="str">
        <f>VLOOKUP(C1075,Locality_Reference!A:C,3,)</f>
        <v>Navi Mumbai</v>
      </c>
      <c r="F1075" s="2" t="s">
        <v>2131</v>
      </c>
      <c r="G1075" s="8">
        <v>82000</v>
      </c>
      <c r="H1075">
        <v>2</v>
      </c>
      <c r="I1075">
        <v>2</v>
      </c>
      <c r="J1075">
        <v>5</v>
      </c>
      <c r="K1075">
        <v>7</v>
      </c>
      <c r="L1075">
        <v>750</v>
      </c>
      <c r="M1075" t="s">
        <v>14</v>
      </c>
      <c r="N1075" t="s">
        <v>15</v>
      </c>
      <c r="O1075" t="s">
        <v>16</v>
      </c>
      <c r="P1075" t="s">
        <v>23</v>
      </c>
      <c r="Q1075" t="str">
        <f t="shared" si="129"/>
        <v>10</v>
      </c>
      <c r="R1075" s="5">
        <v>46192</v>
      </c>
      <c r="S1075" s="8">
        <f t="shared" si="130"/>
        <v>109.33333333333333</v>
      </c>
      <c r="T1075">
        <f t="shared" si="131"/>
        <v>984000</v>
      </c>
      <c r="U1075" t="str">
        <f t="shared" si="132"/>
        <v>Premium</v>
      </c>
      <c r="V1075" t="str">
        <f t="shared" si="133"/>
        <v>Medium</v>
      </c>
      <c r="W1075" t="str">
        <f>IF(S1075 &lt; VLOOKUP(E1075, Locality_Tier_Benchmarks!A:B, 2, FALSE) * 0.7, "Below Tier Range", "Normal")</f>
        <v>Normal</v>
      </c>
      <c r="X1075" t="str">
        <f t="shared" si="134"/>
        <v>Normal</v>
      </c>
      <c r="Y1075" t="str">
        <f t="shared" si="135"/>
        <v>Normal</v>
      </c>
      <c r="Z1075" t="str">
        <f t="shared" si="128"/>
        <v>Pass</v>
      </c>
    </row>
    <row r="1076" spans="1:26" x14ac:dyDescent="0.25">
      <c r="A1076" s="2" t="s">
        <v>2256</v>
      </c>
      <c r="B1076" t="s">
        <v>17</v>
      </c>
      <c r="C1076" t="s">
        <v>502</v>
      </c>
      <c r="D1076" s="2" t="str">
        <f>VLOOKUP(C1076,Locality_Reference!A:C,2,)</f>
        <v>Navi Mumbai</v>
      </c>
      <c r="E1076" s="2" t="str">
        <f>VLOOKUP(C1076,Locality_Reference!A:C,3,)</f>
        <v>Navi Mumbai</v>
      </c>
      <c r="F1076" s="2" t="s">
        <v>2132</v>
      </c>
      <c r="G1076" s="8">
        <v>62000</v>
      </c>
      <c r="H1076">
        <v>2</v>
      </c>
      <c r="I1076">
        <v>2</v>
      </c>
      <c r="J1076">
        <v>3</v>
      </c>
      <c r="K1076">
        <v>7</v>
      </c>
      <c r="L1076">
        <v>800</v>
      </c>
      <c r="M1076" t="s">
        <v>36</v>
      </c>
      <c r="N1076" t="s">
        <v>29</v>
      </c>
      <c r="O1076" t="s">
        <v>16</v>
      </c>
      <c r="P1076" t="s">
        <v>52</v>
      </c>
      <c r="Q1076" t="str">
        <f t="shared" si="129"/>
        <v>7.5</v>
      </c>
      <c r="R1076" s="5">
        <v>46197</v>
      </c>
      <c r="S1076" s="8">
        <f t="shared" si="130"/>
        <v>77.5</v>
      </c>
      <c r="T1076">
        <f t="shared" si="131"/>
        <v>744000</v>
      </c>
      <c r="U1076" t="str">
        <f t="shared" si="132"/>
        <v>Premium</v>
      </c>
      <c r="V1076" t="str">
        <f t="shared" si="133"/>
        <v>Medium</v>
      </c>
      <c r="W1076" t="str">
        <f>IF(S1076 &lt; VLOOKUP(E1076, Locality_Tier_Benchmarks!A:B, 2, FALSE) * 0.7, "Below Tier Range", "Normal")</f>
        <v>Normal</v>
      </c>
      <c r="X1076" t="str">
        <f t="shared" si="134"/>
        <v>Normal</v>
      </c>
      <c r="Y1076" t="str">
        <f t="shared" si="135"/>
        <v>Normal</v>
      </c>
      <c r="Z1076" t="str">
        <f t="shared" si="128"/>
        <v>Pass</v>
      </c>
    </row>
    <row r="1077" spans="1:26" x14ac:dyDescent="0.25">
      <c r="A1077" s="2" t="s">
        <v>2257</v>
      </c>
      <c r="B1077" t="s">
        <v>17</v>
      </c>
      <c r="C1077" t="s">
        <v>502</v>
      </c>
      <c r="D1077" s="2" t="str">
        <f>VLOOKUP(C1077,Locality_Reference!A:C,2,)</f>
        <v>Navi Mumbai</v>
      </c>
      <c r="E1077" s="2" t="str">
        <f>VLOOKUP(C1077,Locality_Reference!A:C,3,)</f>
        <v>Navi Mumbai</v>
      </c>
      <c r="F1077" s="2" t="s">
        <v>2133</v>
      </c>
      <c r="G1077" s="8">
        <v>60000</v>
      </c>
      <c r="H1077">
        <v>3</v>
      </c>
      <c r="I1077">
        <v>2</v>
      </c>
      <c r="J1077">
        <v>15</v>
      </c>
      <c r="K1077">
        <v>27</v>
      </c>
      <c r="L1077">
        <v>800</v>
      </c>
      <c r="M1077" t="s">
        <v>36</v>
      </c>
      <c r="N1077" t="s">
        <v>15</v>
      </c>
      <c r="O1077" t="s">
        <v>16</v>
      </c>
      <c r="P1077" t="s">
        <v>23</v>
      </c>
      <c r="Q1077" t="str">
        <f t="shared" si="129"/>
        <v>10</v>
      </c>
      <c r="R1077" s="5">
        <v>46175</v>
      </c>
      <c r="S1077" s="8">
        <f t="shared" si="130"/>
        <v>75</v>
      </c>
      <c r="T1077">
        <f t="shared" si="131"/>
        <v>720000</v>
      </c>
      <c r="U1077" t="str">
        <f t="shared" si="132"/>
        <v>Mid</v>
      </c>
      <c r="V1077" t="str">
        <f t="shared" si="133"/>
        <v>Medium</v>
      </c>
      <c r="W1077" t="str">
        <f>IF(S1077 &lt; VLOOKUP(E1077, Locality_Tier_Benchmarks!A:B, 2, FALSE) * 0.7, "Below Tier Range", "Normal")</f>
        <v>Normal</v>
      </c>
      <c r="X1077" t="str">
        <f t="shared" si="134"/>
        <v>Normal</v>
      </c>
      <c r="Y1077" t="str">
        <f t="shared" si="135"/>
        <v>Normal</v>
      </c>
      <c r="Z1077" t="str">
        <f t="shared" si="128"/>
        <v>Pass</v>
      </c>
    </row>
    <row r="1078" spans="1:26" x14ac:dyDescent="0.25">
      <c r="A1078" s="2" t="s">
        <v>2258</v>
      </c>
      <c r="B1078" t="s">
        <v>17</v>
      </c>
      <c r="C1078" t="s">
        <v>502</v>
      </c>
      <c r="D1078" s="2" t="str">
        <f>VLOOKUP(C1078,Locality_Reference!A:C,2,)</f>
        <v>Navi Mumbai</v>
      </c>
      <c r="E1078" s="2" t="str">
        <f>VLOOKUP(C1078,Locality_Reference!A:C,3,)</f>
        <v>Navi Mumbai</v>
      </c>
      <c r="F1078" s="2" t="s">
        <v>2134</v>
      </c>
      <c r="G1078" s="8">
        <v>72000</v>
      </c>
      <c r="H1078">
        <v>3</v>
      </c>
      <c r="I1078">
        <v>3</v>
      </c>
      <c r="J1078">
        <v>25</v>
      </c>
      <c r="K1078">
        <v>25</v>
      </c>
      <c r="L1078">
        <v>900</v>
      </c>
      <c r="M1078" t="s">
        <v>33</v>
      </c>
      <c r="N1078" t="s">
        <v>15</v>
      </c>
      <c r="O1078" t="s">
        <v>16</v>
      </c>
      <c r="P1078" t="s">
        <v>31</v>
      </c>
      <c r="Q1078" t="str">
        <f t="shared" si="129"/>
        <v>3</v>
      </c>
      <c r="R1078" s="5">
        <v>46171</v>
      </c>
      <c r="S1078" s="8">
        <f t="shared" si="130"/>
        <v>80</v>
      </c>
      <c r="T1078">
        <f t="shared" si="131"/>
        <v>864000</v>
      </c>
      <c r="U1078" t="str">
        <f t="shared" si="132"/>
        <v>Premium</v>
      </c>
      <c r="V1078" t="str">
        <f t="shared" si="133"/>
        <v>Large</v>
      </c>
      <c r="W1078" t="str">
        <f>IF(S1078 &lt; VLOOKUP(E1078, Locality_Tier_Benchmarks!A:B, 2, FALSE) * 0.7, "Below Tier Range", "Normal")</f>
        <v>Normal</v>
      </c>
      <c r="X1078" t="str">
        <f t="shared" si="134"/>
        <v>Normal</v>
      </c>
      <c r="Y1078" t="str">
        <f t="shared" si="135"/>
        <v>Normal</v>
      </c>
      <c r="Z1078" t="str">
        <f t="shared" si="128"/>
        <v>Pass</v>
      </c>
    </row>
    <row r="1079" spans="1:26" x14ac:dyDescent="0.25">
      <c r="A1079" s="2" t="s">
        <v>2259</v>
      </c>
      <c r="B1079" t="s">
        <v>17</v>
      </c>
      <c r="C1079" t="s">
        <v>502</v>
      </c>
      <c r="D1079" s="2" t="str">
        <f>VLOOKUP(C1079,Locality_Reference!A:C,2,)</f>
        <v>Navi Mumbai</v>
      </c>
      <c r="E1079" s="2" t="str">
        <f>VLOOKUP(C1079,Locality_Reference!A:C,3,)</f>
        <v>Navi Mumbai</v>
      </c>
      <c r="F1079" s="2" t="s">
        <v>2135</v>
      </c>
      <c r="G1079" s="8">
        <v>145000</v>
      </c>
      <c r="H1079">
        <v>3</v>
      </c>
      <c r="I1079">
        <v>4</v>
      </c>
      <c r="J1079">
        <v>6</v>
      </c>
      <c r="K1079">
        <v>30</v>
      </c>
      <c r="L1079">
        <v>1450</v>
      </c>
      <c r="M1079" t="s">
        <v>36</v>
      </c>
      <c r="N1079" t="s">
        <v>29</v>
      </c>
      <c r="O1079" t="s">
        <v>16</v>
      </c>
      <c r="P1079" t="s">
        <v>47</v>
      </c>
      <c r="Q1079" t="str">
        <f t="shared" si="129"/>
        <v>1</v>
      </c>
      <c r="R1079" s="5">
        <v>46178</v>
      </c>
      <c r="S1079" s="8">
        <f t="shared" si="130"/>
        <v>100</v>
      </c>
      <c r="T1079">
        <f t="shared" si="131"/>
        <v>1740000</v>
      </c>
      <c r="U1079" t="str">
        <f t="shared" si="132"/>
        <v>Luxury</v>
      </c>
      <c r="V1079" t="str">
        <f t="shared" si="133"/>
        <v>Spacious</v>
      </c>
      <c r="W1079" t="str">
        <f>IF(S1079 &lt; VLOOKUP(E1079, Locality_Tier_Benchmarks!A:B, 2, FALSE) * 0.7, "Below Tier Range", "Normal")</f>
        <v>Normal</v>
      </c>
      <c r="X1079" t="str">
        <f t="shared" si="134"/>
        <v>Normal</v>
      </c>
      <c r="Y1079" t="str">
        <f t="shared" si="135"/>
        <v>Normal</v>
      </c>
      <c r="Z1079" t="str">
        <f t="shared" si="128"/>
        <v>Pass</v>
      </c>
    </row>
    <row r="1080" spans="1:26" x14ac:dyDescent="0.25">
      <c r="A1080" s="2" t="s">
        <v>2260</v>
      </c>
      <c r="B1080" t="s">
        <v>17</v>
      </c>
      <c r="C1080" t="s">
        <v>502</v>
      </c>
      <c r="D1080" s="2" t="str">
        <f>VLOOKUP(C1080,Locality_Reference!A:C,2,)</f>
        <v>Navi Mumbai</v>
      </c>
      <c r="E1080" s="2" t="str">
        <f>VLOOKUP(C1080,Locality_Reference!A:C,3,)</f>
        <v>Navi Mumbai</v>
      </c>
      <c r="F1080" s="2" t="s">
        <v>2136</v>
      </c>
      <c r="G1080" s="8">
        <v>75000</v>
      </c>
      <c r="H1080">
        <v>3</v>
      </c>
      <c r="I1080">
        <v>3</v>
      </c>
      <c r="J1080">
        <v>6</v>
      </c>
      <c r="K1080">
        <v>20</v>
      </c>
      <c r="L1080">
        <v>1200</v>
      </c>
      <c r="M1080" t="s">
        <v>33</v>
      </c>
      <c r="N1080" t="s">
        <v>29</v>
      </c>
      <c r="O1080" t="s">
        <v>16</v>
      </c>
      <c r="P1080" t="s">
        <v>52</v>
      </c>
      <c r="Q1080" t="str">
        <f t="shared" si="129"/>
        <v>7.5</v>
      </c>
      <c r="R1080" s="5">
        <v>46172</v>
      </c>
      <c r="S1080" s="8">
        <f t="shared" si="130"/>
        <v>62.5</v>
      </c>
      <c r="T1080">
        <f t="shared" si="131"/>
        <v>900000</v>
      </c>
      <c r="U1080" t="str">
        <f t="shared" si="132"/>
        <v>Premium</v>
      </c>
      <c r="V1080" t="str">
        <f t="shared" si="133"/>
        <v>Large</v>
      </c>
      <c r="W1080" t="str">
        <f>IF(S1080 &lt; VLOOKUP(E1080, Locality_Tier_Benchmarks!A:B, 2, FALSE) * 0.7, "Below Tier Range", "Normal")</f>
        <v>Normal</v>
      </c>
      <c r="X1080" t="str">
        <f t="shared" si="134"/>
        <v>Normal</v>
      </c>
      <c r="Y1080" t="str">
        <f t="shared" si="135"/>
        <v>Normal</v>
      </c>
      <c r="Z1080" t="str">
        <f t="shared" si="128"/>
        <v>Pass</v>
      </c>
    </row>
    <row r="1081" spans="1:26" x14ac:dyDescent="0.25">
      <c r="A1081" s="2" t="s">
        <v>2261</v>
      </c>
      <c r="B1081" t="s">
        <v>17</v>
      </c>
      <c r="C1081" t="s">
        <v>502</v>
      </c>
      <c r="D1081" s="2" t="str">
        <f>VLOOKUP(C1081,Locality_Reference!A:C,2,)</f>
        <v>Navi Mumbai</v>
      </c>
      <c r="E1081" s="2" t="str">
        <f>VLOOKUP(C1081,Locality_Reference!A:C,3,)</f>
        <v>Navi Mumbai</v>
      </c>
      <c r="F1081" s="2" t="s">
        <v>2137</v>
      </c>
      <c r="G1081" s="8">
        <v>65000</v>
      </c>
      <c r="H1081">
        <v>3</v>
      </c>
      <c r="I1081">
        <v>3</v>
      </c>
      <c r="J1081">
        <v>15</v>
      </c>
      <c r="K1081">
        <v>27</v>
      </c>
      <c r="L1081">
        <v>756</v>
      </c>
      <c r="M1081" t="s">
        <v>36</v>
      </c>
      <c r="N1081" t="s">
        <v>29</v>
      </c>
      <c r="O1081" t="s">
        <v>16</v>
      </c>
      <c r="P1081" t="s">
        <v>47</v>
      </c>
      <c r="Q1081" t="str">
        <f t="shared" si="129"/>
        <v>1</v>
      </c>
      <c r="R1081" s="5">
        <v>46182</v>
      </c>
      <c r="S1081" s="8">
        <f t="shared" si="130"/>
        <v>85.978835978835974</v>
      </c>
      <c r="T1081">
        <f t="shared" si="131"/>
        <v>780000</v>
      </c>
      <c r="U1081" t="str">
        <f t="shared" si="132"/>
        <v>Premium</v>
      </c>
      <c r="V1081" t="str">
        <f t="shared" si="133"/>
        <v>Medium</v>
      </c>
      <c r="W1081" t="str">
        <f>IF(S1081 &lt; VLOOKUP(E1081, Locality_Tier_Benchmarks!A:B, 2, FALSE) * 0.7, "Below Tier Range", "Normal")</f>
        <v>Normal</v>
      </c>
      <c r="X1081" t="str">
        <f t="shared" si="134"/>
        <v>Normal</v>
      </c>
      <c r="Y1081" t="str">
        <f t="shared" si="135"/>
        <v>Normal</v>
      </c>
      <c r="Z1081" t="str">
        <f t="shared" si="128"/>
        <v>Pass</v>
      </c>
    </row>
    <row r="1082" spans="1:26" x14ac:dyDescent="0.25">
      <c r="A1082" s="2" t="s">
        <v>2262</v>
      </c>
      <c r="B1082" t="s">
        <v>17</v>
      </c>
      <c r="C1082" t="s">
        <v>504</v>
      </c>
      <c r="D1082" s="2" t="str">
        <f>VLOOKUP(C1082,Locality_Reference!A:C,2,)</f>
        <v>Navi Mumbai</v>
      </c>
      <c r="E1082" s="2" t="str">
        <f>VLOOKUP(C1082,Locality_Reference!A:C,3,)</f>
        <v>Navi Mumbai</v>
      </c>
      <c r="F1082" s="2" t="s">
        <v>2138</v>
      </c>
      <c r="G1082" s="8">
        <v>50000</v>
      </c>
      <c r="H1082">
        <v>1</v>
      </c>
      <c r="I1082">
        <v>1</v>
      </c>
      <c r="J1082">
        <v>19</v>
      </c>
      <c r="K1082">
        <v>35</v>
      </c>
      <c r="L1082">
        <v>513</v>
      </c>
      <c r="M1082" t="s">
        <v>36</v>
      </c>
      <c r="N1082" t="s">
        <v>29</v>
      </c>
      <c r="O1082" t="s">
        <v>16</v>
      </c>
      <c r="P1082" t="s">
        <v>31</v>
      </c>
      <c r="Q1082" t="str">
        <f t="shared" si="129"/>
        <v>3</v>
      </c>
      <c r="R1082" s="5">
        <v>46160</v>
      </c>
      <c r="S1082" s="8">
        <f t="shared" si="130"/>
        <v>97.465886939571149</v>
      </c>
      <c r="T1082">
        <f t="shared" si="131"/>
        <v>600000</v>
      </c>
      <c r="U1082" t="str">
        <f t="shared" si="132"/>
        <v>Mid</v>
      </c>
      <c r="V1082" t="str">
        <f t="shared" si="133"/>
        <v>Medium</v>
      </c>
      <c r="W1082" t="str">
        <f>IF(S1082 &lt; VLOOKUP(E1082, Locality_Tier_Benchmarks!A:B, 2, FALSE) * 0.7, "Below Tier Range", "Normal")</f>
        <v>Normal</v>
      </c>
      <c r="X1082" t="str">
        <f t="shared" si="134"/>
        <v>Normal</v>
      </c>
      <c r="Y1082" t="str">
        <f t="shared" si="135"/>
        <v>Normal</v>
      </c>
      <c r="Z1082" t="str">
        <f t="shared" si="128"/>
        <v>Pass</v>
      </c>
    </row>
    <row r="1083" spans="1:26" x14ac:dyDescent="0.25">
      <c r="A1083" s="2" t="s">
        <v>2263</v>
      </c>
      <c r="B1083" t="s">
        <v>17</v>
      </c>
      <c r="C1083" t="s">
        <v>504</v>
      </c>
      <c r="D1083" s="2" t="str">
        <f>VLOOKUP(C1083,Locality_Reference!A:C,2,)</f>
        <v>Navi Mumbai</v>
      </c>
      <c r="E1083" s="2" t="str">
        <f>VLOOKUP(C1083,Locality_Reference!A:C,3,)</f>
        <v>Navi Mumbai</v>
      </c>
      <c r="F1083" s="2" t="s">
        <v>2139</v>
      </c>
      <c r="G1083" s="8">
        <v>35000</v>
      </c>
      <c r="H1083">
        <v>1</v>
      </c>
      <c r="I1083">
        <v>2</v>
      </c>
      <c r="J1083">
        <v>4</v>
      </c>
      <c r="K1083">
        <v>4</v>
      </c>
      <c r="L1083">
        <v>450</v>
      </c>
      <c r="M1083" t="s">
        <v>36</v>
      </c>
      <c r="N1083" t="s">
        <v>29</v>
      </c>
      <c r="O1083" t="s">
        <v>16</v>
      </c>
      <c r="P1083" t="s">
        <v>34</v>
      </c>
      <c r="Q1083" t="str">
        <f t="shared" si="129"/>
        <v/>
      </c>
      <c r="R1083" s="5">
        <v>46183</v>
      </c>
      <c r="S1083" s="8">
        <f t="shared" si="130"/>
        <v>77.777777777777771</v>
      </c>
      <c r="T1083">
        <f t="shared" si="131"/>
        <v>420000</v>
      </c>
      <c r="U1083" t="str">
        <f t="shared" si="132"/>
        <v>Mid</v>
      </c>
      <c r="V1083" t="str">
        <f t="shared" si="133"/>
        <v>Compact</v>
      </c>
      <c r="W1083" t="str">
        <f>IF(S1083 &lt; VLOOKUP(E1083, Locality_Tier_Benchmarks!A:B, 2, FALSE) * 0.7, "Below Tier Range", "Normal")</f>
        <v>Normal</v>
      </c>
      <c r="X1083" t="str">
        <f t="shared" si="134"/>
        <v>Normal</v>
      </c>
      <c r="Y1083" t="str">
        <f t="shared" si="135"/>
        <v>Normal</v>
      </c>
      <c r="Z1083" t="str">
        <f t="shared" si="128"/>
        <v>Pass</v>
      </c>
    </row>
    <row r="1084" spans="1:26" x14ac:dyDescent="0.25">
      <c r="A1084" s="2" t="s">
        <v>2264</v>
      </c>
      <c r="B1084" t="s">
        <v>17</v>
      </c>
      <c r="C1084" t="s">
        <v>504</v>
      </c>
      <c r="D1084" s="2" t="str">
        <f>VLOOKUP(C1084,Locality_Reference!A:C,2,)</f>
        <v>Navi Mumbai</v>
      </c>
      <c r="E1084" s="2" t="str">
        <f>VLOOKUP(C1084,Locality_Reference!A:C,3,)</f>
        <v>Navi Mumbai</v>
      </c>
      <c r="F1084" s="2" t="s">
        <v>2140</v>
      </c>
      <c r="G1084" s="8">
        <v>37000</v>
      </c>
      <c r="H1084">
        <v>1</v>
      </c>
      <c r="I1084">
        <v>2</v>
      </c>
      <c r="J1084">
        <v>16</v>
      </c>
      <c r="K1084">
        <v>16</v>
      </c>
      <c r="L1084">
        <v>780</v>
      </c>
      <c r="M1084" t="s">
        <v>33</v>
      </c>
      <c r="N1084" t="s">
        <v>29</v>
      </c>
      <c r="O1084" t="s">
        <v>16</v>
      </c>
      <c r="P1084" t="s">
        <v>31</v>
      </c>
      <c r="Q1084" t="str">
        <f t="shared" si="129"/>
        <v>3</v>
      </c>
      <c r="R1084" s="5">
        <v>46189</v>
      </c>
      <c r="S1084" s="8">
        <f t="shared" si="130"/>
        <v>47.435897435897438</v>
      </c>
      <c r="T1084">
        <f t="shared" si="131"/>
        <v>444000</v>
      </c>
      <c r="U1084" t="str">
        <f t="shared" si="132"/>
        <v>Mid</v>
      </c>
      <c r="V1084" t="str">
        <f t="shared" si="133"/>
        <v>Medium</v>
      </c>
      <c r="W1084" t="str">
        <f>IF(S1084 &lt; VLOOKUP(E1084, Locality_Tier_Benchmarks!A:B, 2, FALSE) * 0.7, "Below Tier Range", "Normal")</f>
        <v>Normal</v>
      </c>
      <c r="X1084" t="str">
        <f t="shared" si="134"/>
        <v>Normal</v>
      </c>
      <c r="Y1084" t="str">
        <f t="shared" si="135"/>
        <v>Normal</v>
      </c>
      <c r="Z1084" t="str">
        <f t="shared" si="128"/>
        <v>Pass</v>
      </c>
    </row>
    <row r="1085" spans="1:26" x14ac:dyDescent="0.25">
      <c r="A1085" s="2" t="s">
        <v>2265</v>
      </c>
      <c r="B1085" t="s">
        <v>17</v>
      </c>
      <c r="C1085" t="s">
        <v>504</v>
      </c>
      <c r="D1085" s="2" t="str">
        <f>VLOOKUP(C1085,Locality_Reference!A:C,2,)</f>
        <v>Navi Mumbai</v>
      </c>
      <c r="E1085" s="2" t="str">
        <f>VLOOKUP(C1085,Locality_Reference!A:C,3,)</f>
        <v>Navi Mumbai</v>
      </c>
      <c r="F1085" s="2" t="s">
        <v>2141</v>
      </c>
      <c r="G1085" s="8">
        <v>36000</v>
      </c>
      <c r="H1085">
        <v>1</v>
      </c>
      <c r="I1085">
        <v>1</v>
      </c>
      <c r="J1085">
        <v>12</v>
      </c>
      <c r="K1085">
        <v>14</v>
      </c>
      <c r="L1085">
        <v>360</v>
      </c>
      <c r="M1085" t="s">
        <v>14</v>
      </c>
      <c r="N1085" t="s">
        <v>29</v>
      </c>
      <c r="O1085" t="s">
        <v>16</v>
      </c>
      <c r="P1085" t="s">
        <v>34</v>
      </c>
      <c r="Q1085" t="str">
        <f t="shared" si="129"/>
        <v/>
      </c>
      <c r="R1085" s="5">
        <v>46197</v>
      </c>
      <c r="S1085" s="8">
        <f t="shared" si="130"/>
        <v>100</v>
      </c>
      <c r="T1085">
        <f t="shared" si="131"/>
        <v>432000</v>
      </c>
      <c r="U1085" t="str">
        <f t="shared" si="132"/>
        <v>Mid</v>
      </c>
      <c r="V1085" t="str">
        <f t="shared" si="133"/>
        <v>Compact</v>
      </c>
      <c r="W1085" t="str">
        <f>IF(S1085 &lt; VLOOKUP(E1085, Locality_Tier_Benchmarks!A:B, 2, FALSE) * 0.7, "Below Tier Range", "Normal")</f>
        <v>Normal</v>
      </c>
      <c r="X1085" t="str">
        <f t="shared" si="134"/>
        <v>Normal</v>
      </c>
      <c r="Y1085" t="str">
        <f t="shared" si="135"/>
        <v>Normal</v>
      </c>
      <c r="Z1085" t="str">
        <f t="shared" si="128"/>
        <v>Pass</v>
      </c>
    </row>
    <row r="1086" spans="1:26" x14ac:dyDescent="0.25">
      <c r="A1086" s="2" t="s">
        <v>2266</v>
      </c>
      <c r="B1086" t="s">
        <v>17</v>
      </c>
      <c r="C1086" t="s">
        <v>504</v>
      </c>
      <c r="D1086" s="2" t="str">
        <f>VLOOKUP(C1086,Locality_Reference!A:C,2,)</f>
        <v>Navi Mumbai</v>
      </c>
      <c r="E1086" s="2" t="str">
        <f>VLOOKUP(C1086,Locality_Reference!A:C,3,)</f>
        <v>Navi Mumbai</v>
      </c>
      <c r="F1086" s="2" t="s">
        <v>2142</v>
      </c>
      <c r="G1086" s="8">
        <v>31000</v>
      </c>
      <c r="H1086">
        <v>1</v>
      </c>
      <c r="I1086">
        <v>1</v>
      </c>
      <c r="J1086">
        <v>3</v>
      </c>
      <c r="K1086">
        <v>4</v>
      </c>
      <c r="L1086">
        <v>500</v>
      </c>
      <c r="M1086" t="s">
        <v>33</v>
      </c>
      <c r="N1086" t="s">
        <v>29</v>
      </c>
      <c r="O1086" t="s">
        <v>16</v>
      </c>
      <c r="P1086" t="s">
        <v>31</v>
      </c>
      <c r="Q1086" t="str">
        <f t="shared" si="129"/>
        <v>3</v>
      </c>
      <c r="R1086" s="5">
        <v>46200</v>
      </c>
      <c r="S1086" s="8">
        <f t="shared" si="130"/>
        <v>62</v>
      </c>
      <c r="T1086">
        <f t="shared" si="131"/>
        <v>372000</v>
      </c>
      <c r="U1086" t="str">
        <f t="shared" si="132"/>
        <v>Mid</v>
      </c>
      <c r="V1086" t="str">
        <f t="shared" si="133"/>
        <v>Compact</v>
      </c>
      <c r="W1086" t="str">
        <f>IF(S1086 &lt; VLOOKUP(E1086, Locality_Tier_Benchmarks!A:B, 2, FALSE) * 0.7, "Below Tier Range", "Normal")</f>
        <v>Normal</v>
      </c>
      <c r="X1086" t="str">
        <f t="shared" si="134"/>
        <v>Normal</v>
      </c>
      <c r="Y1086" t="str">
        <f t="shared" si="135"/>
        <v>Normal</v>
      </c>
      <c r="Z1086" t="str">
        <f t="shared" si="128"/>
        <v>Pass</v>
      </c>
    </row>
    <row r="1087" spans="1:26" x14ac:dyDescent="0.25">
      <c r="A1087" s="2" t="s">
        <v>2267</v>
      </c>
      <c r="B1087" t="s">
        <v>17</v>
      </c>
      <c r="C1087" t="s">
        <v>504</v>
      </c>
      <c r="D1087" s="2" t="str">
        <f>VLOOKUP(C1087,Locality_Reference!A:C,2,)</f>
        <v>Navi Mumbai</v>
      </c>
      <c r="E1087" s="2" t="str">
        <f>VLOOKUP(C1087,Locality_Reference!A:C,3,)</f>
        <v>Navi Mumbai</v>
      </c>
      <c r="F1087" s="2" t="s">
        <v>2138</v>
      </c>
      <c r="G1087" s="8">
        <v>59000</v>
      </c>
      <c r="H1087">
        <v>2</v>
      </c>
      <c r="I1087">
        <v>2</v>
      </c>
      <c r="J1087">
        <v>24</v>
      </c>
      <c r="K1087">
        <v>30</v>
      </c>
      <c r="L1087">
        <v>715</v>
      </c>
      <c r="M1087" t="s">
        <v>33</v>
      </c>
      <c r="N1087" t="s">
        <v>29</v>
      </c>
      <c r="O1087" t="s">
        <v>16</v>
      </c>
      <c r="P1087" t="s">
        <v>34</v>
      </c>
      <c r="Q1087" t="str">
        <f t="shared" si="129"/>
        <v/>
      </c>
      <c r="R1087" s="5">
        <v>46179</v>
      </c>
      <c r="S1087" s="8">
        <f t="shared" si="130"/>
        <v>82.51748251748252</v>
      </c>
      <c r="T1087">
        <f t="shared" si="131"/>
        <v>708000</v>
      </c>
      <c r="U1087" t="str">
        <f t="shared" si="132"/>
        <v>Mid</v>
      </c>
      <c r="V1087" t="str">
        <f t="shared" si="133"/>
        <v>Medium</v>
      </c>
      <c r="W1087" t="str">
        <f>IF(S1087 &lt; VLOOKUP(E1087, Locality_Tier_Benchmarks!A:B, 2, FALSE) * 0.7, "Below Tier Range", "Normal")</f>
        <v>Normal</v>
      </c>
      <c r="X1087" t="str">
        <f t="shared" si="134"/>
        <v>Normal</v>
      </c>
      <c r="Y1087" t="str">
        <f t="shared" si="135"/>
        <v>Normal</v>
      </c>
      <c r="Z1087" t="str">
        <f t="shared" si="128"/>
        <v>Pass</v>
      </c>
    </row>
    <row r="1088" spans="1:26" x14ac:dyDescent="0.25">
      <c r="A1088" s="2" t="s">
        <v>2268</v>
      </c>
      <c r="B1088" t="s">
        <v>17</v>
      </c>
      <c r="C1088" t="s">
        <v>504</v>
      </c>
      <c r="D1088" s="2" t="str">
        <f>VLOOKUP(C1088,Locality_Reference!A:C,2,)</f>
        <v>Navi Mumbai</v>
      </c>
      <c r="E1088" s="2" t="str">
        <f>VLOOKUP(C1088,Locality_Reference!A:C,3,)</f>
        <v>Navi Mumbai</v>
      </c>
      <c r="F1088" s="2" t="s">
        <v>2143</v>
      </c>
      <c r="G1088" s="8">
        <v>60000</v>
      </c>
      <c r="H1088">
        <v>2</v>
      </c>
      <c r="I1088">
        <v>2</v>
      </c>
      <c r="J1088">
        <v>10</v>
      </c>
      <c r="K1088">
        <v>22</v>
      </c>
      <c r="L1088">
        <v>700</v>
      </c>
      <c r="M1088" t="s">
        <v>14</v>
      </c>
      <c r="N1088" t="s">
        <v>29</v>
      </c>
      <c r="O1088" t="s">
        <v>16</v>
      </c>
      <c r="P1088" t="s">
        <v>34</v>
      </c>
      <c r="Q1088" t="str">
        <f t="shared" si="129"/>
        <v/>
      </c>
      <c r="R1088" s="5">
        <v>46188</v>
      </c>
      <c r="S1088" s="8">
        <f t="shared" si="130"/>
        <v>85.714285714285708</v>
      </c>
      <c r="T1088">
        <f t="shared" si="131"/>
        <v>720000</v>
      </c>
      <c r="U1088" t="str">
        <f t="shared" si="132"/>
        <v>Mid</v>
      </c>
      <c r="V1088" t="str">
        <f t="shared" si="133"/>
        <v>Medium</v>
      </c>
      <c r="W1088" t="str">
        <f>IF(S1088 &lt; VLOOKUP(E1088, Locality_Tier_Benchmarks!A:B, 2, FALSE) * 0.7, "Below Tier Range", "Normal")</f>
        <v>Normal</v>
      </c>
      <c r="X1088" t="str">
        <f t="shared" si="134"/>
        <v>Normal</v>
      </c>
      <c r="Y1088" t="str">
        <f t="shared" si="135"/>
        <v>Normal</v>
      </c>
      <c r="Z1088" t="str">
        <f t="shared" si="128"/>
        <v>Pass</v>
      </c>
    </row>
    <row r="1089" spans="1:26" x14ac:dyDescent="0.25">
      <c r="A1089" s="2" t="s">
        <v>2269</v>
      </c>
      <c r="B1089" t="s">
        <v>17</v>
      </c>
      <c r="C1089" t="s">
        <v>504</v>
      </c>
      <c r="D1089" s="2" t="str">
        <f>VLOOKUP(C1089,Locality_Reference!A:C,2,)</f>
        <v>Navi Mumbai</v>
      </c>
      <c r="E1089" s="2" t="str">
        <f>VLOOKUP(C1089,Locality_Reference!A:C,3,)</f>
        <v>Navi Mumbai</v>
      </c>
      <c r="F1089" s="2" t="s">
        <v>2144</v>
      </c>
      <c r="G1089" s="8">
        <v>65000</v>
      </c>
      <c r="H1089">
        <v>2</v>
      </c>
      <c r="I1089">
        <v>2</v>
      </c>
      <c r="J1089">
        <v>14</v>
      </c>
      <c r="K1089">
        <v>28</v>
      </c>
      <c r="L1089">
        <v>750</v>
      </c>
      <c r="M1089" t="s">
        <v>36</v>
      </c>
      <c r="N1089" t="s">
        <v>15</v>
      </c>
      <c r="O1089" t="s">
        <v>16</v>
      </c>
      <c r="P1089" t="s">
        <v>31</v>
      </c>
      <c r="Q1089" t="str">
        <f t="shared" si="129"/>
        <v>3</v>
      </c>
      <c r="R1089" s="5">
        <v>46188</v>
      </c>
      <c r="S1089" s="8">
        <f t="shared" si="130"/>
        <v>86.666666666666671</v>
      </c>
      <c r="T1089">
        <f t="shared" si="131"/>
        <v>780000</v>
      </c>
      <c r="U1089" t="str">
        <f t="shared" si="132"/>
        <v>Premium</v>
      </c>
      <c r="V1089" t="str">
        <f t="shared" si="133"/>
        <v>Medium</v>
      </c>
      <c r="W1089" t="str">
        <f>IF(S1089 &lt; VLOOKUP(E1089, Locality_Tier_Benchmarks!A:B, 2, FALSE) * 0.7, "Below Tier Range", "Normal")</f>
        <v>Normal</v>
      </c>
      <c r="X1089" t="str">
        <f t="shared" si="134"/>
        <v>Normal</v>
      </c>
      <c r="Y1089" t="str">
        <f t="shared" si="135"/>
        <v>Normal</v>
      </c>
      <c r="Z1089" t="str">
        <f t="shared" si="128"/>
        <v>Pass</v>
      </c>
    </row>
    <row r="1090" spans="1:26" x14ac:dyDescent="0.25">
      <c r="A1090" s="2" t="s">
        <v>2270</v>
      </c>
      <c r="B1090" t="s">
        <v>17</v>
      </c>
      <c r="C1090" t="s">
        <v>504</v>
      </c>
      <c r="D1090" s="2" t="str">
        <f>VLOOKUP(C1090,Locality_Reference!A:C,2,)</f>
        <v>Navi Mumbai</v>
      </c>
      <c r="E1090" s="2" t="str">
        <f>VLOOKUP(C1090,Locality_Reference!A:C,3,)</f>
        <v>Navi Mumbai</v>
      </c>
      <c r="F1090" s="2" t="s">
        <v>2145</v>
      </c>
      <c r="G1090" s="8">
        <v>75000</v>
      </c>
      <c r="H1090">
        <v>2</v>
      </c>
      <c r="I1090">
        <v>2</v>
      </c>
      <c r="J1090">
        <v>10</v>
      </c>
      <c r="K1090">
        <v>19</v>
      </c>
      <c r="L1090">
        <v>700</v>
      </c>
      <c r="M1090" t="s">
        <v>14</v>
      </c>
      <c r="N1090" t="s">
        <v>15</v>
      </c>
      <c r="O1090" t="s">
        <v>16</v>
      </c>
      <c r="P1090" t="s">
        <v>31</v>
      </c>
      <c r="Q1090" t="str">
        <f t="shared" si="129"/>
        <v>3</v>
      </c>
      <c r="R1090" s="5">
        <v>46190</v>
      </c>
      <c r="S1090" s="8">
        <f t="shared" si="130"/>
        <v>107.14285714285714</v>
      </c>
      <c r="T1090">
        <f t="shared" si="131"/>
        <v>900000</v>
      </c>
      <c r="U1090" t="str">
        <f t="shared" si="132"/>
        <v>Premium</v>
      </c>
      <c r="V1090" t="str">
        <f t="shared" si="133"/>
        <v>Medium</v>
      </c>
      <c r="W1090" t="str">
        <f>IF(S1090 &lt; VLOOKUP(E1090, Locality_Tier_Benchmarks!A:B, 2, FALSE) * 0.7, "Below Tier Range", "Normal")</f>
        <v>Normal</v>
      </c>
      <c r="X1090" t="str">
        <f t="shared" si="134"/>
        <v>Normal</v>
      </c>
      <c r="Y1090" t="str">
        <f t="shared" si="135"/>
        <v>Normal</v>
      </c>
      <c r="Z1090" t="str">
        <f t="shared" ref="Z1090:Z1153" si="136">IF(OR(W1090&lt;&gt;"Normal",X1090&lt;&gt;"Normal",Y1090&lt;&gt;"Normal"),"Review","Pass")</f>
        <v>Pass</v>
      </c>
    </row>
    <row r="1091" spans="1:26" x14ac:dyDescent="0.25">
      <c r="A1091" s="2" t="s">
        <v>2271</v>
      </c>
      <c r="B1091" t="s">
        <v>17</v>
      </c>
      <c r="C1091" t="s">
        <v>504</v>
      </c>
      <c r="D1091" s="2" t="str">
        <f>VLOOKUP(C1091,Locality_Reference!A:C,2,)</f>
        <v>Navi Mumbai</v>
      </c>
      <c r="E1091" s="2" t="str">
        <f>VLOOKUP(C1091,Locality_Reference!A:C,3,)</f>
        <v>Navi Mumbai</v>
      </c>
      <c r="F1091" s="2" t="s">
        <v>2146</v>
      </c>
      <c r="G1091" s="8">
        <v>40000</v>
      </c>
      <c r="H1091">
        <v>2</v>
      </c>
      <c r="I1091">
        <v>2</v>
      </c>
      <c r="J1091">
        <v>3</v>
      </c>
      <c r="K1091">
        <v>6</v>
      </c>
      <c r="L1091">
        <v>600</v>
      </c>
      <c r="M1091" t="s">
        <v>33</v>
      </c>
      <c r="N1091" t="s">
        <v>29</v>
      </c>
      <c r="O1091" t="s">
        <v>16</v>
      </c>
      <c r="P1091" t="s">
        <v>34</v>
      </c>
      <c r="Q1091" t="str">
        <f t="shared" ref="Q1091:Q1154" si="137">IF(P1091="20+ Years","20",IF(P1091="15-20 Years","17.5",IF(P1091="10+ Years","10",IF(P1091="5-10 Years","7.5",IF(P1091="1-5 Years","3",IF(P1091="0-1 Year","1",""))))))</f>
        <v/>
      </c>
      <c r="R1091" s="5">
        <v>46176</v>
      </c>
      <c r="S1091" s="8">
        <f t="shared" ref="S1091:S1154" si="138">G1091/L1091</f>
        <v>66.666666666666671</v>
      </c>
      <c r="T1091">
        <f t="shared" ref="T1091:T1154" si="139">G1091*12</f>
        <v>480000</v>
      </c>
      <c r="U1091" t="str">
        <f t="shared" ref="U1091:U1154" si="140">IF(G1091&lt;=30000,"Budget",IF(G1091&lt;=60000,"Mid",IF(G1091&lt;=100000,"Premium","Luxury")))</f>
        <v>Mid</v>
      </c>
      <c r="V1091" t="str">
        <f t="shared" ref="V1091:V1154" si="141">IF(L1091&lt;=500,"Compact",IF(L1091&lt;=800,"Medium",IF(L1091&lt;=1200,"Large","Spacious")))</f>
        <v>Medium</v>
      </c>
      <c r="W1091" t="str">
        <f>IF(S1091 &lt; VLOOKUP(E1091, Locality_Tier_Benchmarks!A:B, 2, FALSE) * 0.7, "Below Tier Range", "Normal")</f>
        <v>Normal</v>
      </c>
      <c r="X1091" t="str">
        <f t="shared" ref="X1091:X1154" si="142">IF(G1091&lt;7000,"Below Absolute Floor","Normal")</f>
        <v>Normal</v>
      </c>
      <c r="Y1091" t="str">
        <f t="shared" ref="Y1091:Y1154" si="143">IF(S1091&gt;500,"Possible Typo - Check Zero","Normal")</f>
        <v>Normal</v>
      </c>
      <c r="Z1091" t="str">
        <f t="shared" si="136"/>
        <v>Pass</v>
      </c>
    </row>
    <row r="1092" spans="1:26" x14ac:dyDescent="0.25">
      <c r="A1092" s="2" t="s">
        <v>2272</v>
      </c>
      <c r="B1092" t="s">
        <v>17</v>
      </c>
      <c r="C1092" t="s">
        <v>504</v>
      </c>
      <c r="D1092" s="2" t="str">
        <f>VLOOKUP(C1092,Locality_Reference!A:C,2,)</f>
        <v>Navi Mumbai</v>
      </c>
      <c r="E1092" s="2" t="str">
        <f>VLOOKUP(C1092,Locality_Reference!A:C,3,)</f>
        <v>Navi Mumbai</v>
      </c>
      <c r="F1092" s="2" t="s">
        <v>2147</v>
      </c>
      <c r="G1092" s="8">
        <v>110000</v>
      </c>
      <c r="H1092">
        <v>3</v>
      </c>
      <c r="I1092">
        <v>3</v>
      </c>
      <c r="J1092">
        <v>8</v>
      </c>
      <c r="K1092">
        <v>38</v>
      </c>
      <c r="L1092">
        <v>1000</v>
      </c>
      <c r="M1092" t="s">
        <v>14</v>
      </c>
      <c r="N1092" t="s">
        <v>29</v>
      </c>
      <c r="O1092" t="s">
        <v>16</v>
      </c>
      <c r="P1092" t="s">
        <v>34</v>
      </c>
      <c r="Q1092" t="str">
        <f t="shared" si="137"/>
        <v/>
      </c>
      <c r="R1092" s="5">
        <v>46193</v>
      </c>
      <c r="S1092" s="8">
        <f t="shared" si="138"/>
        <v>110</v>
      </c>
      <c r="T1092">
        <f t="shared" si="139"/>
        <v>1320000</v>
      </c>
      <c r="U1092" t="str">
        <f t="shared" si="140"/>
        <v>Luxury</v>
      </c>
      <c r="V1092" t="str">
        <f t="shared" si="141"/>
        <v>Large</v>
      </c>
      <c r="W1092" t="str">
        <f>IF(S1092 &lt; VLOOKUP(E1092, Locality_Tier_Benchmarks!A:B, 2, FALSE) * 0.7, "Below Tier Range", "Normal")</f>
        <v>Normal</v>
      </c>
      <c r="X1092" t="str">
        <f t="shared" si="142"/>
        <v>Normal</v>
      </c>
      <c r="Y1092" t="str">
        <f t="shared" si="143"/>
        <v>Normal</v>
      </c>
      <c r="Z1092" t="str">
        <f t="shared" si="136"/>
        <v>Pass</v>
      </c>
    </row>
    <row r="1093" spans="1:26" x14ac:dyDescent="0.25">
      <c r="A1093" s="2" t="s">
        <v>2273</v>
      </c>
      <c r="B1093" t="s">
        <v>17</v>
      </c>
      <c r="C1093" t="s">
        <v>504</v>
      </c>
      <c r="D1093" s="2" t="str">
        <f>VLOOKUP(C1093,Locality_Reference!A:C,2,)</f>
        <v>Navi Mumbai</v>
      </c>
      <c r="E1093" s="2" t="str">
        <f>VLOOKUP(C1093,Locality_Reference!A:C,3,)</f>
        <v>Navi Mumbai</v>
      </c>
      <c r="F1093" s="2" t="s">
        <v>2148</v>
      </c>
      <c r="G1093" s="8">
        <v>76000</v>
      </c>
      <c r="H1093">
        <v>3</v>
      </c>
      <c r="I1093">
        <v>3</v>
      </c>
      <c r="J1093">
        <v>37</v>
      </c>
      <c r="K1093">
        <v>40</v>
      </c>
      <c r="L1093">
        <v>1000</v>
      </c>
      <c r="M1093" t="s">
        <v>33</v>
      </c>
      <c r="N1093" t="s">
        <v>15</v>
      </c>
      <c r="O1093" t="s">
        <v>16</v>
      </c>
      <c r="P1093" t="s">
        <v>34</v>
      </c>
      <c r="Q1093" t="str">
        <f t="shared" si="137"/>
        <v/>
      </c>
      <c r="R1093" s="5">
        <v>46200</v>
      </c>
      <c r="S1093" s="8">
        <f t="shared" si="138"/>
        <v>76</v>
      </c>
      <c r="T1093">
        <f t="shared" si="139"/>
        <v>912000</v>
      </c>
      <c r="U1093" t="str">
        <f t="shared" si="140"/>
        <v>Premium</v>
      </c>
      <c r="V1093" t="str">
        <f t="shared" si="141"/>
        <v>Large</v>
      </c>
      <c r="W1093" t="str">
        <f>IF(S1093 &lt; VLOOKUP(E1093, Locality_Tier_Benchmarks!A:B, 2, FALSE) * 0.7, "Below Tier Range", "Normal")</f>
        <v>Normal</v>
      </c>
      <c r="X1093" t="str">
        <f t="shared" si="142"/>
        <v>Normal</v>
      </c>
      <c r="Y1093" t="str">
        <f t="shared" si="143"/>
        <v>Normal</v>
      </c>
      <c r="Z1093" t="str">
        <f t="shared" si="136"/>
        <v>Pass</v>
      </c>
    </row>
    <row r="1094" spans="1:26" x14ac:dyDescent="0.25">
      <c r="A1094" s="2" t="s">
        <v>2274</v>
      </c>
      <c r="B1094" t="s">
        <v>17</v>
      </c>
      <c r="C1094" t="s">
        <v>504</v>
      </c>
      <c r="D1094" s="2" t="str">
        <f>VLOOKUP(C1094,Locality_Reference!A:C,2,)</f>
        <v>Navi Mumbai</v>
      </c>
      <c r="E1094" s="2" t="str">
        <f>VLOOKUP(C1094,Locality_Reference!A:C,3,)</f>
        <v>Navi Mumbai</v>
      </c>
      <c r="F1094" s="2" t="s">
        <v>2149</v>
      </c>
      <c r="G1094" s="8">
        <v>99000</v>
      </c>
      <c r="H1094">
        <v>3</v>
      </c>
      <c r="I1094">
        <v>3</v>
      </c>
      <c r="J1094">
        <v>15</v>
      </c>
      <c r="K1094">
        <v>28</v>
      </c>
      <c r="L1094">
        <v>931</v>
      </c>
      <c r="M1094" t="s">
        <v>14</v>
      </c>
      <c r="N1094" t="s">
        <v>29</v>
      </c>
      <c r="O1094" t="s">
        <v>16</v>
      </c>
      <c r="P1094" t="s">
        <v>31</v>
      </c>
      <c r="Q1094" t="str">
        <f t="shared" si="137"/>
        <v>3</v>
      </c>
      <c r="R1094" s="5">
        <v>46200</v>
      </c>
      <c r="S1094" s="8">
        <f t="shared" si="138"/>
        <v>106.33727175080558</v>
      </c>
      <c r="T1094">
        <f t="shared" si="139"/>
        <v>1188000</v>
      </c>
      <c r="U1094" t="str">
        <f t="shared" si="140"/>
        <v>Premium</v>
      </c>
      <c r="V1094" t="str">
        <f t="shared" si="141"/>
        <v>Large</v>
      </c>
      <c r="W1094" t="str">
        <f>IF(S1094 &lt; VLOOKUP(E1094, Locality_Tier_Benchmarks!A:B, 2, FALSE) * 0.7, "Below Tier Range", "Normal")</f>
        <v>Normal</v>
      </c>
      <c r="X1094" t="str">
        <f t="shared" si="142"/>
        <v>Normal</v>
      </c>
      <c r="Y1094" t="str">
        <f t="shared" si="143"/>
        <v>Normal</v>
      </c>
      <c r="Z1094" t="str">
        <f t="shared" si="136"/>
        <v>Pass</v>
      </c>
    </row>
    <row r="1095" spans="1:26" x14ac:dyDescent="0.25">
      <c r="A1095" s="2" t="s">
        <v>2275</v>
      </c>
      <c r="B1095" t="s">
        <v>17</v>
      </c>
      <c r="C1095" t="s">
        <v>504</v>
      </c>
      <c r="D1095" s="2" t="str">
        <f>VLOOKUP(C1095,Locality_Reference!A:C,2,)</f>
        <v>Navi Mumbai</v>
      </c>
      <c r="E1095" s="2" t="str">
        <f>VLOOKUP(C1095,Locality_Reference!A:C,3,)</f>
        <v>Navi Mumbai</v>
      </c>
      <c r="F1095" s="2" t="s">
        <v>2150</v>
      </c>
      <c r="G1095" s="8">
        <v>72000</v>
      </c>
      <c r="H1095">
        <v>3</v>
      </c>
      <c r="I1095">
        <v>3</v>
      </c>
      <c r="J1095">
        <v>14</v>
      </c>
      <c r="K1095">
        <v>25</v>
      </c>
      <c r="L1095">
        <v>1500</v>
      </c>
      <c r="M1095" t="s">
        <v>33</v>
      </c>
      <c r="N1095" t="s">
        <v>29</v>
      </c>
      <c r="O1095" t="s">
        <v>16</v>
      </c>
      <c r="P1095" t="s">
        <v>52</v>
      </c>
      <c r="Q1095" t="str">
        <f t="shared" si="137"/>
        <v>7.5</v>
      </c>
      <c r="R1095" s="5">
        <v>46200</v>
      </c>
      <c r="S1095" s="8">
        <f t="shared" si="138"/>
        <v>48</v>
      </c>
      <c r="T1095">
        <f t="shared" si="139"/>
        <v>864000</v>
      </c>
      <c r="U1095" t="str">
        <f t="shared" si="140"/>
        <v>Premium</v>
      </c>
      <c r="V1095" t="str">
        <f t="shared" si="141"/>
        <v>Spacious</v>
      </c>
      <c r="W1095" t="str">
        <f>IF(S1095 &lt; VLOOKUP(E1095, Locality_Tier_Benchmarks!A:B, 2, FALSE) * 0.7, "Below Tier Range", "Normal")</f>
        <v>Normal</v>
      </c>
      <c r="X1095" t="str">
        <f t="shared" si="142"/>
        <v>Normal</v>
      </c>
      <c r="Y1095" t="str">
        <f t="shared" si="143"/>
        <v>Normal</v>
      </c>
      <c r="Z1095" t="str">
        <f t="shared" si="136"/>
        <v>Pass</v>
      </c>
    </row>
    <row r="1096" spans="1:26" x14ac:dyDescent="0.25">
      <c r="A1096" s="2" t="s">
        <v>2276</v>
      </c>
      <c r="B1096" t="s">
        <v>17</v>
      </c>
      <c r="C1096" t="s">
        <v>504</v>
      </c>
      <c r="D1096" s="2" t="str">
        <f>VLOOKUP(C1096,Locality_Reference!A:C,2,)</f>
        <v>Navi Mumbai</v>
      </c>
      <c r="E1096" s="2" t="str">
        <f>VLOOKUP(C1096,Locality_Reference!A:C,3,)</f>
        <v>Navi Mumbai</v>
      </c>
      <c r="F1096" s="2" t="s">
        <v>2151</v>
      </c>
      <c r="G1096" s="8">
        <v>80000</v>
      </c>
      <c r="H1096">
        <v>3</v>
      </c>
      <c r="I1096">
        <v>3</v>
      </c>
      <c r="J1096">
        <v>12</v>
      </c>
      <c r="K1096">
        <v>16</v>
      </c>
      <c r="L1096">
        <v>1200</v>
      </c>
      <c r="M1096" t="s">
        <v>14</v>
      </c>
      <c r="N1096" t="s">
        <v>29</v>
      </c>
      <c r="O1096" t="s">
        <v>16</v>
      </c>
      <c r="P1096" t="s">
        <v>52</v>
      </c>
      <c r="Q1096" t="str">
        <f t="shared" si="137"/>
        <v>7.5</v>
      </c>
      <c r="R1096" s="5">
        <v>46193</v>
      </c>
      <c r="S1096" s="8">
        <f t="shared" si="138"/>
        <v>66.666666666666671</v>
      </c>
      <c r="T1096">
        <f t="shared" si="139"/>
        <v>960000</v>
      </c>
      <c r="U1096" t="str">
        <f t="shared" si="140"/>
        <v>Premium</v>
      </c>
      <c r="V1096" t="str">
        <f t="shared" si="141"/>
        <v>Large</v>
      </c>
      <c r="W1096" t="str">
        <f>IF(S1096 &lt; VLOOKUP(E1096, Locality_Tier_Benchmarks!A:B, 2, FALSE) * 0.7, "Below Tier Range", "Normal")</f>
        <v>Normal</v>
      </c>
      <c r="X1096" t="str">
        <f t="shared" si="142"/>
        <v>Normal</v>
      </c>
      <c r="Y1096" t="str">
        <f t="shared" si="143"/>
        <v>Normal</v>
      </c>
      <c r="Z1096" t="str">
        <f t="shared" si="136"/>
        <v>Pass</v>
      </c>
    </row>
    <row r="1097" spans="1:26" x14ac:dyDescent="0.25">
      <c r="A1097" s="2" t="s">
        <v>2277</v>
      </c>
      <c r="B1097" t="s">
        <v>17</v>
      </c>
      <c r="C1097" t="s">
        <v>505</v>
      </c>
      <c r="D1097" s="2" t="str">
        <f>VLOOKUP(C1097,Locality_Reference!A:C,2,)</f>
        <v>Navi Mumbai</v>
      </c>
      <c r="E1097" s="2" t="str">
        <f>VLOOKUP(C1097,Locality_Reference!A:C,3,)</f>
        <v>Navi Mumbai</v>
      </c>
      <c r="F1097" s="2" t="s">
        <v>2152</v>
      </c>
      <c r="G1097" s="8">
        <v>37000</v>
      </c>
      <c r="H1097">
        <v>1</v>
      </c>
      <c r="I1097">
        <v>2</v>
      </c>
      <c r="J1097">
        <v>6</v>
      </c>
      <c r="K1097">
        <v>22</v>
      </c>
      <c r="L1097">
        <v>523</v>
      </c>
      <c r="M1097" t="s">
        <v>33</v>
      </c>
      <c r="N1097" t="s">
        <v>29</v>
      </c>
      <c r="O1097" t="s">
        <v>16</v>
      </c>
      <c r="P1097" t="s">
        <v>34</v>
      </c>
      <c r="Q1097" t="str">
        <f t="shared" si="137"/>
        <v/>
      </c>
      <c r="R1097" s="5">
        <v>46188</v>
      </c>
      <c r="S1097" s="8">
        <f t="shared" si="138"/>
        <v>70.745697896749519</v>
      </c>
      <c r="T1097">
        <f t="shared" si="139"/>
        <v>444000</v>
      </c>
      <c r="U1097" t="str">
        <f t="shared" si="140"/>
        <v>Mid</v>
      </c>
      <c r="V1097" t="str">
        <f t="shared" si="141"/>
        <v>Medium</v>
      </c>
      <c r="W1097" t="str">
        <f>IF(S1097 &lt; VLOOKUP(E1097, Locality_Tier_Benchmarks!A:B, 2, FALSE) * 0.7, "Below Tier Range", "Normal")</f>
        <v>Normal</v>
      </c>
      <c r="X1097" t="str">
        <f t="shared" si="142"/>
        <v>Normal</v>
      </c>
      <c r="Y1097" t="str">
        <f t="shared" si="143"/>
        <v>Normal</v>
      </c>
      <c r="Z1097" t="str">
        <f t="shared" si="136"/>
        <v>Pass</v>
      </c>
    </row>
    <row r="1098" spans="1:26" x14ac:dyDescent="0.25">
      <c r="A1098" s="2" t="s">
        <v>2278</v>
      </c>
      <c r="B1098" t="s">
        <v>17</v>
      </c>
      <c r="C1098" t="s">
        <v>505</v>
      </c>
      <c r="D1098" s="2" t="str">
        <f>VLOOKUP(C1098,Locality_Reference!A:C,2,)</f>
        <v>Navi Mumbai</v>
      </c>
      <c r="E1098" s="2" t="str">
        <f>VLOOKUP(C1098,Locality_Reference!A:C,3,)</f>
        <v>Navi Mumbai</v>
      </c>
      <c r="F1098" s="2" t="s">
        <v>2153</v>
      </c>
      <c r="G1098" s="8">
        <v>35000</v>
      </c>
      <c r="H1098">
        <v>1</v>
      </c>
      <c r="I1098">
        <v>1</v>
      </c>
      <c r="J1098">
        <v>1</v>
      </c>
      <c r="K1098">
        <v>7</v>
      </c>
      <c r="L1098">
        <v>415</v>
      </c>
      <c r="M1098" t="s">
        <v>36</v>
      </c>
      <c r="N1098" t="s">
        <v>29</v>
      </c>
      <c r="O1098" t="s">
        <v>16</v>
      </c>
      <c r="P1098" t="s">
        <v>34</v>
      </c>
      <c r="Q1098" t="str">
        <f t="shared" si="137"/>
        <v/>
      </c>
      <c r="R1098" s="5">
        <v>46188</v>
      </c>
      <c r="S1098" s="8">
        <f t="shared" si="138"/>
        <v>84.337349397590359</v>
      </c>
      <c r="T1098">
        <f t="shared" si="139"/>
        <v>420000</v>
      </c>
      <c r="U1098" t="str">
        <f t="shared" si="140"/>
        <v>Mid</v>
      </c>
      <c r="V1098" t="str">
        <f t="shared" si="141"/>
        <v>Compact</v>
      </c>
      <c r="W1098" t="str">
        <f>IF(S1098 &lt; VLOOKUP(E1098, Locality_Tier_Benchmarks!A:B, 2, FALSE) * 0.7, "Below Tier Range", "Normal")</f>
        <v>Normal</v>
      </c>
      <c r="X1098" t="str">
        <f t="shared" si="142"/>
        <v>Normal</v>
      </c>
      <c r="Y1098" t="str">
        <f t="shared" si="143"/>
        <v>Normal</v>
      </c>
      <c r="Z1098" t="str">
        <f t="shared" si="136"/>
        <v>Pass</v>
      </c>
    </row>
    <row r="1099" spans="1:26" x14ac:dyDescent="0.25">
      <c r="A1099" s="2" t="s">
        <v>2279</v>
      </c>
      <c r="B1099" t="s">
        <v>17</v>
      </c>
      <c r="C1099" t="s">
        <v>505</v>
      </c>
      <c r="D1099" s="2" t="str">
        <f>VLOOKUP(C1099,Locality_Reference!A:C,2,)</f>
        <v>Navi Mumbai</v>
      </c>
      <c r="E1099" s="2" t="str">
        <f>VLOOKUP(C1099,Locality_Reference!A:C,3,)</f>
        <v>Navi Mumbai</v>
      </c>
      <c r="F1099" s="2" t="s">
        <v>2154</v>
      </c>
      <c r="G1099" s="8">
        <v>30000</v>
      </c>
      <c r="H1099">
        <v>1</v>
      </c>
      <c r="I1099">
        <v>1</v>
      </c>
      <c r="J1099">
        <v>2</v>
      </c>
      <c r="K1099">
        <v>7</v>
      </c>
      <c r="L1099">
        <v>410</v>
      </c>
      <c r="M1099" t="s">
        <v>36</v>
      </c>
      <c r="N1099" t="s">
        <v>15</v>
      </c>
      <c r="O1099" t="s">
        <v>16</v>
      </c>
      <c r="P1099" t="s">
        <v>52</v>
      </c>
      <c r="Q1099" t="str">
        <f t="shared" si="137"/>
        <v>7.5</v>
      </c>
      <c r="R1099" s="5">
        <v>46190</v>
      </c>
      <c r="S1099" s="8">
        <f t="shared" si="138"/>
        <v>73.170731707317074</v>
      </c>
      <c r="T1099">
        <f t="shared" si="139"/>
        <v>360000</v>
      </c>
      <c r="U1099" t="str">
        <f t="shared" si="140"/>
        <v>Budget</v>
      </c>
      <c r="V1099" t="str">
        <f t="shared" si="141"/>
        <v>Compact</v>
      </c>
      <c r="W1099" t="str">
        <f>IF(S1099 &lt; VLOOKUP(E1099, Locality_Tier_Benchmarks!A:B, 2, FALSE) * 0.7, "Below Tier Range", "Normal")</f>
        <v>Normal</v>
      </c>
      <c r="X1099" t="str">
        <f t="shared" si="142"/>
        <v>Normal</v>
      </c>
      <c r="Y1099" t="str">
        <f t="shared" si="143"/>
        <v>Normal</v>
      </c>
      <c r="Z1099" t="str">
        <f t="shared" si="136"/>
        <v>Pass</v>
      </c>
    </row>
    <row r="1100" spans="1:26" x14ac:dyDescent="0.25">
      <c r="A1100" s="2" t="s">
        <v>2280</v>
      </c>
      <c r="B1100" t="s">
        <v>17</v>
      </c>
      <c r="C1100" t="s">
        <v>505</v>
      </c>
      <c r="D1100" s="2" t="str">
        <f>VLOOKUP(C1100,Locality_Reference!A:C,2,)</f>
        <v>Navi Mumbai</v>
      </c>
      <c r="E1100" s="2" t="str">
        <f>VLOOKUP(C1100,Locality_Reference!A:C,3,)</f>
        <v>Navi Mumbai</v>
      </c>
      <c r="F1100" s="2" t="s">
        <v>2155</v>
      </c>
      <c r="G1100" s="8">
        <v>35000</v>
      </c>
      <c r="H1100">
        <v>1</v>
      </c>
      <c r="I1100">
        <v>1</v>
      </c>
      <c r="J1100">
        <v>2</v>
      </c>
      <c r="K1100">
        <v>7</v>
      </c>
      <c r="L1100">
        <v>410</v>
      </c>
      <c r="M1100" t="s">
        <v>36</v>
      </c>
      <c r="N1100" t="s">
        <v>29</v>
      </c>
      <c r="O1100" t="s">
        <v>16</v>
      </c>
      <c r="P1100" t="s">
        <v>34</v>
      </c>
      <c r="Q1100" t="str">
        <f t="shared" si="137"/>
        <v/>
      </c>
      <c r="R1100" s="5">
        <v>46190</v>
      </c>
      <c r="S1100" s="8">
        <f t="shared" si="138"/>
        <v>85.365853658536579</v>
      </c>
      <c r="T1100">
        <f t="shared" si="139"/>
        <v>420000</v>
      </c>
      <c r="U1100" t="str">
        <f t="shared" si="140"/>
        <v>Mid</v>
      </c>
      <c r="V1100" t="str">
        <f t="shared" si="141"/>
        <v>Compact</v>
      </c>
      <c r="W1100" t="str">
        <f>IF(S1100 &lt; VLOOKUP(E1100, Locality_Tier_Benchmarks!A:B, 2, FALSE) * 0.7, "Below Tier Range", "Normal")</f>
        <v>Normal</v>
      </c>
      <c r="X1100" t="str">
        <f t="shared" si="142"/>
        <v>Normal</v>
      </c>
      <c r="Y1100" t="str">
        <f t="shared" si="143"/>
        <v>Normal</v>
      </c>
      <c r="Z1100" t="str">
        <f t="shared" si="136"/>
        <v>Pass</v>
      </c>
    </row>
    <row r="1101" spans="1:26" x14ac:dyDescent="0.25">
      <c r="A1101" s="2" t="s">
        <v>2281</v>
      </c>
      <c r="B1101" t="s">
        <v>17</v>
      </c>
      <c r="C1101" t="s">
        <v>505</v>
      </c>
      <c r="D1101" s="2" t="str">
        <f>VLOOKUP(C1101,Locality_Reference!A:C,2,)</f>
        <v>Navi Mumbai</v>
      </c>
      <c r="E1101" s="2" t="str">
        <f>VLOOKUP(C1101,Locality_Reference!A:C,3,)</f>
        <v>Navi Mumbai</v>
      </c>
      <c r="F1101" s="2" t="s">
        <v>2156</v>
      </c>
      <c r="G1101" s="8">
        <v>25000</v>
      </c>
      <c r="H1101">
        <v>1</v>
      </c>
      <c r="I1101">
        <v>1</v>
      </c>
      <c r="J1101">
        <v>4</v>
      </c>
      <c r="K1101">
        <v>7</v>
      </c>
      <c r="L1101">
        <v>420</v>
      </c>
      <c r="M1101" t="s">
        <v>33</v>
      </c>
      <c r="N1101" t="s">
        <v>15</v>
      </c>
      <c r="O1101" t="s">
        <v>16</v>
      </c>
      <c r="P1101" t="s">
        <v>34</v>
      </c>
      <c r="Q1101" t="str">
        <f t="shared" si="137"/>
        <v/>
      </c>
      <c r="R1101" s="5">
        <v>46190</v>
      </c>
      <c r="S1101" s="8">
        <f t="shared" si="138"/>
        <v>59.523809523809526</v>
      </c>
      <c r="T1101">
        <f t="shared" si="139"/>
        <v>300000</v>
      </c>
      <c r="U1101" t="str">
        <f t="shared" si="140"/>
        <v>Budget</v>
      </c>
      <c r="V1101" t="str">
        <f t="shared" si="141"/>
        <v>Compact</v>
      </c>
      <c r="W1101" t="str">
        <f>IF(S1101 &lt; VLOOKUP(E1101, Locality_Tier_Benchmarks!A:B, 2, FALSE) * 0.7, "Below Tier Range", "Normal")</f>
        <v>Normal</v>
      </c>
      <c r="X1101" t="str">
        <f t="shared" si="142"/>
        <v>Normal</v>
      </c>
      <c r="Y1101" t="str">
        <f t="shared" si="143"/>
        <v>Normal</v>
      </c>
      <c r="Z1101" t="str">
        <f t="shared" si="136"/>
        <v>Pass</v>
      </c>
    </row>
    <row r="1102" spans="1:26" x14ac:dyDescent="0.25">
      <c r="A1102" s="2" t="s">
        <v>2282</v>
      </c>
      <c r="B1102" t="s">
        <v>17</v>
      </c>
      <c r="C1102" t="s">
        <v>505</v>
      </c>
      <c r="D1102" s="2" t="str">
        <f>VLOOKUP(C1102,Locality_Reference!A:C,2,)</f>
        <v>Navi Mumbai</v>
      </c>
      <c r="E1102" s="2" t="str">
        <f>VLOOKUP(C1102,Locality_Reference!A:C,3,)</f>
        <v>Navi Mumbai</v>
      </c>
      <c r="F1102" s="2" t="s">
        <v>2157</v>
      </c>
      <c r="G1102" s="8">
        <v>50000</v>
      </c>
      <c r="H1102">
        <v>2</v>
      </c>
      <c r="I1102">
        <v>2</v>
      </c>
      <c r="J1102">
        <v>12</v>
      </c>
      <c r="K1102">
        <v>12</v>
      </c>
      <c r="L1102">
        <v>720</v>
      </c>
      <c r="M1102" t="s">
        <v>36</v>
      </c>
      <c r="N1102" t="s">
        <v>15</v>
      </c>
      <c r="O1102" t="s">
        <v>16</v>
      </c>
      <c r="P1102" t="s">
        <v>52</v>
      </c>
      <c r="Q1102" t="str">
        <f t="shared" si="137"/>
        <v>7.5</v>
      </c>
      <c r="R1102" s="5">
        <v>46200</v>
      </c>
      <c r="S1102" s="8">
        <f t="shared" si="138"/>
        <v>69.444444444444443</v>
      </c>
      <c r="T1102">
        <f t="shared" si="139"/>
        <v>600000</v>
      </c>
      <c r="U1102" t="str">
        <f t="shared" si="140"/>
        <v>Mid</v>
      </c>
      <c r="V1102" t="str">
        <f t="shared" si="141"/>
        <v>Medium</v>
      </c>
      <c r="W1102" t="str">
        <f>IF(S1102 &lt; VLOOKUP(E1102, Locality_Tier_Benchmarks!A:B, 2, FALSE) * 0.7, "Below Tier Range", "Normal")</f>
        <v>Normal</v>
      </c>
      <c r="X1102" t="str">
        <f t="shared" si="142"/>
        <v>Normal</v>
      </c>
      <c r="Y1102" t="str">
        <f t="shared" si="143"/>
        <v>Normal</v>
      </c>
      <c r="Z1102" t="str">
        <f t="shared" si="136"/>
        <v>Pass</v>
      </c>
    </row>
    <row r="1103" spans="1:26" x14ac:dyDescent="0.25">
      <c r="A1103" s="2" t="s">
        <v>2283</v>
      </c>
      <c r="B1103" t="s">
        <v>17</v>
      </c>
      <c r="C1103" t="s">
        <v>505</v>
      </c>
      <c r="D1103" s="2" t="str">
        <f>VLOOKUP(C1103,Locality_Reference!A:C,2,)</f>
        <v>Navi Mumbai</v>
      </c>
      <c r="E1103" s="2" t="str">
        <f>VLOOKUP(C1103,Locality_Reference!A:C,3,)</f>
        <v>Navi Mumbai</v>
      </c>
      <c r="F1103" s="2" t="s">
        <v>2158</v>
      </c>
      <c r="G1103" s="8">
        <v>45000</v>
      </c>
      <c r="H1103">
        <v>2</v>
      </c>
      <c r="I1103">
        <v>2</v>
      </c>
      <c r="J1103">
        <v>1</v>
      </c>
      <c r="K1103">
        <v>7</v>
      </c>
      <c r="L1103">
        <v>670</v>
      </c>
      <c r="M1103" t="s">
        <v>36</v>
      </c>
      <c r="N1103" t="s">
        <v>29</v>
      </c>
      <c r="O1103" t="s">
        <v>16</v>
      </c>
      <c r="P1103" t="s">
        <v>52</v>
      </c>
      <c r="Q1103" t="str">
        <f t="shared" si="137"/>
        <v>7.5</v>
      </c>
      <c r="R1103" s="5">
        <v>46177</v>
      </c>
      <c r="S1103" s="8">
        <f t="shared" si="138"/>
        <v>67.164179104477611</v>
      </c>
      <c r="T1103">
        <f t="shared" si="139"/>
        <v>540000</v>
      </c>
      <c r="U1103" t="str">
        <f t="shared" si="140"/>
        <v>Mid</v>
      </c>
      <c r="V1103" t="str">
        <f t="shared" si="141"/>
        <v>Medium</v>
      </c>
      <c r="W1103" t="str">
        <f>IF(S1103 &lt; VLOOKUP(E1103, Locality_Tier_Benchmarks!A:B, 2, FALSE) * 0.7, "Below Tier Range", "Normal")</f>
        <v>Normal</v>
      </c>
      <c r="X1103" t="str">
        <f t="shared" si="142"/>
        <v>Normal</v>
      </c>
      <c r="Y1103" t="str">
        <f t="shared" si="143"/>
        <v>Normal</v>
      </c>
      <c r="Z1103" t="str">
        <f t="shared" si="136"/>
        <v>Pass</v>
      </c>
    </row>
    <row r="1104" spans="1:26" x14ac:dyDescent="0.25">
      <c r="A1104" s="2" t="s">
        <v>2284</v>
      </c>
      <c r="B1104" t="s">
        <v>17</v>
      </c>
      <c r="C1104" t="s">
        <v>505</v>
      </c>
      <c r="D1104" s="2" t="str">
        <f>VLOOKUP(C1104,Locality_Reference!A:C,2,)</f>
        <v>Navi Mumbai</v>
      </c>
      <c r="E1104" s="2" t="str">
        <f>VLOOKUP(C1104,Locality_Reference!A:C,3,)</f>
        <v>Navi Mumbai</v>
      </c>
      <c r="F1104" s="2" t="s">
        <v>2159</v>
      </c>
      <c r="G1104" s="8">
        <v>50000</v>
      </c>
      <c r="H1104">
        <v>2</v>
      </c>
      <c r="I1104">
        <v>2</v>
      </c>
      <c r="J1104">
        <v>17</v>
      </c>
      <c r="K1104">
        <v>27</v>
      </c>
      <c r="L1104">
        <v>738</v>
      </c>
      <c r="M1104" t="s">
        <v>33</v>
      </c>
      <c r="N1104" t="s">
        <v>29</v>
      </c>
      <c r="O1104" t="s">
        <v>16</v>
      </c>
      <c r="P1104" t="s">
        <v>34</v>
      </c>
      <c r="Q1104" t="str">
        <f t="shared" si="137"/>
        <v/>
      </c>
      <c r="R1104" s="5">
        <v>46151</v>
      </c>
      <c r="S1104" s="8">
        <f t="shared" si="138"/>
        <v>67.750677506775062</v>
      </c>
      <c r="T1104">
        <f t="shared" si="139"/>
        <v>600000</v>
      </c>
      <c r="U1104" t="str">
        <f t="shared" si="140"/>
        <v>Mid</v>
      </c>
      <c r="V1104" t="str">
        <f t="shared" si="141"/>
        <v>Medium</v>
      </c>
      <c r="W1104" t="str">
        <f>IF(S1104 &lt; VLOOKUP(E1104, Locality_Tier_Benchmarks!A:B, 2, FALSE) * 0.7, "Below Tier Range", "Normal")</f>
        <v>Normal</v>
      </c>
      <c r="X1104" t="str">
        <f t="shared" si="142"/>
        <v>Normal</v>
      </c>
      <c r="Y1104" t="str">
        <f t="shared" si="143"/>
        <v>Normal</v>
      </c>
      <c r="Z1104" t="str">
        <f t="shared" si="136"/>
        <v>Pass</v>
      </c>
    </row>
    <row r="1105" spans="1:26" x14ac:dyDescent="0.25">
      <c r="A1105" s="2" t="s">
        <v>2285</v>
      </c>
      <c r="B1105" t="s">
        <v>17</v>
      </c>
      <c r="C1105" t="s">
        <v>505</v>
      </c>
      <c r="D1105" s="2" t="str">
        <f>VLOOKUP(C1105,Locality_Reference!A:C,2,)</f>
        <v>Navi Mumbai</v>
      </c>
      <c r="E1105" s="2" t="str">
        <f>VLOOKUP(C1105,Locality_Reference!A:C,3,)</f>
        <v>Navi Mumbai</v>
      </c>
      <c r="F1105" s="2" t="s">
        <v>2160</v>
      </c>
      <c r="G1105" s="8">
        <v>32000</v>
      </c>
      <c r="H1105">
        <v>2</v>
      </c>
      <c r="I1105">
        <v>2</v>
      </c>
      <c r="J1105">
        <v>2</v>
      </c>
      <c r="K1105">
        <v>4</v>
      </c>
      <c r="L1105">
        <v>556</v>
      </c>
      <c r="M1105" t="s">
        <v>36</v>
      </c>
      <c r="N1105" t="s">
        <v>29</v>
      </c>
      <c r="O1105" t="s">
        <v>16</v>
      </c>
      <c r="P1105" t="s">
        <v>23</v>
      </c>
      <c r="Q1105" t="str">
        <f t="shared" si="137"/>
        <v>10</v>
      </c>
      <c r="R1105" s="5">
        <v>46203</v>
      </c>
      <c r="S1105" s="8">
        <f t="shared" si="138"/>
        <v>57.553956834532372</v>
      </c>
      <c r="T1105">
        <f t="shared" si="139"/>
        <v>384000</v>
      </c>
      <c r="U1105" t="str">
        <f t="shared" si="140"/>
        <v>Mid</v>
      </c>
      <c r="V1105" t="str">
        <f t="shared" si="141"/>
        <v>Medium</v>
      </c>
      <c r="W1105" t="str">
        <f>IF(S1105 &lt; VLOOKUP(E1105, Locality_Tier_Benchmarks!A:B, 2, FALSE) * 0.7, "Below Tier Range", "Normal")</f>
        <v>Normal</v>
      </c>
      <c r="X1105" t="str">
        <f t="shared" si="142"/>
        <v>Normal</v>
      </c>
      <c r="Y1105" t="str">
        <f t="shared" si="143"/>
        <v>Normal</v>
      </c>
      <c r="Z1105" t="str">
        <f t="shared" si="136"/>
        <v>Pass</v>
      </c>
    </row>
    <row r="1106" spans="1:26" x14ac:dyDescent="0.25">
      <c r="A1106" s="2" t="s">
        <v>2286</v>
      </c>
      <c r="B1106" t="s">
        <v>17</v>
      </c>
      <c r="C1106" t="s">
        <v>505</v>
      </c>
      <c r="D1106" s="2" t="str">
        <f>VLOOKUP(C1106,Locality_Reference!A:C,2,)</f>
        <v>Navi Mumbai</v>
      </c>
      <c r="E1106" s="2" t="str">
        <f>VLOOKUP(C1106,Locality_Reference!A:C,3,)</f>
        <v>Navi Mumbai</v>
      </c>
      <c r="F1106" s="2" t="s">
        <v>2161</v>
      </c>
      <c r="G1106" s="8">
        <v>55000</v>
      </c>
      <c r="H1106">
        <v>2</v>
      </c>
      <c r="I1106">
        <v>2</v>
      </c>
      <c r="J1106">
        <v>7</v>
      </c>
      <c r="K1106">
        <v>22</v>
      </c>
      <c r="L1106">
        <v>715</v>
      </c>
      <c r="M1106" t="s">
        <v>14</v>
      </c>
      <c r="N1106" t="s">
        <v>29</v>
      </c>
      <c r="O1106" t="s">
        <v>16</v>
      </c>
      <c r="P1106" t="s">
        <v>34</v>
      </c>
      <c r="Q1106" t="str">
        <f t="shared" si="137"/>
        <v/>
      </c>
      <c r="R1106" s="5">
        <v>46179</v>
      </c>
      <c r="S1106" s="8">
        <f t="shared" si="138"/>
        <v>76.92307692307692</v>
      </c>
      <c r="T1106">
        <f t="shared" si="139"/>
        <v>660000</v>
      </c>
      <c r="U1106" t="str">
        <f t="shared" si="140"/>
        <v>Mid</v>
      </c>
      <c r="V1106" t="str">
        <f t="shared" si="141"/>
        <v>Medium</v>
      </c>
      <c r="W1106" t="str">
        <f>IF(S1106 &lt; VLOOKUP(E1106, Locality_Tier_Benchmarks!A:B, 2, FALSE) * 0.7, "Below Tier Range", "Normal")</f>
        <v>Normal</v>
      </c>
      <c r="X1106" t="str">
        <f t="shared" si="142"/>
        <v>Normal</v>
      </c>
      <c r="Y1106" t="str">
        <f t="shared" si="143"/>
        <v>Normal</v>
      </c>
      <c r="Z1106" t="str">
        <f t="shared" si="136"/>
        <v>Pass</v>
      </c>
    </row>
    <row r="1107" spans="1:26" x14ac:dyDescent="0.25">
      <c r="A1107" s="2" t="s">
        <v>2287</v>
      </c>
      <c r="B1107" t="s">
        <v>17</v>
      </c>
      <c r="C1107" t="s">
        <v>505</v>
      </c>
      <c r="D1107" s="2" t="str">
        <f>VLOOKUP(C1107,Locality_Reference!A:C,2,)</f>
        <v>Navi Mumbai</v>
      </c>
      <c r="E1107" s="2" t="str">
        <f>VLOOKUP(C1107,Locality_Reference!A:C,3,)</f>
        <v>Navi Mumbai</v>
      </c>
      <c r="F1107" s="2" t="s">
        <v>2162</v>
      </c>
      <c r="G1107" s="8">
        <v>58000</v>
      </c>
      <c r="H1107">
        <v>3</v>
      </c>
      <c r="I1107">
        <v>2</v>
      </c>
      <c r="J1107">
        <v>10</v>
      </c>
      <c r="K1107">
        <v>19</v>
      </c>
      <c r="L1107">
        <v>1130</v>
      </c>
      <c r="M1107" t="s">
        <v>36</v>
      </c>
      <c r="N1107" t="s">
        <v>29</v>
      </c>
      <c r="O1107" t="s">
        <v>16</v>
      </c>
      <c r="P1107" t="s">
        <v>34</v>
      </c>
      <c r="Q1107" t="str">
        <f t="shared" si="137"/>
        <v/>
      </c>
      <c r="R1107" s="5">
        <v>46203</v>
      </c>
      <c r="S1107" s="8">
        <f t="shared" si="138"/>
        <v>51.327433628318587</v>
      </c>
      <c r="T1107">
        <f t="shared" si="139"/>
        <v>696000</v>
      </c>
      <c r="U1107" t="str">
        <f t="shared" si="140"/>
        <v>Mid</v>
      </c>
      <c r="V1107" t="str">
        <f t="shared" si="141"/>
        <v>Large</v>
      </c>
      <c r="W1107" t="str">
        <f>IF(S1107 &lt; VLOOKUP(E1107, Locality_Tier_Benchmarks!A:B, 2, FALSE) * 0.7, "Below Tier Range", "Normal")</f>
        <v>Normal</v>
      </c>
      <c r="X1107" t="str">
        <f t="shared" si="142"/>
        <v>Normal</v>
      </c>
      <c r="Y1107" t="str">
        <f t="shared" si="143"/>
        <v>Normal</v>
      </c>
      <c r="Z1107" t="str">
        <f t="shared" si="136"/>
        <v>Pass</v>
      </c>
    </row>
    <row r="1108" spans="1:26" x14ac:dyDescent="0.25">
      <c r="A1108" s="2" t="s">
        <v>2288</v>
      </c>
      <c r="B1108" t="s">
        <v>17</v>
      </c>
      <c r="C1108" t="s">
        <v>505</v>
      </c>
      <c r="D1108" s="2" t="str">
        <f>VLOOKUP(C1108,Locality_Reference!A:C,2,)</f>
        <v>Navi Mumbai</v>
      </c>
      <c r="E1108" s="2" t="str">
        <f>VLOOKUP(C1108,Locality_Reference!A:C,3,)</f>
        <v>Navi Mumbai</v>
      </c>
      <c r="F1108" s="2" t="s">
        <v>2163</v>
      </c>
      <c r="G1108" s="8">
        <v>65000</v>
      </c>
      <c r="H1108">
        <v>3</v>
      </c>
      <c r="I1108">
        <v>3</v>
      </c>
      <c r="J1108">
        <v>4</v>
      </c>
      <c r="K1108">
        <v>15</v>
      </c>
      <c r="L1108">
        <v>1040</v>
      </c>
      <c r="M1108" t="s">
        <v>36</v>
      </c>
      <c r="N1108" t="s">
        <v>15</v>
      </c>
      <c r="O1108" t="s">
        <v>16</v>
      </c>
      <c r="P1108" t="s">
        <v>52</v>
      </c>
      <c r="Q1108" t="str">
        <f t="shared" si="137"/>
        <v>7.5</v>
      </c>
      <c r="R1108" s="5">
        <v>46155</v>
      </c>
      <c r="S1108" s="8">
        <f t="shared" si="138"/>
        <v>62.5</v>
      </c>
      <c r="T1108">
        <f t="shared" si="139"/>
        <v>780000</v>
      </c>
      <c r="U1108" t="str">
        <f t="shared" si="140"/>
        <v>Premium</v>
      </c>
      <c r="V1108" t="str">
        <f t="shared" si="141"/>
        <v>Large</v>
      </c>
      <c r="W1108" t="str">
        <f>IF(S1108 &lt; VLOOKUP(E1108, Locality_Tier_Benchmarks!A:B, 2, FALSE) * 0.7, "Below Tier Range", "Normal")</f>
        <v>Normal</v>
      </c>
      <c r="X1108" t="str">
        <f t="shared" si="142"/>
        <v>Normal</v>
      </c>
      <c r="Y1108" t="str">
        <f t="shared" si="143"/>
        <v>Normal</v>
      </c>
      <c r="Z1108" t="str">
        <f t="shared" si="136"/>
        <v>Pass</v>
      </c>
    </row>
    <row r="1109" spans="1:26" x14ac:dyDescent="0.25">
      <c r="A1109" s="2" t="s">
        <v>2289</v>
      </c>
      <c r="B1109" t="s">
        <v>17</v>
      </c>
      <c r="C1109" t="s">
        <v>505</v>
      </c>
      <c r="D1109" s="2" t="str">
        <f>VLOOKUP(C1109,Locality_Reference!A:C,2,)</f>
        <v>Navi Mumbai</v>
      </c>
      <c r="E1109" s="2" t="str">
        <f>VLOOKUP(C1109,Locality_Reference!A:C,3,)</f>
        <v>Navi Mumbai</v>
      </c>
      <c r="F1109" s="2" t="s">
        <v>2157</v>
      </c>
      <c r="G1109" s="8">
        <v>45000</v>
      </c>
      <c r="H1109">
        <v>3</v>
      </c>
      <c r="I1109">
        <v>2</v>
      </c>
      <c r="J1109">
        <v>5</v>
      </c>
      <c r="K1109">
        <v>7</v>
      </c>
      <c r="L1109">
        <v>850</v>
      </c>
      <c r="M1109" t="s">
        <v>33</v>
      </c>
      <c r="N1109" t="s">
        <v>15</v>
      </c>
      <c r="O1109" t="s">
        <v>16</v>
      </c>
      <c r="P1109" t="s">
        <v>52</v>
      </c>
      <c r="Q1109" t="str">
        <f t="shared" si="137"/>
        <v>7.5</v>
      </c>
      <c r="R1109" s="5">
        <v>46203</v>
      </c>
      <c r="S1109" s="8">
        <f t="shared" si="138"/>
        <v>52.941176470588232</v>
      </c>
      <c r="T1109">
        <f t="shared" si="139"/>
        <v>540000</v>
      </c>
      <c r="U1109" t="str">
        <f t="shared" si="140"/>
        <v>Mid</v>
      </c>
      <c r="V1109" t="str">
        <f t="shared" si="141"/>
        <v>Large</v>
      </c>
      <c r="W1109" t="str">
        <f>IF(S1109 &lt; VLOOKUP(E1109, Locality_Tier_Benchmarks!A:B, 2, FALSE) * 0.7, "Below Tier Range", "Normal")</f>
        <v>Normal</v>
      </c>
      <c r="X1109" t="str">
        <f t="shared" si="142"/>
        <v>Normal</v>
      </c>
      <c r="Y1109" t="str">
        <f t="shared" si="143"/>
        <v>Normal</v>
      </c>
      <c r="Z1109" t="str">
        <f t="shared" si="136"/>
        <v>Pass</v>
      </c>
    </row>
    <row r="1110" spans="1:26" x14ac:dyDescent="0.25">
      <c r="A1110" s="2" t="s">
        <v>2290</v>
      </c>
      <c r="B1110" t="s">
        <v>17</v>
      </c>
      <c r="C1110" t="s">
        <v>505</v>
      </c>
      <c r="D1110" s="2" t="str">
        <f>VLOOKUP(C1110,Locality_Reference!A:C,2,)</f>
        <v>Navi Mumbai</v>
      </c>
      <c r="E1110" s="2" t="str">
        <f>VLOOKUP(C1110,Locality_Reference!A:C,3,)</f>
        <v>Navi Mumbai</v>
      </c>
      <c r="F1110" s="2" t="s">
        <v>2164</v>
      </c>
      <c r="G1110" s="8">
        <v>75000</v>
      </c>
      <c r="H1110">
        <v>3</v>
      </c>
      <c r="I1110">
        <v>3</v>
      </c>
      <c r="J1110">
        <v>6</v>
      </c>
      <c r="K1110">
        <v>22</v>
      </c>
      <c r="L1110">
        <v>952</v>
      </c>
      <c r="M1110" t="s">
        <v>36</v>
      </c>
      <c r="N1110" t="s">
        <v>29</v>
      </c>
      <c r="O1110" t="s">
        <v>16</v>
      </c>
      <c r="P1110" t="s">
        <v>34</v>
      </c>
      <c r="Q1110" t="str">
        <f t="shared" si="137"/>
        <v/>
      </c>
      <c r="R1110" s="5">
        <v>46189</v>
      </c>
      <c r="S1110" s="8">
        <f t="shared" si="138"/>
        <v>78.78151260504201</v>
      </c>
      <c r="T1110">
        <f t="shared" si="139"/>
        <v>900000</v>
      </c>
      <c r="U1110" t="str">
        <f t="shared" si="140"/>
        <v>Premium</v>
      </c>
      <c r="V1110" t="str">
        <f t="shared" si="141"/>
        <v>Large</v>
      </c>
      <c r="W1110" t="str">
        <f>IF(S1110 &lt; VLOOKUP(E1110, Locality_Tier_Benchmarks!A:B, 2, FALSE) * 0.7, "Below Tier Range", "Normal")</f>
        <v>Normal</v>
      </c>
      <c r="X1110" t="str">
        <f t="shared" si="142"/>
        <v>Normal</v>
      </c>
      <c r="Y1110" t="str">
        <f t="shared" si="143"/>
        <v>Normal</v>
      </c>
      <c r="Z1110" t="str">
        <f t="shared" si="136"/>
        <v>Pass</v>
      </c>
    </row>
    <row r="1111" spans="1:26" x14ac:dyDescent="0.25">
      <c r="A1111" s="2" t="s">
        <v>2291</v>
      </c>
      <c r="B1111" t="s">
        <v>17</v>
      </c>
      <c r="C1111" t="s">
        <v>505</v>
      </c>
      <c r="D1111" s="2" t="str">
        <f>VLOOKUP(C1111,Locality_Reference!A:C,2,)</f>
        <v>Navi Mumbai</v>
      </c>
      <c r="E1111" s="2" t="str">
        <f>VLOOKUP(C1111,Locality_Reference!A:C,3,)</f>
        <v>Navi Mumbai</v>
      </c>
      <c r="F1111" s="2" t="s">
        <v>2165</v>
      </c>
      <c r="G1111" s="8">
        <v>55000</v>
      </c>
      <c r="H1111">
        <v>3</v>
      </c>
      <c r="I1111">
        <v>2</v>
      </c>
      <c r="J1111">
        <v>22</v>
      </c>
      <c r="K1111">
        <v>23</v>
      </c>
      <c r="L1111">
        <v>861</v>
      </c>
      <c r="M1111" t="s">
        <v>36</v>
      </c>
      <c r="N1111" t="s">
        <v>15</v>
      </c>
      <c r="O1111" t="s">
        <v>16</v>
      </c>
      <c r="P1111" t="s">
        <v>34</v>
      </c>
      <c r="Q1111" t="str">
        <f t="shared" si="137"/>
        <v/>
      </c>
      <c r="R1111" s="5">
        <v>46203</v>
      </c>
      <c r="S1111" s="8">
        <f t="shared" si="138"/>
        <v>63.879210220673635</v>
      </c>
      <c r="T1111">
        <f t="shared" si="139"/>
        <v>660000</v>
      </c>
      <c r="U1111" t="str">
        <f t="shared" si="140"/>
        <v>Mid</v>
      </c>
      <c r="V1111" t="str">
        <f t="shared" si="141"/>
        <v>Large</v>
      </c>
      <c r="W1111" t="str">
        <f>IF(S1111 &lt; VLOOKUP(E1111, Locality_Tier_Benchmarks!A:B, 2, FALSE) * 0.7, "Below Tier Range", "Normal")</f>
        <v>Normal</v>
      </c>
      <c r="X1111" t="str">
        <f t="shared" si="142"/>
        <v>Normal</v>
      </c>
      <c r="Y1111" t="str">
        <f t="shared" si="143"/>
        <v>Normal</v>
      </c>
      <c r="Z1111" t="str">
        <f t="shared" si="136"/>
        <v>Pass</v>
      </c>
    </row>
    <row r="1112" spans="1:26" x14ac:dyDescent="0.25">
      <c r="A1112" s="2" t="s">
        <v>2292</v>
      </c>
      <c r="B1112" t="s">
        <v>17</v>
      </c>
      <c r="C1112" t="s">
        <v>506</v>
      </c>
      <c r="D1112" s="2" t="str">
        <f>VLOOKUP(C1112,Locality_Reference!A:C,2,)</f>
        <v>Navi Mumbai</v>
      </c>
      <c r="E1112" s="2" t="str">
        <f>VLOOKUP(C1112,Locality_Reference!A:C,3,)</f>
        <v>Navi Mumbai</v>
      </c>
      <c r="F1112" s="2" t="s">
        <v>2166</v>
      </c>
      <c r="G1112" s="8">
        <v>25000</v>
      </c>
      <c r="H1112">
        <v>1</v>
      </c>
      <c r="I1112">
        <v>1</v>
      </c>
      <c r="J1112">
        <v>10</v>
      </c>
      <c r="K1112">
        <v>38</v>
      </c>
      <c r="L1112">
        <v>465</v>
      </c>
      <c r="M1112" t="s">
        <v>14</v>
      </c>
      <c r="N1112" t="s">
        <v>29</v>
      </c>
      <c r="O1112" t="s">
        <v>16</v>
      </c>
      <c r="P1112" t="s">
        <v>31</v>
      </c>
      <c r="Q1112" t="str">
        <f t="shared" si="137"/>
        <v>3</v>
      </c>
      <c r="R1112" s="5">
        <v>46203</v>
      </c>
      <c r="S1112" s="8">
        <f t="shared" si="138"/>
        <v>53.763440860215056</v>
      </c>
      <c r="T1112">
        <f t="shared" si="139"/>
        <v>300000</v>
      </c>
      <c r="U1112" t="str">
        <f t="shared" si="140"/>
        <v>Budget</v>
      </c>
      <c r="V1112" t="str">
        <f t="shared" si="141"/>
        <v>Compact</v>
      </c>
      <c r="W1112" t="str">
        <f>IF(S1112 &lt; VLOOKUP(E1112, Locality_Tier_Benchmarks!A:B, 2, FALSE) * 0.7, "Below Tier Range", "Normal")</f>
        <v>Normal</v>
      </c>
      <c r="X1112" t="str">
        <f t="shared" si="142"/>
        <v>Normal</v>
      </c>
      <c r="Y1112" t="str">
        <f t="shared" si="143"/>
        <v>Normal</v>
      </c>
      <c r="Z1112" t="str">
        <f t="shared" si="136"/>
        <v>Pass</v>
      </c>
    </row>
    <row r="1113" spans="1:26" x14ac:dyDescent="0.25">
      <c r="A1113" s="2" t="s">
        <v>2293</v>
      </c>
      <c r="B1113" t="s">
        <v>17</v>
      </c>
      <c r="C1113" t="s">
        <v>506</v>
      </c>
      <c r="D1113" s="2" t="str">
        <f>VLOOKUP(C1113,Locality_Reference!A:C,2,)</f>
        <v>Navi Mumbai</v>
      </c>
      <c r="E1113" s="2" t="str">
        <f>VLOOKUP(C1113,Locality_Reference!A:C,3,)</f>
        <v>Navi Mumbai</v>
      </c>
      <c r="F1113" s="2" t="s">
        <v>2167</v>
      </c>
      <c r="G1113" s="8">
        <v>20000</v>
      </c>
      <c r="H1113">
        <v>1</v>
      </c>
      <c r="I1113">
        <v>1</v>
      </c>
      <c r="J1113">
        <v>6</v>
      </c>
      <c r="K1113">
        <v>7</v>
      </c>
      <c r="L1113">
        <v>400</v>
      </c>
      <c r="M1113" t="s">
        <v>33</v>
      </c>
      <c r="N1113" t="s">
        <v>15</v>
      </c>
      <c r="O1113" t="s">
        <v>16</v>
      </c>
      <c r="P1113" t="s">
        <v>34</v>
      </c>
      <c r="Q1113" t="str">
        <f t="shared" si="137"/>
        <v/>
      </c>
      <c r="R1113" s="5">
        <v>46192</v>
      </c>
      <c r="S1113" s="8">
        <f t="shared" si="138"/>
        <v>50</v>
      </c>
      <c r="T1113">
        <f t="shared" si="139"/>
        <v>240000</v>
      </c>
      <c r="U1113" t="str">
        <f t="shared" si="140"/>
        <v>Budget</v>
      </c>
      <c r="V1113" t="str">
        <f t="shared" si="141"/>
        <v>Compact</v>
      </c>
      <c r="W1113" t="str">
        <f>IF(S1113 &lt; VLOOKUP(E1113, Locality_Tier_Benchmarks!A:B, 2, FALSE) * 0.7, "Below Tier Range", "Normal")</f>
        <v>Normal</v>
      </c>
      <c r="X1113" t="str">
        <f t="shared" si="142"/>
        <v>Normal</v>
      </c>
      <c r="Y1113" t="str">
        <f t="shared" si="143"/>
        <v>Normal</v>
      </c>
      <c r="Z1113" t="str">
        <f t="shared" si="136"/>
        <v>Pass</v>
      </c>
    </row>
    <row r="1114" spans="1:26" x14ac:dyDescent="0.25">
      <c r="A1114" s="2" t="s">
        <v>2294</v>
      </c>
      <c r="B1114" t="s">
        <v>17</v>
      </c>
      <c r="C1114" t="s">
        <v>506</v>
      </c>
      <c r="D1114" s="2" t="str">
        <f>VLOOKUP(C1114,Locality_Reference!A:C,2,)</f>
        <v>Navi Mumbai</v>
      </c>
      <c r="E1114" s="2" t="str">
        <f>VLOOKUP(C1114,Locality_Reference!A:C,3,)</f>
        <v>Navi Mumbai</v>
      </c>
      <c r="F1114" s="2" t="s">
        <v>2168</v>
      </c>
      <c r="G1114" s="8">
        <v>22000</v>
      </c>
      <c r="H1114">
        <v>1</v>
      </c>
      <c r="I1114">
        <v>1</v>
      </c>
      <c r="J1114">
        <v>2</v>
      </c>
      <c r="K1114">
        <v>6</v>
      </c>
      <c r="L1114">
        <v>430</v>
      </c>
      <c r="M1114" t="s">
        <v>33</v>
      </c>
      <c r="N1114" t="s">
        <v>29</v>
      </c>
      <c r="O1114" t="s">
        <v>16</v>
      </c>
      <c r="P1114" t="s">
        <v>31</v>
      </c>
      <c r="Q1114" t="str">
        <f t="shared" si="137"/>
        <v>3</v>
      </c>
      <c r="R1114" s="5">
        <v>46196</v>
      </c>
      <c r="S1114" s="8">
        <f t="shared" si="138"/>
        <v>51.162790697674417</v>
      </c>
      <c r="T1114">
        <f t="shared" si="139"/>
        <v>264000</v>
      </c>
      <c r="U1114" t="str">
        <f t="shared" si="140"/>
        <v>Budget</v>
      </c>
      <c r="V1114" t="str">
        <f t="shared" si="141"/>
        <v>Compact</v>
      </c>
      <c r="W1114" t="str">
        <f>IF(S1114 &lt; VLOOKUP(E1114, Locality_Tier_Benchmarks!A:B, 2, FALSE) * 0.7, "Below Tier Range", "Normal")</f>
        <v>Normal</v>
      </c>
      <c r="X1114" t="str">
        <f t="shared" si="142"/>
        <v>Normal</v>
      </c>
      <c r="Y1114" t="str">
        <f t="shared" si="143"/>
        <v>Normal</v>
      </c>
      <c r="Z1114" t="str">
        <f t="shared" si="136"/>
        <v>Pass</v>
      </c>
    </row>
    <row r="1115" spans="1:26" x14ac:dyDescent="0.25">
      <c r="A1115" s="2" t="s">
        <v>2295</v>
      </c>
      <c r="B1115" t="s">
        <v>17</v>
      </c>
      <c r="C1115" t="s">
        <v>506</v>
      </c>
      <c r="D1115" s="2" t="str">
        <f>VLOOKUP(C1115,Locality_Reference!A:C,2,)</f>
        <v>Navi Mumbai</v>
      </c>
      <c r="E1115" s="2" t="str">
        <f>VLOOKUP(C1115,Locality_Reference!A:C,3,)</f>
        <v>Navi Mumbai</v>
      </c>
      <c r="F1115" s="2" t="s">
        <v>2169</v>
      </c>
      <c r="G1115" s="8">
        <v>24000</v>
      </c>
      <c r="H1115">
        <v>1</v>
      </c>
      <c r="I1115">
        <v>1</v>
      </c>
      <c r="J1115">
        <v>7</v>
      </c>
      <c r="K1115">
        <v>7</v>
      </c>
      <c r="L1115">
        <v>380</v>
      </c>
      <c r="M1115" t="s">
        <v>36</v>
      </c>
      <c r="N1115" t="s">
        <v>15</v>
      </c>
      <c r="O1115" t="s">
        <v>16</v>
      </c>
      <c r="P1115" t="s">
        <v>34</v>
      </c>
      <c r="Q1115" t="str">
        <f t="shared" si="137"/>
        <v/>
      </c>
      <c r="R1115" s="5">
        <v>46203</v>
      </c>
      <c r="S1115" s="8">
        <f t="shared" si="138"/>
        <v>63.157894736842103</v>
      </c>
      <c r="T1115">
        <f t="shared" si="139"/>
        <v>288000</v>
      </c>
      <c r="U1115" t="str">
        <f t="shared" si="140"/>
        <v>Budget</v>
      </c>
      <c r="V1115" t="str">
        <f t="shared" si="141"/>
        <v>Compact</v>
      </c>
      <c r="W1115" t="str">
        <f>IF(S1115 &lt; VLOOKUP(E1115, Locality_Tier_Benchmarks!A:B, 2, FALSE) * 0.7, "Below Tier Range", "Normal")</f>
        <v>Normal</v>
      </c>
      <c r="X1115" t="str">
        <f t="shared" si="142"/>
        <v>Normal</v>
      </c>
      <c r="Y1115" t="str">
        <f t="shared" si="143"/>
        <v>Normal</v>
      </c>
      <c r="Z1115" t="str">
        <f t="shared" si="136"/>
        <v>Pass</v>
      </c>
    </row>
    <row r="1116" spans="1:26" x14ac:dyDescent="0.25">
      <c r="A1116" s="2" t="s">
        <v>2296</v>
      </c>
      <c r="B1116" t="s">
        <v>17</v>
      </c>
      <c r="C1116" t="s">
        <v>506</v>
      </c>
      <c r="D1116" s="2" t="str">
        <f>VLOOKUP(C1116,Locality_Reference!A:C,2,)</f>
        <v>Navi Mumbai</v>
      </c>
      <c r="E1116" s="2" t="str">
        <f>VLOOKUP(C1116,Locality_Reference!A:C,3,)</f>
        <v>Navi Mumbai</v>
      </c>
      <c r="F1116" s="2" t="s">
        <v>2170</v>
      </c>
      <c r="G1116" s="8">
        <v>15000</v>
      </c>
      <c r="H1116">
        <v>1</v>
      </c>
      <c r="I1116">
        <v>2</v>
      </c>
      <c r="J1116">
        <v>2</v>
      </c>
      <c r="K1116">
        <v>4</v>
      </c>
      <c r="L1116">
        <v>400</v>
      </c>
      <c r="M1116" t="s">
        <v>36</v>
      </c>
      <c r="N1116" t="s">
        <v>29</v>
      </c>
      <c r="O1116" t="s">
        <v>16</v>
      </c>
      <c r="P1116" t="s">
        <v>52</v>
      </c>
      <c r="Q1116" t="str">
        <f t="shared" si="137"/>
        <v>7.5</v>
      </c>
      <c r="R1116" s="5">
        <v>46203</v>
      </c>
      <c r="S1116" s="8">
        <f t="shared" si="138"/>
        <v>37.5</v>
      </c>
      <c r="T1116">
        <f t="shared" si="139"/>
        <v>180000</v>
      </c>
      <c r="U1116" t="str">
        <f t="shared" si="140"/>
        <v>Budget</v>
      </c>
      <c r="V1116" t="str">
        <f t="shared" si="141"/>
        <v>Compact</v>
      </c>
      <c r="W1116" t="str">
        <f>IF(S1116 &lt; VLOOKUP(E1116, Locality_Tier_Benchmarks!A:B, 2, FALSE) * 0.7, "Below Tier Range", "Normal")</f>
        <v>Normal</v>
      </c>
      <c r="X1116" t="str">
        <f t="shared" si="142"/>
        <v>Normal</v>
      </c>
      <c r="Y1116" t="str">
        <f t="shared" si="143"/>
        <v>Normal</v>
      </c>
      <c r="Z1116" t="str">
        <f t="shared" si="136"/>
        <v>Pass</v>
      </c>
    </row>
    <row r="1117" spans="1:26" x14ac:dyDescent="0.25">
      <c r="A1117" s="2" t="s">
        <v>2297</v>
      </c>
      <c r="B1117" t="s">
        <v>17</v>
      </c>
      <c r="C1117" t="s">
        <v>506</v>
      </c>
      <c r="D1117" s="2" t="str">
        <f>VLOOKUP(C1117,Locality_Reference!A:C,2,)</f>
        <v>Navi Mumbai</v>
      </c>
      <c r="E1117" s="2" t="str">
        <f>VLOOKUP(C1117,Locality_Reference!A:C,3,)</f>
        <v>Navi Mumbai</v>
      </c>
      <c r="F1117" s="2" t="s">
        <v>2171</v>
      </c>
      <c r="G1117" s="8">
        <v>29000</v>
      </c>
      <c r="H1117">
        <v>2</v>
      </c>
      <c r="I1117">
        <v>2</v>
      </c>
      <c r="J1117">
        <v>7</v>
      </c>
      <c r="K1117">
        <v>19</v>
      </c>
      <c r="L1117">
        <v>691</v>
      </c>
      <c r="M1117" t="s">
        <v>33</v>
      </c>
      <c r="N1117" t="s">
        <v>29</v>
      </c>
      <c r="O1117" t="s">
        <v>16</v>
      </c>
      <c r="P1117" t="s">
        <v>34</v>
      </c>
      <c r="Q1117" t="str">
        <f t="shared" si="137"/>
        <v/>
      </c>
      <c r="R1117" s="5">
        <v>46179</v>
      </c>
      <c r="S1117" s="8">
        <f t="shared" si="138"/>
        <v>41.968162083936328</v>
      </c>
      <c r="T1117">
        <f t="shared" si="139"/>
        <v>348000</v>
      </c>
      <c r="U1117" t="str">
        <f t="shared" si="140"/>
        <v>Budget</v>
      </c>
      <c r="V1117" t="str">
        <f t="shared" si="141"/>
        <v>Medium</v>
      </c>
      <c r="W1117" t="str">
        <f>IF(S1117 &lt; VLOOKUP(E1117, Locality_Tier_Benchmarks!A:B, 2, FALSE) * 0.7, "Below Tier Range", "Normal")</f>
        <v>Normal</v>
      </c>
      <c r="X1117" t="str">
        <f t="shared" si="142"/>
        <v>Normal</v>
      </c>
      <c r="Y1117" t="str">
        <f t="shared" si="143"/>
        <v>Normal</v>
      </c>
      <c r="Z1117" t="str">
        <f t="shared" si="136"/>
        <v>Pass</v>
      </c>
    </row>
    <row r="1118" spans="1:26" x14ac:dyDescent="0.25">
      <c r="A1118" s="2" t="s">
        <v>2298</v>
      </c>
      <c r="B1118" t="s">
        <v>17</v>
      </c>
      <c r="C1118" t="s">
        <v>506</v>
      </c>
      <c r="D1118" s="2" t="str">
        <f>VLOOKUP(C1118,Locality_Reference!A:C,2,)</f>
        <v>Navi Mumbai</v>
      </c>
      <c r="E1118" s="2" t="str">
        <f>VLOOKUP(C1118,Locality_Reference!A:C,3,)</f>
        <v>Navi Mumbai</v>
      </c>
      <c r="F1118" s="2" t="s">
        <v>2172</v>
      </c>
      <c r="G1118" s="8">
        <v>35000</v>
      </c>
      <c r="H1118">
        <v>2</v>
      </c>
      <c r="I1118">
        <v>2</v>
      </c>
      <c r="J1118">
        <v>3</v>
      </c>
      <c r="K1118">
        <v>13</v>
      </c>
      <c r="L1118">
        <v>710</v>
      </c>
      <c r="M1118" t="s">
        <v>36</v>
      </c>
      <c r="N1118" t="s">
        <v>15</v>
      </c>
      <c r="O1118" t="s">
        <v>16</v>
      </c>
      <c r="P1118" t="s">
        <v>34</v>
      </c>
      <c r="Q1118" t="str">
        <f t="shared" si="137"/>
        <v/>
      </c>
      <c r="R1118" s="5">
        <v>46195</v>
      </c>
      <c r="S1118" s="8">
        <f t="shared" si="138"/>
        <v>49.29577464788732</v>
      </c>
      <c r="T1118">
        <f t="shared" si="139"/>
        <v>420000</v>
      </c>
      <c r="U1118" t="str">
        <f t="shared" si="140"/>
        <v>Mid</v>
      </c>
      <c r="V1118" t="str">
        <f t="shared" si="141"/>
        <v>Medium</v>
      </c>
      <c r="W1118" t="str">
        <f>IF(S1118 &lt; VLOOKUP(E1118, Locality_Tier_Benchmarks!A:B, 2, FALSE) * 0.7, "Below Tier Range", "Normal")</f>
        <v>Normal</v>
      </c>
      <c r="X1118" t="str">
        <f t="shared" si="142"/>
        <v>Normal</v>
      </c>
      <c r="Y1118" t="str">
        <f t="shared" si="143"/>
        <v>Normal</v>
      </c>
      <c r="Z1118" t="str">
        <f t="shared" si="136"/>
        <v>Pass</v>
      </c>
    </row>
    <row r="1119" spans="1:26" x14ac:dyDescent="0.25">
      <c r="A1119" s="2" t="s">
        <v>2299</v>
      </c>
      <c r="B1119" t="s">
        <v>17</v>
      </c>
      <c r="C1119" t="s">
        <v>506</v>
      </c>
      <c r="D1119" s="2" t="str">
        <f>VLOOKUP(C1119,Locality_Reference!A:C,2,)</f>
        <v>Navi Mumbai</v>
      </c>
      <c r="E1119" s="2" t="str">
        <f>VLOOKUP(C1119,Locality_Reference!A:C,3,)</f>
        <v>Navi Mumbai</v>
      </c>
      <c r="F1119" s="2" t="s">
        <v>2173</v>
      </c>
      <c r="G1119" s="8">
        <v>34000</v>
      </c>
      <c r="H1119">
        <v>2</v>
      </c>
      <c r="I1119">
        <v>2</v>
      </c>
      <c r="J1119">
        <v>10</v>
      </c>
      <c r="K1119">
        <v>12</v>
      </c>
      <c r="L1119">
        <v>750</v>
      </c>
      <c r="M1119" t="s">
        <v>36</v>
      </c>
      <c r="N1119" t="s">
        <v>15</v>
      </c>
      <c r="O1119" t="s">
        <v>16</v>
      </c>
      <c r="P1119" t="s">
        <v>47</v>
      </c>
      <c r="Q1119" t="str">
        <f t="shared" si="137"/>
        <v>1</v>
      </c>
      <c r="R1119" s="5">
        <v>46162</v>
      </c>
      <c r="S1119" s="8">
        <f t="shared" si="138"/>
        <v>45.333333333333336</v>
      </c>
      <c r="T1119">
        <f t="shared" si="139"/>
        <v>408000</v>
      </c>
      <c r="U1119" t="str">
        <f t="shared" si="140"/>
        <v>Mid</v>
      </c>
      <c r="V1119" t="str">
        <f t="shared" si="141"/>
        <v>Medium</v>
      </c>
      <c r="W1119" t="str">
        <f>IF(S1119 &lt; VLOOKUP(E1119, Locality_Tier_Benchmarks!A:B, 2, FALSE) * 0.7, "Below Tier Range", "Normal")</f>
        <v>Normal</v>
      </c>
      <c r="X1119" t="str">
        <f t="shared" si="142"/>
        <v>Normal</v>
      </c>
      <c r="Y1119" t="str">
        <f t="shared" si="143"/>
        <v>Normal</v>
      </c>
      <c r="Z1119" t="str">
        <f t="shared" si="136"/>
        <v>Pass</v>
      </c>
    </row>
    <row r="1120" spans="1:26" x14ac:dyDescent="0.25">
      <c r="A1120" s="2" t="s">
        <v>2300</v>
      </c>
      <c r="B1120" t="s">
        <v>17</v>
      </c>
      <c r="C1120" t="s">
        <v>506</v>
      </c>
      <c r="D1120" s="2" t="str">
        <f>VLOOKUP(C1120,Locality_Reference!A:C,2,)</f>
        <v>Navi Mumbai</v>
      </c>
      <c r="E1120" s="2" t="str">
        <f>VLOOKUP(C1120,Locality_Reference!A:C,3,)</f>
        <v>Navi Mumbai</v>
      </c>
      <c r="F1120" s="2" t="s">
        <v>2174</v>
      </c>
      <c r="G1120" s="8">
        <v>30000</v>
      </c>
      <c r="H1120">
        <v>2</v>
      </c>
      <c r="I1120">
        <v>2</v>
      </c>
      <c r="J1120">
        <v>8</v>
      </c>
      <c r="K1120">
        <v>13</v>
      </c>
      <c r="L1120">
        <v>950</v>
      </c>
      <c r="M1120" t="s">
        <v>36</v>
      </c>
      <c r="N1120" t="s">
        <v>29</v>
      </c>
      <c r="O1120" t="s">
        <v>16</v>
      </c>
      <c r="P1120" t="s">
        <v>52</v>
      </c>
      <c r="Q1120" t="str">
        <f t="shared" si="137"/>
        <v>7.5</v>
      </c>
      <c r="R1120" s="5">
        <v>46154</v>
      </c>
      <c r="S1120" s="8">
        <f t="shared" si="138"/>
        <v>31.578947368421051</v>
      </c>
      <c r="T1120">
        <f t="shared" si="139"/>
        <v>360000</v>
      </c>
      <c r="U1120" t="str">
        <f t="shared" si="140"/>
        <v>Budget</v>
      </c>
      <c r="V1120" t="str">
        <f t="shared" si="141"/>
        <v>Large</v>
      </c>
      <c r="W1120" t="str">
        <f>IF(S1120 &lt; VLOOKUP(E1120, Locality_Tier_Benchmarks!A:B, 2, FALSE) * 0.7, "Below Tier Range", "Normal")</f>
        <v>Normal</v>
      </c>
      <c r="X1120" t="str">
        <f t="shared" si="142"/>
        <v>Normal</v>
      </c>
      <c r="Y1120" t="str">
        <f t="shared" si="143"/>
        <v>Normal</v>
      </c>
      <c r="Z1120" t="str">
        <f t="shared" si="136"/>
        <v>Pass</v>
      </c>
    </row>
    <row r="1121" spans="1:26" x14ac:dyDescent="0.25">
      <c r="A1121" s="2" t="s">
        <v>2301</v>
      </c>
      <c r="B1121" t="s">
        <v>17</v>
      </c>
      <c r="C1121" t="s">
        <v>506</v>
      </c>
      <c r="D1121" s="2" t="str">
        <f>VLOOKUP(C1121,Locality_Reference!A:C,2,)</f>
        <v>Navi Mumbai</v>
      </c>
      <c r="E1121" s="2" t="str">
        <f>VLOOKUP(C1121,Locality_Reference!A:C,3,)</f>
        <v>Navi Mumbai</v>
      </c>
      <c r="F1121" s="2" t="s">
        <v>2175</v>
      </c>
      <c r="G1121" s="8">
        <v>32000</v>
      </c>
      <c r="H1121">
        <v>2</v>
      </c>
      <c r="I1121">
        <v>2</v>
      </c>
      <c r="J1121">
        <v>13</v>
      </c>
      <c r="K1121">
        <v>18</v>
      </c>
      <c r="L1121">
        <v>600</v>
      </c>
      <c r="M1121" t="s">
        <v>36</v>
      </c>
      <c r="N1121" t="s">
        <v>15</v>
      </c>
      <c r="O1121" t="s">
        <v>16</v>
      </c>
      <c r="P1121" t="s">
        <v>34</v>
      </c>
      <c r="Q1121" t="str">
        <f t="shared" si="137"/>
        <v/>
      </c>
      <c r="R1121" s="5">
        <v>46199</v>
      </c>
      <c r="S1121" s="8">
        <f t="shared" si="138"/>
        <v>53.333333333333336</v>
      </c>
      <c r="T1121">
        <f t="shared" si="139"/>
        <v>384000</v>
      </c>
      <c r="U1121" t="str">
        <f t="shared" si="140"/>
        <v>Mid</v>
      </c>
      <c r="V1121" t="str">
        <f t="shared" si="141"/>
        <v>Medium</v>
      </c>
      <c r="W1121" t="str">
        <f>IF(S1121 &lt; VLOOKUP(E1121, Locality_Tier_Benchmarks!A:B, 2, FALSE) * 0.7, "Below Tier Range", "Normal")</f>
        <v>Normal</v>
      </c>
      <c r="X1121" t="str">
        <f t="shared" si="142"/>
        <v>Normal</v>
      </c>
      <c r="Y1121" t="str">
        <f t="shared" si="143"/>
        <v>Normal</v>
      </c>
      <c r="Z1121" t="str">
        <f t="shared" si="136"/>
        <v>Pass</v>
      </c>
    </row>
    <row r="1122" spans="1:26" x14ac:dyDescent="0.25">
      <c r="A1122" s="2" t="s">
        <v>2302</v>
      </c>
      <c r="B1122" t="s">
        <v>17</v>
      </c>
      <c r="C1122" t="s">
        <v>506</v>
      </c>
      <c r="D1122" s="2" t="str">
        <f>VLOOKUP(C1122,Locality_Reference!A:C,2,)</f>
        <v>Navi Mumbai</v>
      </c>
      <c r="E1122" s="2" t="str">
        <f>VLOOKUP(C1122,Locality_Reference!A:C,3,)</f>
        <v>Navi Mumbai</v>
      </c>
      <c r="F1122" s="2" t="s">
        <v>2176</v>
      </c>
      <c r="G1122" s="8">
        <v>50000</v>
      </c>
      <c r="H1122">
        <v>3</v>
      </c>
      <c r="I1122">
        <v>3</v>
      </c>
      <c r="J1122">
        <v>5</v>
      </c>
      <c r="K1122">
        <v>13</v>
      </c>
      <c r="L1122">
        <v>1000</v>
      </c>
      <c r="M1122" t="s">
        <v>14</v>
      </c>
      <c r="N1122" t="s">
        <v>15</v>
      </c>
      <c r="O1122" t="s">
        <v>16</v>
      </c>
      <c r="P1122" t="s">
        <v>23</v>
      </c>
      <c r="Q1122" t="str">
        <f t="shared" si="137"/>
        <v>10</v>
      </c>
      <c r="R1122" s="5">
        <v>46176</v>
      </c>
      <c r="S1122" s="8">
        <f t="shared" si="138"/>
        <v>50</v>
      </c>
      <c r="T1122">
        <f t="shared" si="139"/>
        <v>600000</v>
      </c>
      <c r="U1122" t="str">
        <f t="shared" si="140"/>
        <v>Mid</v>
      </c>
      <c r="V1122" t="str">
        <f t="shared" si="141"/>
        <v>Large</v>
      </c>
      <c r="W1122" t="str">
        <f>IF(S1122 &lt; VLOOKUP(E1122, Locality_Tier_Benchmarks!A:B, 2, FALSE) * 0.7, "Below Tier Range", "Normal")</f>
        <v>Normal</v>
      </c>
      <c r="X1122" t="str">
        <f t="shared" si="142"/>
        <v>Normal</v>
      </c>
      <c r="Y1122" t="str">
        <f t="shared" si="143"/>
        <v>Normal</v>
      </c>
      <c r="Z1122" t="str">
        <f t="shared" si="136"/>
        <v>Pass</v>
      </c>
    </row>
    <row r="1123" spans="1:26" x14ac:dyDescent="0.25">
      <c r="A1123" s="2" t="s">
        <v>2303</v>
      </c>
      <c r="B1123" t="s">
        <v>17</v>
      </c>
      <c r="C1123" t="s">
        <v>506</v>
      </c>
      <c r="D1123" s="2" t="str">
        <f>VLOOKUP(C1123,Locality_Reference!A:C,2,)</f>
        <v>Navi Mumbai</v>
      </c>
      <c r="E1123" s="2" t="str">
        <f>VLOOKUP(C1123,Locality_Reference!A:C,3,)</f>
        <v>Navi Mumbai</v>
      </c>
      <c r="F1123" s="2" t="s">
        <v>2177</v>
      </c>
      <c r="G1123" s="8">
        <v>40000</v>
      </c>
      <c r="H1123">
        <v>3</v>
      </c>
      <c r="I1123">
        <v>3</v>
      </c>
      <c r="J1123">
        <v>11</v>
      </c>
      <c r="K1123">
        <v>14</v>
      </c>
      <c r="L1123">
        <v>1100</v>
      </c>
      <c r="M1123" t="s">
        <v>33</v>
      </c>
      <c r="N1123" t="s">
        <v>15</v>
      </c>
      <c r="O1123" t="s">
        <v>16</v>
      </c>
      <c r="P1123" t="s">
        <v>23</v>
      </c>
      <c r="Q1123" t="str">
        <f t="shared" si="137"/>
        <v>10</v>
      </c>
      <c r="R1123" s="5">
        <v>46151</v>
      </c>
      <c r="S1123" s="8">
        <f t="shared" si="138"/>
        <v>36.363636363636367</v>
      </c>
      <c r="T1123">
        <f t="shared" si="139"/>
        <v>480000</v>
      </c>
      <c r="U1123" t="str">
        <f t="shared" si="140"/>
        <v>Mid</v>
      </c>
      <c r="V1123" t="str">
        <f t="shared" si="141"/>
        <v>Large</v>
      </c>
      <c r="W1123" t="str">
        <f>IF(S1123 &lt; VLOOKUP(E1123, Locality_Tier_Benchmarks!A:B, 2, FALSE) * 0.7, "Below Tier Range", "Normal")</f>
        <v>Normal</v>
      </c>
      <c r="X1123" t="str">
        <f t="shared" si="142"/>
        <v>Normal</v>
      </c>
      <c r="Y1123" t="str">
        <f t="shared" si="143"/>
        <v>Normal</v>
      </c>
      <c r="Z1123" t="str">
        <f t="shared" si="136"/>
        <v>Pass</v>
      </c>
    </row>
    <row r="1124" spans="1:26" x14ac:dyDescent="0.25">
      <c r="A1124" s="2" t="s">
        <v>2304</v>
      </c>
      <c r="B1124" t="s">
        <v>17</v>
      </c>
      <c r="C1124" t="s">
        <v>506</v>
      </c>
      <c r="D1124" s="2" t="str">
        <f>VLOOKUP(C1124,Locality_Reference!A:C,2,)</f>
        <v>Navi Mumbai</v>
      </c>
      <c r="E1124" s="2" t="str">
        <f>VLOOKUP(C1124,Locality_Reference!A:C,3,)</f>
        <v>Navi Mumbai</v>
      </c>
      <c r="F1124" s="2" t="s">
        <v>2178</v>
      </c>
      <c r="G1124" s="8">
        <v>33000</v>
      </c>
      <c r="H1124">
        <v>3</v>
      </c>
      <c r="I1124">
        <v>2</v>
      </c>
      <c r="J1124">
        <v>25</v>
      </c>
      <c r="K1124">
        <v>32</v>
      </c>
      <c r="L1124">
        <v>972</v>
      </c>
      <c r="M1124" t="s">
        <v>33</v>
      </c>
      <c r="N1124" t="s">
        <v>29</v>
      </c>
      <c r="O1124" t="s">
        <v>16</v>
      </c>
      <c r="P1124" t="s">
        <v>34</v>
      </c>
      <c r="Q1124" t="str">
        <f t="shared" si="137"/>
        <v/>
      </c>
      <c r="R1124" s="5">
        <v>46201</v>
      </c>
      <c r="S1124" s="8">
        <f t="shared" si="138"/>
        <v>33.950617283950621</v>
      </c>
      <c r="T1124">
        <f t="shared" si="139"/>
        <v>396000</v>
      </c>
      <c r="U1124" t="str">
        <f t="shared" si="140"/>
        <v>Mid</v>
      </c>
      <c r="V1124" t="str">
        <f t="shared" si="141"/>
        <v>Large</v>
      </c>
      <c r="W1124" t="str">
        <f>IF(S1124 &lt; VLOOKUP(E1124, Locality_Tier_Benchmarks!A:B, 2, FALSE) * 0.7, "Below Tier Range", "Normal")</f>
        <v>Normal</v>
      </c>
      <c r="X1124" t="str">
        <f t="shared" si="142"/>
        <v>Normal</v>
      </c>
      <c r="Y1124" t="str">
        <f t="shared" si="143"/>
        <v>Normal</v>
      </c>
      <c r="Z1124" t="str">
        <f t="shared" si="136"/>
        <v>Pass</v>
      </c>
    </row>
    <row r="1125" spans="1:26" x14ac:dyDescent="0.25">
      <c r="A1125" s="2" t="s">
        <v>2305</v>
      </c>
      <c r="B1125" t="s">
        <v>17</v>
      </c>
      <c r="C1125" t="s">
        <v>506</v>
      </c>
      <c r="D1125" s="2" t="str">
        <f>VLOOKUP(C1125,Locality_Reference!A:C,2,)</f>
        <v>Navi Mumbai</v>
      </c>
      <c r="E1125" s="2" t="str">
        <f>VLOOKUP(C1125,Locality_Reference!A:C,3,)</f>
        <v>Navi Mumbai</v>
      </c>
      <c r="F1125" s="2" t="s">
        <v>2174</v>
      </c>
      <c r="G1125" s="8">
        <v>24000</v>
      </c>
      <c r="H1125">
        <v>3</v>
      </c>
      <c r="I1125">
        <v>3</v>
      </c>
      <c r="J1125">
        <v>30</v>
      </c>
      <c r="K1125">
        <v>36</v>
      </c>
      <c r="L1125">
        <v>1212</v>
      </c>
      <c r="M1125" t="s">
        <v>36</v>
      </c>
      <c r="N1125" t="s">
        <v>29</v>
      </c>
      <c r="O1125" t="s">
        <v>16</v>
      </c>
      <c r="P1125" t="s">
        <v>31</v>
      </c>
      <c r="Q1125" t="str">
        <f t="shared" si="137"/>
        <v>3</v>
      </c>
      <c r="R1125" s="5">
        <v>46162</v>
      </c>
      <c r="S1125" s="8">
        <f t="shared" si="138"/>
        <v>19.801980198019802</v>
      </c>
      <c r="T1125">
        <f t="shared" si="139"/>
        <v>288000</v>
      </c>
      <c r="U1125" t="str">
        <f t="shared" si="140"/>
        <v>Budget</v>
      </c>
      <c r="V1125" t="str">
        <f t="shared" si="141"/>
        <v>Spacious</v>
      </c>
      <c r="W1125" t="str">
        <f>IF(S1125 &lt; VLOOKUP(E1125, Locality_Tier_Benchmarks!A:B, 2, FALSE) * 0.7, "Below Tier Range", "Normal")</f>
        <v>Normal</v>
      </c>
      <c r="X1125" t="str">
        <f t="shared" si="142"/>
        <v>Normal</v>
      </c>
      <c r="Y1125" t="str">
        <f t="shared" si="143"/>
        <v>Normal</v>
      </c>
      <c r="Z1125" t="str">
        <f t="shared" si="136"/>
        <v>Pass</v>
      </c>
    </row>
    <row r="1126" spans="1:26" x14ac:dyDescent="0.25">
      <c r="A1126" s="2" t="s">
        <v>2306</v>
      </c>
      <c r="B1126" t="s">
        <v>17</v>
      </c>
      <c r="C1126" t="s">
        <v>506</v>
      </c>
      <c r="D1126" s="2" t="str">
        <f>VLOOKUP(C1126,Locality_Reference!A:C,2,)</f>
        <v>Navi Mumbai</v>
      </c>
      <c r="E1126" s="2" t="str">
        <f>VLOOKUP(C1126,Locality_Reference!A:C,3,)</f>
        <v>Navi Mumbai</v>
      </c>
      <c r="F1126" s="2" t="s">
        <v>2179</v>
      </c>
      <c r="G1126" s="8">
        <v>28000</v>
      </c>
      <c r="H1126">
        <v>3</v>
      </c>
      <c r="I1126">
        <v>2</v>
      </c>
      <c r="J1126">
        <v>5</v>
      </c>
      <c r="K1126">
        <v>33</v>
      </c>
      <c r="L1126">
        <v>1080</v>
      </c>
      <c r="M1126" t="s">
        <v>33</v>
      </c>
      <c r="N1126" t="s">
        <v>15</v>
      </c>
      <c r="O1126" t="s">
        <v>16</v>
      </c>
      <c r="P1126" t="s">
        <v>34</v>
      </c>
      <c r="Q1126" t="str">
        <f t="shared" si="137"/>
        <v/>
      </c>
      <c r="R1126" s="5">
        <v>46193</v>
      </c>
      <c r="S1126" s="8">
        <f t="shared" si="138"/>
        <v>25.925925925925927</v>
      </c>
      <c r="T1126">
        <f t="shared" si="139"/>
        <v>336000</v>
      </c>
      <c r="U1126" t="str">
        <f t="shared" si="140"/>
        <v>Budget</v>
      </c>
      <c r="V1126" t="str">
        <f t="shared" si="141"/>
        <v>Large</v>
      </c>
      <c r="W1126" t="str">
        <f>IF(S1126 &lt; VLOOKUP(E1126, Locality_Tier_Benchmarks!A:B, 2, FALSE) * 0.7, "Below Tier Range", "Normal")</f>
        <v>Normal</v>
      </c>
      <c r="X1126" t="str">
        <f t="shared" si="142"/>
        <v>Normal</v>
      </c>
      <c r="Y1126" t="str">
        <f t="shared" si="143"/>
        <v>Normal</v>
      </c>
      <c r="Z1126" t="str">
        <f t="shared" si="136"/>
        <v>Pass</v>
      </c>
    </row>
    <row r="1127" spans="1:26" x14ac:dyDescent="0.25">
      <c r="A1127" s="2" t="s">
        <v>2307</v>
      </c>
      <c r="B1127" t="s">
        <v>17</v>
      </c>
      <c r="C1127" t="s">
        <v>510</v>
      </c>
      <c r="D1127" s="2" t="str">
        <f>VLOOKUP(C1127,Locality_Reference!A:C,2,)</f>
        <v>Western Line</v>
      </c>
      <c r="E1127" s="2" t="str">
        <f>VLOOKUP(C1127,Locality_Reference!A:C,3,)</f>
        <v>Premium/South</v>
      </c>
      <c r="F1127" s="2" t="s">
        <v>2180</v>
      </c>
      <c r="G1127" s="8">
        <v>95000</v>
      </c>
      <c r="H1127">
        <v>1</v>
      </c>
      <c r="I1127">
        <v>1</v>
      </c>
      <c r="J1127">
        <v>6</v>
      </c>
      <c r="K1127">
        <v>6</v>
      </c>
      <c r="L1127">
        <v>567</v>
      </c>
      <c r="M1127" t="s">
        <v>14</v>
      </c>
      <c r="N1127" t="s">
        <v>29</v>
      </c>
      <c r="O1127" t="s">
        <v>16</v>
      </c>
      <c r="P1127" t="s">
        <v>23</v>
      </c>
      <c r="Q1127" t="str">
        <f t="shared" si="137"/>
        <v>10</v>
      </c>
      <c r="R1127" s="5">
        <v>46204</v>
      </c>
      <c r="S1127" s="8">
        <f t="shared" si="138"/>
        <v>167.5485008818342</v>
      </c>
      <c r="T1127">
        <f t="shared" si="139"/>
        <v>1140000</v>
      </c>
      <c r="U1127" t="str">
        <f t="shared" si="140"/>
        <v>Premium</v>
      </c>
      <c r="V1127" t="str">
        <f t="shared" si="141"/>
        <v>Medium</v>
      </c>
      <c r="W1127" t="str">
        <f>IF(S1127 &lt; VLOOKUP(E1127, Locality_Tier_Benchmarks!A:B, 2, FALSE) * 0.7, "Below Tier Range", "Normal")</f>
        <v>Normal</v>
      </c>
      <c r="X1127" t="str">
        <f t="shared" si="142"/>
        <v>Normal</v>
      </c>
      <c r="Y1127" t="str">
        <f t="shared" si="143"/>
        <v>Normal</v>
      </c>
      <c r="Z1127" t="str">
        <f t="shared" si="136"/>
        <v>Pass</v>
      </c>
    </row>
    <row r="1128" spans="1:26" x14ac:dyDescent="0.25">
      <c r="A1128" s="2" t="s">
        <v>2308</v>
      </c>
      <c r="B1128" t="s">
        <v>17</v>
      </c>
      <c r="C1128" t="s">
        <v>510</v>
      </c>
      <c r="D1128" s="2" t="str">
        <f>VLOOKUP(C1128,Locality_Reference!A:C,2,)</f>
        <v>Western Line</v>
      </c>
      <c r="E1128" s="2" t="str">
        <f>VLOOKUP(C1128,Locality_Reference!A:C,3,)</f>
        <v>Premium/South</v>
      </c>
      <c r="F1128" s="2" t="s">
        <v>2181</v>
      </c>
      <c r="G1128" s="8">
        <v>95000</v>
      </c>
      <c r="H1128">
        <v>1</v>
      </c>
      <c r="I1128">
        <v>2</v>
      </c>
      <c r="J1128">
        <v>0</v>
      </c>
      <c r="K1128">
        <v>7</v>
      </c>
      <c r="L1128">
        <v>500</v>
      </c>
      <c r="M1128" t="s">
        <v>14</v>
      </c>
      <c r="N1128" t="s">
        <v>29</v>
      </c>
      <c r="O1128" t="s">
        <v>16</v>
      </c>
      <c r="P1128" t="s">
        <v>23</v>
      </c>
      <c r="Q1128" t="str">
        <f t="shared" si="137"/>
        <v>10</v>
      </c>
      <c r="R1128" s="5">
        <v>46202</v>
      </c>
      <c r="S1128" s="8">
        <f t="shared" si="138"/>
        <v>190</v>
      </c>
      <c r="T1128">
        <f t="shared" si="139"/>
        <v>1140000</v>
      </c>
      <c r="U1128" t="str">
        <f t="shared" si="140"/>
        <v>Premium</v>
      </c>
      <c r="V1128" t="str">
        <f t="shared" si="141"/>
        <v>Compact</v>
      </c>
      <c r="W1128" t="str">
        <f>IF(S1128 &lt; VLOOKUP(E1128, Locality_Tier_Benchmarks!A:B, 2, FALSE) * 0.7, "Below Tier Range", "Normal")</f>
        <v>Normal</v>
      </c>
      <c r="X1128" t="str">
        <f t="shared" si="142"/>
        <v>Normal</v>
      </c>
      <c r="Y1128" t="str">
        <f t="shared" si="143"/>
        <v>Normal</v>
      </c>
      <c r="Z1128" t="str">
        <f t="shared" si="136"/>
        <v>Pass</v>
      </c>
    </row>
    <row r="1129" spans="1:26" x14ac:dyDescent="0.25">
      <c r="A1129" s="2" t="s">
        <v>2309</v>
      </c>
      <c r="B1129" t="s">
        <v>17</v>
      </c>
      <c r="C1129" t="s">
        <v>510</v>
      </c>
      <c r="D1129" s="2" t="str">
        <f>VLOOKUP(C1129,Locality_Reference!A:C,2,)</f>
        <v>Western Line</v>
      </c>
      <c r="E1129" s="2" t="str">
        <f>VLOOKUP(C1129,Locality_Reference!A:C,3,)</f>
        <v>Premium/South</v>
      </c>
      <c r="F1129" s="2" t="s">
        <v>2182</v>
      </c>
      <c r="G1129" s="8">
        <v>100000</v>
      </c>
      <c r="H1129">
        <v>1</v>
      </c>
      <c r="I1129">
        <v>1</v>
      </c>
      <c r="J1129">
        <v>9</v>
      </c>
      <c r="K1129">
        <v>24</v>
      </c>
      <c r="L1129">
        <v>550</v>
      </c>
      <c r="M1129" t="s">
        <v>14</v>
      </c>
      <c r="N1129" t="s">
        <v>29</v>
      </c>
      <c r="O1129" t="s">
        <v>16</v>
      </c>
      <c r="P1129" t="s">
        <v>23</v>
      </c>
      <c r="Q1129" t="str">
        <f t="shared" si="137"/>
        <v>10</v>
      </c>
      <c r="R1129" s="5">
        <v>46192</v>
      </c>
      <c r="S1129" s="8">
        <f t="shared" si="138"/>
        <v>181.81818181818181</v>
      </c>
      <c r="T1129">
        <f t="shared" si="139"/>
        <v>1200000</v>
      </c>
      <c r="U1129" t="str">
        <f t="shared" si="140"/>
        <v>Premium</v>
      </c>
      <c r="V1129" t="str">
        <f t="shared" si="141"/>
        <v>Medium</v>
      </c>
      <c r="W1129" t="str">
        <f>IF(S1129 &lt; VLOOKUP(E1129, Locality_Tier_Benchmarks!A:B, 2, FALSE) * 0.7, "Below Tier Range", "Normal")</f>
        <v>Normal</v>
      </c>
      <c r="X1129" t="str">
        <f t="shared" si="142"/>
        <v>Normal</v>
      </c>
      <c r="Y1129" t="str">
        <f t="shared" si="143"/>
        <v>Normal</v>
      </c>
      <c r="Z1129" t="str">
        <f t="shared" si="136"/>
        <v>Pass</v>
      </c>
    </row>
    <row r="1130" spans="1:26" x14ac:dyDescent="0.25">
      <c r="A1130" s="2" t="s">
        <v>2310</v>
      </c>
      <c r="B1130" t="s">
        <v>17</v>
      </c>
      <c r="C1130" t="s">
        <v>510</v>
      </c>
      <c r="D1130" s="2" t="str">
        <f>VLOOKUP(C1130,Locality_Reference!A:C,2,)</f>
        <v>Western Line</v>
      </c>
      <c r="E1130" s="2" t="str">
        <f>VLOOKUP(C1130,Locality_Reference!A:C,3,)</f>
        <v>Premium/South</v>
      </c>
      <c r="F1130" s="2" t="s">
        <v>2183</v>
      </c>
      <c r="G1130" s="8">
        <v>55000</v>
      </c>
      <c r="H1130">
        <v>1</v>
      </c>
      <c r="I1130">
        <v>1</v>
      </c>
      <c r="J1130">
        <v>5</v>
      </c>
      <c r="K1130">
        <v>10</v>
      </c>
      <c r="L1130">
        <v>350</v>
      </c>
      <c r="M1130" t="s">
        <v>14</v>
      </c>
      <c r="N1130" t="s">
        <v>29</v>
      </c>
      <c r="O1130" t="s">
        <v>16</v>
      </c>
      <c r="P1130" t="s">
        <v>34</v>
      </c>
      <c r="Q1130" t="str">
        <f t="shared" si="137"/>
        <v/>
      </c>
      <c r="R1130" s="5">
        <v>46199</v>
      </c>
      <c r="S1130" s="8">
        <f t="shared" si="138"/>
        <v>157.14285714285714</v>
      </c>
      <c r="T1130">
        <f t="shared" si="139"/>
        <v>660000</v>
      </c>
      <c r="U1130" t="str">
        <f t="shared" si="140"/>
        <v>Mid</v>
      </c>
      <c r="V1130" t="str">
        <f t="shared" si="141"/>
        <v>Compact</v>
      </c>
      <c r="W1130" t="str">
        <f>IF(S1130 &lt; VLOOKUP(E1130, Locality_Tier_Benchmarks!A:B, 2, FALSE) * 0.7, "Below Tier Range", "Normal")</f>
        <v>Normal</v>
      </c>
      <c r="X1130" t="str">
        <f t="shared" si="142"/>
        <v>Normal</v>
      </c>
      <c r="Y1130" t="str">
        <f t="shared" si="143"/>
        <v>Normal</v>
      </c>
      <c r="Z1130" t="str">
        <f t="shared" si="136"/>
        <v>Pass</v>
      </c>
    </row>
    <row r="1131" spans="1:26" x14ac:dyDescent="0.25">
      <c r="A1131" s="2" t="s">
        <v>2311</v>
      </c>
      <c r="B1131" t="s">
        <v>17</v>
      </c>
      <c r="C1131" t="s">
        <v>510</v>
      </c>
      <c r="D1131" s="2" t="str">
        <f>VLOOKUP(C1131,Locality_Reference!A:C,2,)</f>
        <v>Western Line</v>
      </c>
      <c r="E1131" s="2" t="str">
        <f>VLOOKUP(C1131,Locality_Reference!A:C,3,)</f>
        <v>Premium/South</v>
      </c>
      <c r="F1131" s="2" t="s">
        <v>2184</v>
      </c>
      <c r="G1131" s="8">
        <v>80000</v>
      </c>
      <c r="H1131">
        <v>1</v>
      </c>
      <c r="I1131">
        <v>1</v>
      </c>
      <c r="J1131">
        <v>0</v>
      </c>
      <c r="K1131">
        <v>3</v>
      </c>
      <c r="L1131">
        <v>420</v>
      </c>
      <c r="M1131" t="s">
        <v>14</v>
      </c>
      <c r="N1131" t="s">
        <v>29</v>
      </c>
      <c r="O1131" t="s">
        <v>16</v>
      </c>
      <c r="P1131" t="s">
        <v>52</v>
      </c>
      <c r="Q1131" t="str">
        <f t="shared" si="137"/>
        <v>7.5</v>
      </c>
      <c r="R1131" s="5">
        <v>46183</v>
      </c>
      <c r="S1131" s="8">
        <f t="shared" si="138"/>
        <v>190.47619047619048</v>
      </c>
      <c r="T1131">
        <f t="shared" si="139"/>
        <v>960000</v>
      </c>
      <c r="U1131" t="str">
        <f t="shared" si="140"/>
        <v>Premium</v>
      </c>
      <c r="V1131" t="str">
        <f t="shared" si="141"/>
        <v>Compact</v>
      </c>
      <c r="W1131" t="str">
        <f>IF(S1131 &lt; VLOOKUP(E1131, Locality_Tier_Benchmarks!A:B, 2, FALSE) * 0.7, "Below Tier Range", "Normal")</f>
        <v>Normal</v>
      </c>
      <c r="X1131" t="str">
        <f t="shared" si="142"/>
        <v>Normal</v>
      </c>
      <c r="Y1131" t="str">
        <f t="shared" si="143"/>
        <v>Normal</v>
      </c>
      <c r="Z1131" t="str">
        <f t="shared" si="136"/>
        <v>Pass</v>
      </c>
    </row>
    <row r="1132" spans="1:26" x14ac:dyDescent="0.25">
      <c r="A1132" s="2" t="s">
        <v>2312</v>
      </c>
      <c r="B1132" t="s">
        <v>17</v>
      </c>
      <c r="C1132" t="s">
        <v>510</v>
      </c>
      <c r="D1132" s="2" t="str">
        <f>VLOOKUP(C1132,Locality_Reference!A:C,2,)</f>
        <v>Western Line</v>
      </c>
      <c r="E1132" s="2" t="str">
        <f>VLOOKUP(C1132,Locality_Reference!A:C,3,)</f>
        <v>Premium/South</v>
      </c>
      <c r="F1132" s="2" t="s">
        <v>2185</v>
      </c>
      <c r="G1132" s="8">
        <v>200000</v>
      </c>
      <c r="H1132">
        <v>2</v>
      </c>
      <c r="I1132">
        <v>2</v>
      </c>
      <c r="J1132">
        <v>32</v>
      </c>
      <c r="K1132">
        <v>79</v>
      </c>
      <c r="L1132">
        <v>893</v>
      </c>
      <c r="M1132" t="s">
        <v>33</v>
      </c>
      <c r="N1132" t="s">
        <v>15</v>
      </c>
      <c r="O1132" t="s">
        <v>16</v>
      </c>
      <c r="P1132" t="s">
        <v>47</v>
      </c>
      <c r="Q1132" t="str">
        <f t="shared" si="137"/>
        <v>1</v>
      </c>
      <c r="R1132" s="5">
        <v>46168</v>
      </c>
      <c r="S1132" s="8">
        <f t="shared" si="138"/>
        <v>223.96416573348264</v>
      </c>
      <c r="T1132">
        <f t="shared" si="139"/>
        <v>2400000</v>
      </c>
      <c r="U1132" t="str">
        <f t="shared" si="140"/>
        <v>Luxury</v>
      </c>
      <c r="V1132" t="str">
        <f t="shared" si="141"/>
        <v>Large</v>
      </c>
      <c r="W1132" t="str">
        <f>IF(S1132 &lt; VLOOKUP(E1132, Locality_Tier_Benchmarks!A:B, 2, FALSE) * 0.7, "Below Tier Range", "Normal")</f>
        <v>Normal</v>
      </c>
      <c r="X1132" t="str">
        <f t="shared" si="142"/>
        <v>Normal</v>
      </c>
      <c r="Y1132" t="str">
        <f t="shared" si="143"/>
        <v>Normal</v>
      </c>
      <c r="Z1132" t="str">
        <f t="shared" si="136"/>
        <v>Pass</v>
      </c>
    </row>
    <row r="1133" spans="1:26" x14ac:dyDescent="0.25">
      <c r="A1133" s="2" t="s">
        <v>2313</v>
      </c>
      <c r="B1133" t="s">
        <v>17</v>
      </c>
      <c r="C1133" t="s">
        <v>510</v>
      </c>
      <c r="D1133" s="2" t="str">
        <f>VLOOKUP(C1133,Locality_Reference!A:C,2,)</f>
        <v>Western Line</v>
      </c>
      <c r="E1133" s="2" t="str">
        <f>VLOOKUP(C1133,Locality_Reference!A:C,3,)</f>
        <v>Premium/South</v>
      </c>
      <c r="F1133" s="2" t="s">
        <v>2186</v>
      </c>
      <c r="G1133" s="8">
        <v>230000</v>
      </c>
      <c r="H1133">
        <v>2</v>
      </c>
      <c r="I1133">
        <v>2</v>
      </c>
      <c r="J1133">
        <v>7</v>
      </c>
      <c r="K1133">
        <v>70</v>
      </c>
      <c r="L1133">
        <v>950</v>
      </c>
      <c r="M1133" t="s">
        <v>33</v>
      </c>
      <c r="N1133" t="s">
        <v>15</v>
      </c>
      <c r="O1133" t="s">
        <v>16</v>
      </c>
      <c r="P1133" t="s">
        <v>31</v>
      </c>
      <c r="Q1133" t="str">
        <f t="shared" si="137"/>
        <v>3</v>
      </c>
      <c r="R1133" s="5">
        <v>46187</v>
      </c>
      <c r="S1133" s="8">
        <f t="shared" si="138"/>
        <v>242.10526315789474</v>
      </c>
      <c r="T1133">
        <f t="shared" si="139"/>
        <v>2760000</v>
      </c>
      <c r="U1133" t="str">
        <f t="shared" si="140"/>
        <v>Luxury</v>
      </c>
      <c r="V1133" t="str">
        <f t="shared" si="141"/>
        <v>Large</v>
      </c>
      <c r="W1133" t="str">
        <f>IF(S1133 &lt; VLOOKUP(E1133, Locality_Tier_Benchmarks!A:B, 2, FALSE) * 0.7, "Below Tier Range", "Normal")</f>
        <v>Normal</v>
      </c>
      <c r="X1133" t="str">
        <f t="shared" si="142"/>
        <v>Normal</v>
      </c>
      <c r="Y1133" t="str">
        <f t="shared" si="143"/>
        <v>Normal</v>
      </c>
      <c r="Z1133" t="str">
        <f t="shared" si="136"/>
        <v>Pass</v>
      </c>
    </row>
    <row r="1134" spans="1:26" x14ac:dyDescent="0.25">
      <c r="A1134" s="2" t="s">
        <v>2314</v>
      </c>
      <c r="B1134" t="s">
        <v>17</v>
      </c>
      <c r="C1134" t="s">
        <v>510</v>
      </c>
      <c r="D1134" s="2" t="str">
        <f>VLOOKUP(C1134,Locality_Reference!A:C,2,)</f>
        <v>Western Line</v>
      </c>
      <c r="E1134" s="2" t="str">
        <f>VLOOKUP(C1134,Locality_Reference!A:C,3,)</f>
        <v>Premium/South</v>
      </c>
      <c r="F1134" s="2" t="s">
        <v>2187</v>
      </c>
      <c r="G1134" s="8">
        <v>210000</v>
      </c>
      <c r="H1134">
        <v>2</v>
      </c>
      <c r="I1134">
        <v>2</v>
      </c>
      <c r="J1134">
        <v>25</v>
      </c>
      <c r="K1134">
        <v>75</v>
      </c>
      <c r="L1134">
        <v>920</v>
      </c>
      <c r="M1134" t="s">
        <v>36</v>
      </c>
      <c r="N1134" t="s">
        <v>15</v>
      </c>
      <c r="O1134" t="s">
        <v>16</v>
      </c>
      <c r="P1134" t="s">
        <v>31</v>
      </c>
      <c r="Q1134" t="str">
        <f t="shared" si="137"/>
        <v>3</v>
      </c>
      <c r="R1134" s="5">
        <v>46203</v>
      </c>
      <c r="S1134" s="8">
        <f t="shared" si="138"/>
        <v>228.2608695652174</v>
      </c>
      <c r="T1134">
        <f t="shared" si="139"/>
        <v>2520000</v>
      </c>
      <c r="U1134" t="str">
        <f t="shared" si="140"/>
        <v>Luxury</v>
      </c>
      <c r="V1134" t="str">
        <f t="shared" si="141"/>
        <v>Large</v>
      </c>
      <c r="W1134" t="str">
        <f>IF(S1134 &lt; VLOOKUP(E1134, Locality_Tier_Benchmarks!A:B, 2, FALSE) * 0.7, "Below Tier Range", "Normal")</f>
        <v>Normal</v>
      </c>
      <c r="X1134" t="str">
        <f t="shared" si="142"/>
        <v>Normal</v>
      </c>
      <c r="Y1134" t="str">
        <f t="shared" si="143"/>
        <v>Normal</v>
      </c>
      <c r="Z1134" t="str">
        <f t="shared" si="136"/>
        <v>Pass</v>
      </c>
    </row>
    <row r="1135" spans="1:26" x14ac:dyDescent="0.25">
      <c r="A1135" s="2" t="s">
        <v>2315</v>
      </c>
      <c r="B1135" t="s">
        <v>17</v>
      </c>
      <c r="C1135" t="s">
        <v>510</v>
      </c>
      <c r="D1135" s="2" t="str">
        <f>VLOOKUP(C1135,Locality_Reference!A:C,2,)</f>
        <v>Western Line</v>
      </c>
      <c r="E1135" s="2" t="str">
        <f>VLOOKUP(C1135,Locality_Reference!A:C,3,)</f>
        <v>Premium/South</v>
      </c>
      <c r="F1135" s="2" t="s">
        <v>2188</v>
      </c>
      <c r="G1135" s="8">
        <v>160000</v>
      </c>
      <c r="H1135">
        <v>2</v>
      </c>
      <c r="I1135">
        <v>2</v>
      </c>
      <c r="J1135">
        <v>3</v>
      </c>
      <c r="K1135">
        <v>11</v>
      </c>
      <c r="L1135">
        <v>900</v>
      </c>
      <c r="M1135" t="s">
        <v>14</v>
      </c>
      <c r="N1135" t="s">
        <v>29</v>
      </c>
      <c r="O1135" t="s">
        <v>16</v>
      </c>
      <c r="P1135" t="s">
        <v>34</v>
      </c>
      <c r="Q1135" t="str">
        <f t="shared" si="137"/>
        <v/>
      </c>
      <c r="R1135" s="5">
        <v>46197</v>
      </c>
      <c r="S1135" s="8">
        <f t="shared" si="138"/>
        <v>177.77777777777777</v>
      </c>
      <c r="T1135">
        <f t="shared" si="139"/>
        <v>1920000</v>
      </c>
      <c r="U1135" t="str">
        <f t="shared" si="140"/>
        <v>Luxury</v>
      </c>
      <c r="V1135" t="str">
        <f t="shared" si="141"/>
        <v>Large</v>
      </c>
      <c r="W1135" t="str">
        <f>IF(S1135 &lt; VLOOKUP(E1135, Locality_Tier_Benchmarks!A:B, 2, FALSE) * 0.7, "Below Tier Range", "Normal")</f>
        <v>Normal</v>
      </c>
      <c r="X1135" t="str">
        <f t="shared" si="142"/>
        <v>Normal</v>
      </c>
      <c r="Y1135" t="str">
        <f t="shared" si="143"/>
        <v>Normal</v>
      </c>
      <c r="Z1135" t="str">
        <f t="shared" si="136"/>
        <v>Pass</v>
      </c>
    </row>
    <row r="1136" spans="1:26" x14ac:dyDescent="0.25">
      <c r="A1136" s="2" t="s">
        <v>2316</v>
      </c>
      <c r="B1136" t="s">
        <v>17</v>
      </c>
      <c r="C1136" t="s">
        <v>510</v>
      </c>
      <c r="D1136" s="2" t="str">
        <f>VLOOKUP(C1136,Locality_Reference!A:C,2,)</f>
        <v>Western Line</v>
      </c>
      <c r="E1136" s="2" t="str">
        <f>VLOOKUP(C1136,Locality_Reference!A:C,3,)</f>
        <v>Premium/South</v>
      </c>
      <c r="F1136" s="2" t="s">
        <v>2189</v>
      </c>
      <c r="G1136" s="8">
        <v>190000</v>
      </c>
      <c r="H1136">
        <v>2</v>
      </c>
      <c r="I1136">
        <v>2</v>
      </c>
      <c r="J1136">
        <v>3</v>
      </c>
      <c r="K1136">
        <v>20</v>
      </c>
      <c r="L1136">
        <v>1000</v>
      </c>
      <c r="M1136" t="s">
        <v>14</v>
      </c>
      <c r="N1136" t="s">
        <v>29</v>
      </c>
      <c r="O1136" t="s">
        <v>16</v>
      </c>
      <c r="P1136" t="s">
        <v>34</v>
      </c>
      <c r="Q1136" t="str">
        <f t="shared" si="137"/>
        <v/>
      </c>
      <c r="R1136" s="5">
        <v>46191</v>
      </c>
      <c r="S1136" s="8">
        <f t="shared" si="138"/>
        <v>190</v>
      </c>
      <c r="T1136">
        <f t="shared" si="139"/>
        <v>2280000</v>
      </c>
      <c r="U1136" t="str">
        <f t="shared" si="140"/>
        <v>Luxury</v>
      </c>
      <c r="V1136" t="str">
        <f t="shared" si="141"/>
        <v>Large</v>
      </c>
      <c r="W1136" t="str">
        <f>IF(S1136 &lt; VLOOKUP(E1136, Locality_Tier_Benchmarks!A:B, 2, FALSE) * 0.7, "Below Tier Range", "Normal")</f>
        <v>Normal</v>
      </c>
      <c r="X1136" t="str">
        <f t="shared" si="142"/>
        <v>Normal</v>
      </c>
      <c r="Y1136" t="str">
        <f t="shared" si="143"/>
        <v>Normal</v>
      </c>
      <c r="Z1136" t="str">
        <f t="shared" si="136"/>
        <v>Pass</v>
      </c>
    </row>
    <row r="1137" spans="1:26" x14ac:dyDescent="0.25">
      <c r="A1137" s="2" t="s">
        <v>2317</v>
      </c>
      <c r="B1137" t="s">
        <v>17</v>
      </c>
      <c r="C1137" t="s">
        <v>510</v>
      </c>
      <c r="D1137" s="2" t="str">
        <f>VLOOKUP(C1137,Locality_Reference!A:C,2,)</f>
        <v>Western Line</v>
      </c>
      <c r="E1137" s="2" t="str">
        <f>VLOOKUP(C1137,Locality_Reference!A:C,3,)</f>
        <v>Premium/South</v>
      </c>
      <c r="F1137" s="2" t="s">
        <v>2190</v>
      </c>
      <c r="G1137" s="8">
        <v>362000</v>
      </c>
      <c r="H1137">
        <v>3</v>
      </c>
      <c r="I1137">
        <v>4</v>
      </c>
      <c r="J1137">
        <v>35</v>
      </c>
      <c r="K1137">
        <v>78</v>
      </c>
      <c r="L1137">
        <v>1348</v>
      </c>
      <c r="M1137" t="s">
        <v>36</v>
      </c>
      <c r="N1137" t="s">
        <v>15</v>
      </c>
      <c r="O1137" t="s">
        <v>16</v>
      </c>
      <c r="P1137" t="s">
        <v>31</v>
      </c>
      <c r="Q1137" t="str">
        <f t="shared" si="137"/>
        <v>3</v>
      </c>
      <c r="R1137" s="5">
        <v>46169</v>
      </c>
      <c r="S1137" s="8">
        <f t="shared" si="138"/>
        <v>268.54599406528189</v>
      </c>
      <c r="T1137">
        <f t="shared" si="139"/>
        <v>4344000</v>
      </c>
      <c r="U1137" t="str">
        <f t="shared" si="140"/>
        <v>Luxury</v>
      </c>
      <c r="V1137" t="str">
        <f t="shared" si="141"/>
        <v>Spacious</v>
      </c>
      <c r="W1137" t="str">
        <f>IF(S1137 &lt; VLOOKUP(E1137, Locality_Tier_Benchmarks!A:B, 2, FALSE) * 0.7, "Below Tier Range", "Normal")</f>
        <v>Normal</v>
      </c>
      <c r="X1137" t="str">
        <f t="shared" si="142"/>
        <v>Normal</v>
      </c>
      <c r="Y1137" t="str">
        <f t="shared" si="143"/>
        <v>Normal</v>
      </c>
      <c r="Z1137" t="str">
        <f t="shared" si="136"/>
        <v>Pass</v>
      </c>
    </row>
    <row r="1138" spans="1:26" x14ac:dyDescent="0.25">
      <c r="A1138" s="2" t="s">
        <v>2318</v>
      </c>
      <c r="B1138" t="s">
        <v>17</v>
      </c>
      <c r="C1138" t="s">
        <v>510</v>
      </c>
      <c r="D1138" s="2" t="str">
        <f>VLOOKUP(C1138,Locality_Reference!A:C,2,)</f>
        <v>Western Line</v>
      </c>
      <c r="E1138" s="2" t="str">
        <f>VLOOKUP(C1138,Locality_Reference!A:C,3,)</f>
        <v>Premium/South</v>
      </c>
      <c r="F1138" s="2" t="s">
        <v>1313</v>
      </c>
      <c r="G1138" s="8">
        <v>550000</v>
      </c>
      <c r="H1138">
        <v>3</v>
      </c>
      <c r="I1138">
        <v>5</v>
      </c>
      <c r="J1138">
        <v>16</v>
      </c>
      <c r="K1138">
        <v>79</v>
      </c>
      <c r="L1138">
        <v>1705</v>
      </c>
      <c r="M1138" t="s">
        <v>36</v>
      </c>
      <c r="N1138" t="s">
        <v>15</v>
      </c>
      <c r="O1138" t="s">
        <v>16</v>
      </c>
      <c r="P1138" t="s">
        <v>31</v>
      </c>
      <c r="Q1138" t="str">
        <f t="shared" si="137"/>
        <v>3</v>
      </c>
      <c r="R1138" s="5">
        <v>46197</v>
      </c>
      <c r="S1138" s="8">
        <f t="shared" si="138"/>
        <v>322.58064516129031</v>
      </c>
      <c r="T1138">
        <f t="shared" si="139"/>
        <v>6600000</v>
      </c>
      <c r="U1138" t="str">
        <f t="shared" si="140"/>
        <v>Luxury</v>
      </c>
      <c r="V1138" t="str">
        <f t="shared" si="141"/>
        <v>Spacious</v>
      </c>
      <c r="W1138" t="str">
        <f>IF(S1138 &lt; VLOOKUP(E1138, Locality_Tier_Benchmarks!A:B, 2, FALSE) * 0.7, "Below Tier Range", "Normal")</f>
        <v>Normal</v>
      </c>
      <c r="X1138" t="str">
        <f t="shared" si="142"/>
        <v>Normal</v>
      </c>
      <c r="Y1138" t="str">
        <f t="shared" si="143"/>
        <v>Normal</v>
      </c>
      <c r="Z1138" t="str">
        <f t="shared" si="136"/>
        <v>Pass</v>
      </c>
    </row>
    <row r="1139" spans="1:26" x14ac:dyDescent="0.25">
      <c r="A1139" s="2" t="s">
        <v>2319</v>
      </c>
      <c r="B1139" t="s">
        <v>17</v>
      </c>
      <c r="C1139" t="s">
        <v>510</v>
      </c>
      <c r="D1139" s="2" t="str">
        <f>VLOOKUP(C1139,Locality_Reference!A:C,2,)</f>
        <v>Western Line</v>
      </c>
      <c r="E1139" s="2" t="str">
        <f>VLOOKUP(C1139,Locality_Reference!A:C,3,)</f>
        <v>Premium/South</v>
      </c>
      <c r="F1139" s="2" t="s">
        <v>2185</v>
      </c>
      <c r="G1139" s="8">
        <v>270000</v>
      </c>
      <c r="H1139">
        <v>3</v>
      </c>
      <c r="I1139">
        <v>3</v>
      </c>
      <c r="J1139">
        <v>33</v>
      </c>
      <c r="K1139">
        <v>79</v>
      </c>
      <c r="L1139">
        <v>1266</v>
      </c>
      <c r="M1139" t="s">
        <v>33</v>
      </c>
      <c r="N1139" t="s">
        <v>15</v>
      </c>
      <c r="O1139" t="s">
        <v>16</v>
      </c>
      <c r="P1139" t="s">
        <v>31</v>
      </c>
      <c r="Q1139" t="str">
        <f t="shared" si="137"/>
        <v>3</v>
      </c>
      <c r="R1139" s="5">
        <v>46162</v>
      </c>
      <c r="S1139" s="8">
        <f t="shared" si="138"/>
        <v>213.27014218009478</v>
      </c>
      <c r="T1139">
        <f t="shared" si="139"/>
        <v>3240000</v>
      </c>
      <c r="U1139" t="str">
        <f t="shared" si="140"/>
        <v>Luxury</v>
      </c>
      <c r="V1139" t="str">
        <f t="shared" si="141"/>
        <v>Spacious</v>
      </c>
      <c r="W1139" t="str">
        <f>IF(S1139 &lt; VLOOKUP(E1139, Locality_Tier_Benchmarks!A:B, 2, FALSE) * 0.7, "Below Tier Range", "Normal")</f>
        <v>Normal</v>
      </c>
      <c r="X1139" t="str">
        <f t="shared" si="142"/>
        <v>Normal</v>
      </c>
      <c r="Y1139" t="str">
        <f t="shared" si="143"/>
        <v>Normal</v>
      </c>
      <c r="Z1139" t="str">
        <f t="shared" si="136"/>
        <v>Pass</v>
      </c>
    </row>
    <row r="1140" spans="1:26" x14ac:dyDescent="0.25">
      <c r="A1140" s="2" t="s">
        <v>2320</v>
      </c>
      <c r="B1140" t="s">
        <v>17</v>
      </c>
      <c r="C1140" t="s">
        <v>510</v>
      </c>
      <c r="D1140" s="2" t="str">
        <f>VLOOKUP(C1140,Locality_Reference!A:C,2,)</f>
        <v>Western Line</v>
      </c>
      <c r="E1140" s="2" t="str">
        <f>VLOOKUP(C1140,Locality_Reference!A:C,3,)</f>
        <v>Premium/South</v>
      </c>
      <c r="F1140" s="2" t="s">
        <v>2191</v>
      </c>
      <c r="G1140" s="8">
        <v>470000</v>
      </c>
      <c r="H1140">
        <v>3</v>
      </c>
      <c r="I1140">
        <v>4</v>
      </c>
      <c r="J1140">
        <v>35</v>
      </c>
      <c r="K1140">
        <v>77</v>
      </c>
      <c r="L1140">
        <v>2000</v>
      </c>
      <c r="M1140" t="s">
        <v>36</v>
      </c>
      <c r="N1140" t="s">
        <v>15</v>
      </c>
      <c r="O1140" t="s">
        <v>16</v>
      </c>
      <c r="P1140" t="s">
        <v>31</v>
      </c>
      <c r="Q1140" t="str">
        <f t="shared" si="137"/>
        <v>3</v>
      </c>
      <c r="R1140" s="5">
        <v>46184</v>
      </c>
      <c r="S1140" s="8">
        <f t="shared" si="138"/>
        <v>235</v>
      </c>
      <c r="T1140">
        <f t="shared" si="139"/>
        <v>5640000</v>
      </c>
      <c r="U1140" t="str">
        <f t="shared" si="140"/>
        <v>Luxury</v>
      </c>
      <c r="V1140" t="str">
        <f t="shared" si="141"/>
        <v>Spacious</v>
      </c>
      <c r="W1140" t="str">
        <f>IF(S1140 &lt; VLOOKUP(E1140, Locality_Tier_Benchmarks!A:B, 2, FALSE) * 0.7, "Below Tier Range", "Normal")</f>
        <v>Normal</v>
      </c>
      <c r="X1140" t="str">
        <f t="shared" si="142"/>
        <v>Normal</v>
      </c>
      <c r="Y1140" t="str">
        <f t="shared" si="143"/>
        <v>Normal</v>
      </c>
      <c r="Z1140" t="str">
        <f t="shared" si="136"/>
        <v>Pass</v>
      </c>
    </row>
    <row r="1141" spans="1:26" x14ac:dyDescent="0.25">
      <c r="A1141" s="2" t="s">
        <v>2321</v>
      </c>
      <c r="B1141" t="s">
        <v>17</v>
      </c>
      <c r="C1141" t="s">
        <v>510</v>
      </c>
      <c r="D1141" s="2" t="str">
        <f>VLOOKUP(C1141,Locality_Reference!A:C,2,)</f>
        <v>Western Line</v>
      </c>
      <c r="E1141" s="2" t="str">
        <f>VLOOKUP(C1141,Locality_Reference!A:C,3,)</f>
        <v>Premium/South</v>
      </c>
      <c r="F1141" s="2" t="s">
        <v>2186</v>
      </c>
      <c r="G1141" s="8">
        <v>300000</v>
      </c>
      <c r="H1141">
        <v>3</v>
      </c>
      <c r="I1141">
        <v>3</v>
      </c>
      <c r="J1141">
        <v>50</v>
      </c>
      <c r="K1141">
        <v>70</v>
      </c>
      <c r="L1141">
        <v>1194</v>
      </c>
      <c r="M1141" t="s">
        <v>36</v>
      </c>
      <c r="N1141" t="s">
        <v>15</v>
      </c>
      <c r="O1141" t="s">
        <v>16</v>
      </c>
      <c r="P1141" t="s">
        <v>47</v>
      </c>
      <c r="Q1141" t="str">
        <f t="shared" si="137"/>
        <v>1</v>
      </c>
      <c r="R1141" s="5">
        <v>46171</v>
      </c>
      <c r="S1141" s="8">
        <f t="shared" si="138"/>
        <v>251.25628140703517</v>
      </c>
      <c r="T1141">
        <f t="shared" si="139"/>
        <v>3600000</v>
      </c>
      <c r="U1141" t="str">
        <f t="shared" si="140"/>
        <v>Luxury</v>
      </c>
      <c r="V1141" t="str">
        <f t="shared" si="141"/>
        <v>Large</v>
      </c>
      <c r="W1141" t="str">
        <f>IF(S1141 &lt; VLOOKUP(E1141, Locality_Tier_Benchmarks!A:B, 2, FALSE) * 0.7, "Below Tier Range", "Normal")</f>
        <v>Normal</v>
      </c>
      <c r="X1141" t="str">
        <f t="shared" si="142"/>
        <v>Normal</v>
      </c>
      <c r="Y1141" t="str">
        <f t="shared" si="143"/>
        <v>Normal</v>
      </c>
      <c r="Z1141" t="str">
        <f t="shared" si="136"/>
        <v>Pass</v>
      </c>
    </row>
    <row r="1142" spans="1:26" x14ac:dyDescent="0.25">
      <c r="A1142" s="2" t="s">
        <v>2322</v>
      </c>
      <c r="B1142" t="s">
        <v>17</v>
      </c>
      <c r="C1142" t="s">
        <v>511</v>
      </c>
      <c r="D1142" s="2" t="str">
        <f>VLOOKUP(C1142,Locality_Reference!A:C,2,)</f>
        <v>Western Line</v>
      </c>
      <c r="E1142" s="2" t="str">
        <f>VLOOKUP(C1142,Locality_Reference!A:C,3,)</f>
        <v>Mid Suburb</v>
      </c>
      <c r="F1142" s="2" t="s">
        <v>2192</v>
      </c>
      <c r="G1142" s="8">
        <v>64999</v>
      </c>
      <c r="H1142">
        <v>1</v>
      </c>
      <c r="I1142">
        <v>2</v>
      </c>
      <c r="J1142">
        <v>13</v>
      </c>
      <c r="K1142">
        <v>24</v>
      </c>
      <c r="L1142">
        <v>450</v>
      </c>
      <c r="M1142" t="s">
        <v>14</v>
      </c>
      <c r="N1142" t="s">
        <v>29</v>
      </c>
      <c r="O1142" t="s">
        <v>16</v>
      </c>
      <c r="P1142" t="s">
        <v>47</v>
      </c>
      <c r="Q1142" t="str">
        <f t="shared" si="137"/>
        <v>1</v>
      </c>
      <c r="R1142" s="5">
        <v>46198</v>
      </c>
      <c r="S1142" s="8">
        <f t="shared" si="138"/>
        <v>144.44222222222223</v>
      </c>
      <c r="T1142">
        <f t="shared" si="139"/>
        <v>779988</v>
      </c>
      <c r="U1142" t="str">
        <f t="shared" si="140"/>
        <v>Premium</v>
      </c>
      <c r="V1142" t="str">
        <f t="shared" si="141"/>
        <v>Compact</v>
      </c>
      <c r="W1142" t="str">
        <f>IF(S1142 &lt; VLOOKUP(E1142, Locality_Tier_Benchmarks!A:B, 2, FALSE) * 0.7, "Below Tier Range", "Normal")</f>
        <v>Normal</v>
      </c>
      <c r="X1142" t="str">
        <f t="shared" si="142"/>
        <v>Normal</v>
      </c>
      <c r="Y1142" t="str">
        <f t="shared" si="143"/>
        <v>Normal</v>
      </c>
      <c r="Z1142" t="str">
        <f t="shared" si="136"/>
        <v>Pass</v>
      </c>
    </row>
    <row r="1143" spans="1:26" x14ac:dyDescent="0.25">
      <c r="A1143" s="2" t="s">
        <v>2323</v>
      </c>
      <c r="B1143" t="s">
        <v>17</v>
      </c>
      <c r="C1143" t="s">
        <v>511</v>
      </c>
      <c r="D1143" s="2" t="str">
        <f>VLOOKUP(C1143,Locality_Reference!A:C,2,)</f>
        <v>Western Line</v>
      </c>
      <c r="E1143" s="2" t="str">
        <f>VLOOKUP(C1143,Locality_Reference!A:C,3,)</f>
        <v>Mid Suburb</v>
      </c>
      <c r="F1143" s="2" t="s">
        <v>2193</v>
      </c>
      <c r="G1143" s="8">
        <v>37000</v>
      </c>
      <c r="H1143">
        <v>1</v>
      </c>
      <c r="I1143">
        <v>1</v>
      </c>
      <c r="J1143">
        <v>2</v>
      </c>
      <c r="K1143">
        <v>4</v>
      </c>
      <c r="L1143">
        <v>400</v>
      </c>
      <c r="M1143" t="s">
        <v>33</v>
      </c>
      <c r="N1143" t="s">
        <v>15</v>
      </c>
      <c r="O1143" t="s">
        <v>16</v>
      </c>
      <c r="P1143" t="s">
        <v>34</v>
      </c>
      <c r="Q1143" t="str">
        <f t="shared" si="137"/>
        <v/>
      </c>
      <c r="R1143" s="5">
        <v>46200</v>
      </c>
      <c r="S1143" s="8">
        <f t="shared" si="138"/>
        <v>92.5</v>
      </c>
      <c r="T1143">
        <f t="shared" si="139"/>
        <v>444000</v>
      </c>
      <c r="U1143" t="str">
        <f t="shared" si="140"/>
        <v>Mid</v>
      </c>
      <c r="V1143" t="str">
        <f t="shared" si="141"/>
        <v>Compact</v>
      </c>
      <c r="W1143" t="str">
        <f>IF(S1143 &lt; VLOOKUP(E1143, Locality_Tier_Benchmarks!A:B, 2, FALSE) * 0.7, "Below Tier Range", "Normal")</f>
        <v>Normal</v>
      </c>
      <c r="X1143" t="str">
        <f t="shared" si="142"/>
        <v>Normal</v>
      </c>
      <c r="Y1143" t="str">
        <f t="shared" si="143"/>
        <v>Normal</v>
      </c>
      <c r="Z1143" t="str">
        <f t="shared" si="136"/>
        <v>Pass</v>
      </c>
    </row>
    <row r="1144" spans="1:26" x14ac:dyDescent="0.25">
      <c r="A1144" s="2" t="s">
        <v>2324</v>
      </c>
      <c r="B1144" t="s">
        <v>17</v>
      </c>
      <c r="C1144" t="s">
        <v>511</v>
      </c>
      <c r="D1144" s="2" t="str">
        <f>VLOOKUP(C1144,Locality_Reference!A:C,2,)</f>
        <v>Western Line</v>
      </c>
      <c r="E1144" s="2" t="str">
        <f>VLOOKUP(C1144,Locality_Reference!A:C,3,)</f>
        <v>Mid Suburb</v>
      </c>
      <c r="F1144" s="2" t="s">
        <v>2194</v>
      </c>
      <c r="G1144" s="8">
        <v>55000</v>
      </c>
      <c r="H1144">
        <v>1</v>
      </c>
      <c r="I1144">
        <v>2</v>
      </c>
      <c r="J1144">
        <v>11</v>
      </c>
      <c r="K1144">
        <v>12</v>
      </c>
      <c r="L1144">
        <v>470</v>
      </c>
      <c r="M1144" t="s">
        <v>33</v>
      </c>
      <c r="N1144" t="s">
        <v>29</v>
      </c>
      <c r="O1144" t="s">
        <v>16</v>
      </c>
      <c r="P1144" t="s">
        <v>34</v>
      </c>
      <c r="Q1144" t="str">
        <f t="shared" si="137"/>
        <v/>
      </c>
      <c r="R1144" s="5">
        <v>46202</v>
      </c>
      <c r="S1144" s="8">
        <f t="shared" si="138"/>
        <v>117.02127659574468</v>
      </c>
      <c r="T1144">
        <f t="shared" si="139"/>
        <v>660000</v>
      </c>
      <c r="U1144" t="str">
        <f t="shared" si="140"/>
        <v>Mid</v>
      </c>
      <c r="V1144" t="str">
        <f t="shared" si="141"/>
        <v>Compact</v>
      </c>
      <c r="W1144" t="str">
        <f>IF(S1144 &lt; VLOOKUP(E1144, Locality_Tier_Benchmarks!A:B, 2, FALSE) * 0.7, "Below Tier Range", "Normal")</f>
        <v>Normal</v>
      </c>
      <c r="X1144" t="str">
        <f t="shared" si="142"/>
        <v>Normal</v>
      </c>
      <c r="Y1144" t="str">
        <f t="shared" si="143"/>
        <v>Normal</v>
      </c>
      <c r="Z1144" t="str">
        <f t="shared" si="136"/>
        <v>Pass</v>
      </c>
    </row>
    <row r="1145" spans="1:26" x14ac:dyDescent="0.25">
      <c r="A1145" s="2" t="s">
        <v>2325</v>
      </c>
      <c r="B1145" t="s">
        <v>17</v>
      </c>
      <c r="C1145" t="s">
        <v>511</v>
      </c>
      <c r="D1145" s="2" t="str">
        <f>VLOOKUP(C1145,Locality_Reference!A:C,2,)</f>
        <v>Western Line</v>
      </c>
      <c r="E1145" s="2" t="str">
        <f>VLOOKUP(C1145,Locality_Reference!A:C,3,)</f>
        <v>Mid Suburb</v>
      </c>
      <c r="F1145" s="2" t="s">
        <v>2195</v>
      </c>
      <c r="G1145" s="8">
        <v>50000</v>
      </c>
      <c r="H1145">
        <v>1</v>
      </c>
      <c r="I1145">
        <v>1</v>
      </c>
      <c r="J1145">
        <v>5</v>
      </c>
      <c r="K1145">
        <v>7</v>
      </c>
      <c r="L1145">
        <v>427</v>
      </c>
      <c r="M1145" t="s">
        <v>14</v>
      </c>
      <c r="N1145" t="s">
        <v>15</v>
      </c>
      <c r="O1145" t="s">
        <v>16</v>
      </c>
      <c r="P1145" t="s">
        <v>34</v>
      </c>
      <c r="Q1145" t="str">
        <f t="shared" si="137"/>
        <v/>
      </c>
      <c r="R1145" s="5">
        <v>46199</v>
      </c>
      <c r="S1145" s="8">
        <f t="shared" si="138"/>
        <v>117.096018735363</v>
      </c>
      <c r="T1145">
        <f t="shared" si="139"/>
        <v>600000</v>
      </c>
      <c r="U1145" t="str">
        <f t="shared" si="140"/>
        <v>Mid</v>
      </c>
      <c r="V1145" t="str">
        <f t="shared" si="141"/>
        <v>Compact</v>
      </c>
      <c r="W1145" t="str">
        <f>IF(S1145 &lt; VLOOKUP(E1145, Locality_Tier_Benchmarks!A:B, 2, FALSE) * 0.7, "Below Tier Range", "Normal")</f>
        <v>Normal</v>
      </c>
      <c r="X1145" t="str">
        <f t="shared" si="142"/>
        <v>Normal</v>
      </c>
      <c r="Y1145" t="str">
        <f t="shared" si="143"/>
        <v>Normal</v>
      </c>
      <c r="Z1145" t="str">
        <f t="shared" si="136"/>
        <v>Pass</v>
      </c>
    </row>
    <row r="1146" spans="1:26" x14ac:dyDescent="0.25">
      <c r="A1146" s="2" t="s">
        <v>2326</v>
      </c>
      <c r="B1146" t="s">
        <v>17</v>
      </c>
      <c r="C1146" t="s">
        <v>511</v>
      </c>
      <c r="D1146" s="2" t="str">
        <f>VLOOKUP(C1146,Locality_Reference!A:C,2,)</f>
        <v>Western Line</v>
      </c>
      <c r="E1146" s="2" t="str">
        <f>VLOOKUP(C1146,Locality_Reference!A:C,3,)</f>
        <v>Mid Suburb</v>
      </c>
      <c r="F1146" s="2" t="s">
        <v>2196</v>
      </c>
      <c r="G1146" s="8">
        <v>65000</v>
      </c>
      <c r="H1146">
        <v>1</v>
      </c>
      <c r="I1146">
        <v>2</v>
      </c>
      <c r="J1146">
        <v>10</v>
      </c>
      <c r="K1146">
        <v>17</v>
      </c>
      <c r="L1146">
        <v>432</v>
      </c>
      <c r="M1146" t="s">
        <v>14</v>
      </c>
      <c r="N1146" t="s">
        <v>29</v>
      </c>
      <c r="O1146" t="s">
        <v>16</v>
      </c>
      <c r="P1146" t="s">
        <v>34</v>
      </c>
      <c r="Q1146" t="str">
        <f t="shared" si="137"/>
        <v/>
      </c>
      <c r="R1146" s="5">
        <v>46190</v>
      </c>
      <c r="S1146" s="8">
        <f t="shared" si="138"/>
        <v>150.46296296296296</v>
      </c>
      <c r="T1146">
        <f t="shared" si="139"/>
        <v>780000</v>
      </c>
      <c r="U1146" t="str">
        <f t="shared" si="140"/>
        <v>Premium</v>
      </c>
      <c r="V1146" t="str">
        <f t="shared" si="141"/>
        <v>Compact</v>
      </c>
      <c r="W1146" t="str">
        <f>IF(S1146 &lt; VLOOKUP(E1146, Locality_Tier_Benchmarks!A:B, 2, FALSE) * 0.7, "Below Tier Range", "Normal")</f>
        <v>Normal</v>
      </c>
      <c r="X1146" t="str">
        <f t="shared" si="142"/>
        <v>Normal</v>
      </c>
      <c r="Y1146" t="str">
        <f t="shared" si="143"/>
        <v>Normal</v>
      </c>
      <c r="Z1146" t="str">
        <f t="shared" si="136"/>
        <v>Pass</v>
      </c>
    </row>
    <row r="1147" spans="1:26" x14ac:dyDescent="0.25">
      <c r="A1147" s="2" t="s">
        <v>2327</v>
      </c>
      <c r="B1147" t="s">
        <v>17</v>
      </c>
      <c r="C1147" t="s">
        <v>511</v>
      </c>
      <c r="D1147" s="2" t="str">
        <f>VLOOKUP(C1147,Locality_Reference!A:C,2,)</f>
        <v>Western Line</v>
      </c>
      <c r="E1147" s="2" t="str">
        <f>VLOOKUP(C1147,Locality_Reference!A:C,3,)</f>
        <v>Mid Suburb</v>
      </c>
      <c r="F1147" s="2" t="s">
        <v>2197</v>
      </c>
      <c r="G1147" s="8">
        <v>74999</v>
      </c>
      <c r="H1147">
        <v>2</v>
      </c>
      <c r="I1147">
        <v>2</v>
      </c>
      <c r="J1147">
        <v>10</v>
      </c>
      <c r="K1147">
        <v>13</v>
      </c>
      <c r="L1147">
        <v>732</v>
      </c>
      <c r="M1147" t="s">
        <v>14</v>
      </c>
      <c r="N1147" t="s">
        <v>29</v>
      </c>
      <c r="O1147" t="s">
        <v>16</v>
      </c>
      <c r="P1147" t="s">
        <v>52</v>
      </c>
      <c r="Q1147" t="str">
        <f t="shared" si="137"/>
        <v>7.5</v>
      </c>
      <c r="R1147" s="5">
        <v>46200</v>
      </c>
      <c r="S1147" s="8">
        <f t="shared" si="138"/>
        <v>102.45765027322405</v>
      </c>
      <c r="T1147">
        <f t="shared" si="139"/>
        <v>899988</v>
      </c>
      <c r="U1147" t="str">
        <f t="shared" si="140"/>
        <v>Premium</v>
      </c>
      <c r="V1147" t="str">
        <f t="shared" si="141"/>
        <v>Medium</v>
      </c>
      <c r="W1147" t="str">
        <f>IF(S1147 &lt; VLOOKUP(E1147, Locality_Tier_Benchmarks!A:B, 2, FALSE) * 0.7, "Below Tier Range", "Normal")</f>
        <v>Normal</v>
      </c>
      <c r="X1147" t="str">
        <f t="shared" si="142"/>
        <v>Normal</v>
      </c>
      <c r="Y1147" t="str">
        <f t="shared" si="143"/>
        <v>Normal</v>
      </c>
      <c r="Z1147" t="str">
        <f t="shared" si="136"/>
        <v>Pass</v>
      </c>
    </row>
    <row r="1148" spans="1:26" x14ac:dyDescent="0.25">
      <c r="A1148" s="2" t="s">
        <v>2328</v>
      </c>
      <c r="B1148" t="s">
        <v>17</v>
      </c>
      <c r="C1148" t="s">
        <v>511</v>
      </c>
      <c r="D1148" s="2" t="str">
        <f>VLOOKUP(C1148,Locality_Reference!A:C,2,)</f>
        <v>Western Line</v>
      </c>
      <c r="E1148" s="2" t="str">
        <f>VLOOKUP(C1148,Locality_Reference!A:C,3,)</f>
        <v>Mid Suburb</v>
      </c>
      <c r="F1148" s="2" t="s">
        <v>2192</v>
      </c>
      <c r="G1148" s="8">
        <v>92999</v>
      </c>
      <c r="H1148">
        <v>2</v>
      </c>
      <c r="I1148">
        <v>2</v>
      </c>
      <c r="J1148">
        <v>14</v>
      </c>
      <c r="K1148">
        <v>22</v>
      </c>
      <c r="L1148">
        <v>770</v>
      </c>
      <c r="M1148" t="s">
        <v>36</v>
      </c>
      <c r="N1148" t="s">
        <v>29</v>
      </c>
      <c r="O1148" t="s">
        <v>16</v>
      </c>
      <c r="P1148" t="s">
        <v>34</v>
      </c>
      <c r="Q1148" t="str">
        <f t="shared" si="137"/>
        <v/>
      </c>
      <c r="R1148" s="5">
        <v>46198</v>
      </c>
      <c r="S1148" s="8">
        <f t="shared" si="138"/>
        <v>120.77792207792209</v>
      </c>
      <c r="T1148">
        <f t="shared" si="139"/>
        <v>1115988</v>
      </c>
      <c r="U1148" t="str">
        <f t="shared" si="140"/>
        <v>Premium</v>
      </c>
      <c r="V1148" t="str">
        <f t="shared" si="141"/>
        <v>Medium</v>
      </c>
      <c r="W1148" t="str">
        <f>IF(S1148 &lt; VLOOKUP(E1148, Locality_Tier_Benchmarks!A:B, 2, FALSE) * 0.7, "Below Tier Range", "Normal")</f>
        <v>Normal</v>
      </c>
      <c r="X1148" t="str">
        <f t="shared" si="142"/>
        <v>Normal</v>
      </c>
      <c r="Y1148" t="str">
        <f t="shared" si="143"/>
        <v>Normal</v>
      </c>
      <c r="Z1148" t="str">
        <f t="shared" si="136"/>
        <v>Pass</v>
      </c>
    </row>
    <row r="1149" spans="1:26" x14ac:dyDescent="0.25">
      <c r="A1149" s="2" t="s">
        <v>2329</v>
      </c>
      <c r="B1149" t="s">
        <v>17</v>
      </c>
      <c r="C1149" t="s">
        <v>511</v>
      </c>
      <c r="D1149" s="2" t="str">
        <f>VLOOKUP(C1149,Locality_Reference!A:C,2,)</f>
        <v>Western Line</v>
      </c>
      <c r="E1149" s="2" t="str">
        <f>VLOOKUP(C1149,Locality_Reference!A:C,3,)</f>
        <v>Mid Suburb</v>
      </c>
      <c r="F1149" s="2" t="s">
        <v>2198</v>
      </c>
      <c r="G1149" s="8">
        <v>71000</v>
      </c>
      <c r="H1149">
        <v>2</v>
      </c>
      <c r="I1149">
        <v>2</v>
      </c>
      <c r="J1149">
        <v>9</v>
      </c>
      <c r="K1149">
        <v>18</v>
      </c>
      <c r="L1149">
        <v>893</v>
      </c>
      <c r="M1149" t="s">
        <v>36</v>
      </c>
      <c r="N1149" t="s">
        <v>29</v>
      </c>
      <c r="O1149" t="s">
        <v>16</v>
      </c>
      <c r="P1149" t="s">
        <v>34</v>
      </c>
      <c r="Q1149" t="str">
        <f t="shared" si="137"/>
        <v/>
      </c>
      <c r="R1149" s="5">
        <v>46200</v>
      </c>
      <c r="S1149" s="8">
        <f t="shared" si="138"/>
        <v>79.507278835386344</v>
      </c>
      <c r="T1149">
        <f t="shared" si="139"/>
        <v>852000</v>
      </c>
      <c r="U1149" t="str">
        <f t="shared" si="140"/>
        <v>Premium</v>
      </c>
      <c r="V1149" t="str">
        <f t="shared" si="141"/>
        <v>Large</v>
      </c>
      <c r="W1149" t="str">
        <f>IF(S1149 &lt; VLOOKUP(E1149, Locality_Tier_Benchmarks!A:B, 2, FALSE) * 0.7, "Below Tier Range", "Normal")</f>
        <v>Normal</v>
      </c>
      <c r="X1149" t="str">
        <f t="shared" si="142"/>
        <v>Normal</v>
      </c>
      <c r="Y1149" t="str">
        <f t="shared" si="143"/>
        <v>Normal</v>
      </c>
      <c r="Z1149" t="str">
        <f t="shared" si="136"/>
        <v>Pass</v>
      </c>
    </row>
    <row r="1150" spans="1:26" x14ac:dyDescent="0.25">
      <c r="A1150" s="2" t="s">
        <v>2330</v>
      </c>
      <c r="B1150" t="s">
        <v>17</v>
      </c>
      <c r="C1150" t="s">
        <v>511</v>
      </c>
      <c r="D1150" s="2" t="str">
        <f>VLOOKUP(C1150,Locality_Reference!A:C,2,)</f>
        <v>Western Line</v>
      </c>
      <c r="E1150" s="2" t="str">
        <f>VLOOKUP(C1150,Locality_Reference!A:C,3,)</f>
        <v>Mid Suburb</v>
      </c>
      <c r="F1150" s="2" t="s">
        <v>2199</v>
      </c>
      <c r="G1150" s="8">
        <v>50000</v>
      </c>
      <c r="H1150">
        <v>2</v>
      </c>
      <c r="I1150">
        <v>2</v>
      </c>
      <c r="J1150">
        <v>2</v>
      </c>
      <c r="K1150">
        <v>4</v>
      </c>
      <c r="L1150">
        <v>650</v>
      </c>
      <c r="M1150" t="s">
        <v>33</v>
      </c>
      <c r="N1150" t="s">
        <v>29</v>
      </c>
      <c r="O1150" t="s">
        <v>16</v>
      </c>
      <c r="P1150" t="s">
        <v>34</v>
      </c>
      <c r="Q1150" t="str">
        <f t="shared" si="137"/>
        <v/>
      </c>
      <c r="R1150" s="5">
        <v>46196</v>
      </c>
      <c r="S1150" s="8">
        <f t="shared" si="138"/>
        <v>76.92307692307692</v>
      </c>
      <c r="T1150">
        <f t="shared" si="139"/>
        <v>600000</v>
      </c>
      <c r="U1150" t="str">
        <f t="shared" si="140"/>
        <v>Mid</v>
      </c>
      <c r="V1150" t="str">
        <f t="shared" si="141"/>
        <v>Medium</v>
      </c>
      <c r="W1150" t="str">
        <f>IF(S1150 &lt; VLOOKUP(E1150, Locality_Tier_Benchmarks!A:B, 2, FALSE) * 0.7, "Below Tier Range", "Normal")</f>
        <v>Normal</v>
      </c>
      <c r="X1150" t="str">
        <f t="shared" si="142"/>
        <v>Normal</v>
      </c>
      <c r="Y1150" t="str">
        <f t="shared" si="143"/>
        <v>Normal</v>
      </c>
      <c r="Z1150" t="str">
        <f t="shared" si="136"/>
        <v>Pass</v>
      </c>
    </row>
    <row r="1151" spans="1:26" x14ac:dyDescent="0.25">
      <c r="A1151" s="2" t="s">
        <v>2331</v>
      </c>
      <c r="B1151" t="s">
        <v>17</v>
      </c>
      <c r="C1151" t="s">
        <v>511</v>
      </c>
      <c r="D1151" s="2" t="str">
        <f>VLOOKUP(C1151,Locality_Reference!A:C,2,)</f>
        <v>Western Line</v>
      </c>
      <c r="E1151" s="2" t="str">
        <f>VLOOKUP(C1151,Locality_Reference!A:C,3,)</f>
        <v>Mid Suburb</v>
      </c>
      <c r="F1151" s="2" t="s">
        <v>2200</v>
      </c>
      <c r="G1151" s="8">
        <v>49000</v>
      </c>
      <c r="H1151">
        <v>2</v>
      </c>
      <c r="I1151">
        <v>1</v>
      </c>
      <c r="J1151">
        <v>0</v>
      </c>
      <c r="K1151">
        <v>4</v>
      </c>
      <c r="L1151">
        <v>500</v>
      </c>
      <c r="M1151" t="s">
        <v>14</v>
      </c>
      <c r="N1151" t="s">
        <v>15</v>
      </c>
      <c r="O1151" t="s">
        <v>16</v>
      </c>
      <c r="P1151" t="s">
        <v>34</v>
      </c>
      <c r="Q1151" t="str">
        <f t="shared" si="137"/>
        <v/>
      </c>
      <c r="R1151" s="5">
        <v>46202</v>
      </c>
      <c r="S1151" s="8">
        <f t="shared" si="138"/>
        <v>98</v>
      </c>
      <c r="T1151">
        <f t="shared" si="139"/>
        <v>588000</v>
      </c>
      <c r="U1151" t="str">
        <f t="shared" si="140"/>
        <v>Mid</v>
      </c>
      <c r="V1151" t="str">
        <f t="shared" si="141"/>
        <v>Compact</v>
      </c>
      <c r="W1151" t="str">
        <f>IF(S1151 &lt; VLOOKUP(E1151, Locality_Tier_Benchmarks!A:B, 2, FALSE) * 0.7, "Below Tier Range", "Normal")</f>
        <v>Normal</v>
      </c>
      <c r="X1151" t="str">
        <f t="shared" si="142"/>
        <v>Normal</v>
      </c>
      <c r="Y1151" t="str">
        <f t="shared" si="143"/>
        <v>Normal</v>
      </c>
      <c r="Z1151" t="str">
        <f t="shared" si="136"/>
        <v>Pass</v>
      </c>
    </row>
    <row r="1152" spans="1:26" x14ac:dyDescent="0.25">
      <c r="A1152" s="2" t="s">
        <v>2332</v>
      </c>
      <c r="B1152" t="s">
        <v>17</v>
      </c>
      <c r="C1152" t="s">
        <v>511</v>
      </c>
      <c r="D1152" s="2" t="str">
        <f>VLOOKUP(C1152,Locality_Reference!A:C,2,)</f>
        <v>Western Line</v>
      </c>
      <c r="E1152" s="2" t="str">
        <f>VLOOKUP(C1152,Locality_Reference!A:C,3,)</f>
        <v>Mid Suburb</v>
      </c>
      <c r="F1152" s="2" t="s">
        <v>2201</v>
      </c>
      <c r="G1152" s="8">
        <v>130000</v>
      </c>
      <c r="H1152">
        <v>3</v>
      </c>
      <c r="I1152">
        <v>3</v>
      </c>
      <c r="J1152">
        <v>14</v>
      </c>
      <c r="K1152">
        <v>15</v>
      </c>
      <c r="L1152">
        <v>885</v>
      </c>
      <c r="M1152" t="s">
        <v>14</v>
      </c>
      <c r="N1152" t="s">
        <v>29</v>
      </c>
      <c r="O1152" t="s">
        <v>16</v>
      </c>
      <c r="P1152" t="s">
        <v>31</v>
      </c>
      <c r="Q1152" t="str">
        <f t="shared" si="137"/>
        <v>3</v>
      </c>
      <c r="R1152" s="5">
        <v>46196</v>
      </c>
      <c r="S1152" s="8">
        <f t="shared" si="138"/>
        <v>146.89265536723164</v>
      </c>
      <c r="T1152">
        <f t="shared" si="139"/>
        <v>1560000</v>
      </c>
      <c r="U1152" t="str">
        <f t="shared" si="140"/>
        <v>Luxury</v>
      </c>
      <c r="V1152" t="str">
        <f t="shared" si="141"/>
        <v>Large</v>
      </c>
      <c r="W1152" t="str">
        <f>IF(S1152 &lt; VLOOKUP(E1152, Locality_Tier_Benchmarks!A:B, 2, FALSE) * 0.7, "Below Tier Range", "Normal")</f>
        <v>Normal</v>
      </c>
      <c r="X1152" t="str">
        <f t="shared" si="142"/>
        <v>Normal</v>
      </c>
      <c r="Y1152" t="str">
        <f t="shared" si="143"/>
        <v>Normal</v>
      </c>
      <c r="Z1152" t="str">
        <f t="shared" si="136"/>
        <v>Pass</v>
      </c>
    </row>
    <row r="1153" spans="1:26" x14ac:dyDescent="0.25">
      <c r="A1153" s="2" t="s">
        <v>2333</v>
      </c>
      <c r="B1153" t="s">
        <v>17</v>
      </c>
      <c r="C1153" t="s">
        <v>511</v>
      </c>
      <c r="D1153" s="2" t="str">
        <f>VLOOKUP(C1153,Locality_Reference!A:C,2,)</f>
        <v>Western Line</v>
      </c>
      <c r="E1153" s="2" t="str">
        <f>VLOOKUP(C1153,Locality_Reference!A:C,3,)</f>
        <v>Mid Suburb</v>
      </c>
      <c r="F1153" s="2" t="s">
        <v>2202</v>
      </c>
      <c r="G1153" s="8">
        <v>80000</v>
      </c>
      <c r="H1153">
        <v>3</v>
      </c>
      <c r="I1153">
        <v>3</v>
      </c>
      <c r="J1153">
        <v>4</v>
      </c>
      <c r="K1153">
        <v>7</v>
      </c>
      <c r="L1153">
        <v>1050</v>
      </c>
      <c r="M1153" t="s">
        <v>33</v>
      </c>
      <c r="N1153" t="s">
        <v>15</v>
      </c>
      <c r="O1153" t="s">
        <v>16</v>
      </c>
      <c r="P1153" t="s">
        <v>52</v>
      </c>
      <c r="Q1153" t="str">
        <f t="shared" si="137"/>
        <v>7.5</v>
      </c>
      <c r="R1153" s="5">
        <v>46190</v>
      </c>
      <c r="S1153" s="8">
        <f t="shared" si="138"/>
        <v>76.19047619047619</v>
      </c>
      <c r="T1153">
        <f t="shared" si="139"/>
        <v>960000</v>
      </c>
      <c r="U1153" t="str">
        <f t="shared" si="140"/>
        <v>Premium</v>
      </c>
      <c r="V1153" t="str">
        <f t="shared" si="141"/>
        <v>Large</v>
      </c>
      <c r="W1153" t="str">
        <f>IF(S1153 &lt; VLOOKUP(E1153, Locality_Tier_Benchmarks!A:B, 2, FALSE) * 0.7, "Below Tier Range", "Normal")</f>
        <v>Normal</v>
      </c>
      <c r="X1153" t="str">
        <f t="shared" si="142"/>
        <v>Normal</v>
      </c>
      <c r="Y1153" t="str">
        <f t="shared" si="143"/>
        <v>Normal</v>
      </c>
      <c r="Z1153" t="str">
        <f t="shared" si="136"/>
        <v>Pass</v>
      </c>
    </row>
    <row r="1154" spans="1:26" x14ac:dyDescent="0.25">
      <c r="A1154" s="2" t="s">
        <v>2334</v>
      </c>
      <c r="B1154" t="s">
        <v>17</v>
      </c>
      <c r="C1154" t="s">
        <v>511</v>
      </c>
      <c r="D1154" s="2" t="str">
        <f>VLOOKUP(C1154,Locality_Reference!A:C,2,)</f>
        <v>Western Line</v>
      </c>
      <c r="E1154" s="2" t="str">
        <f>VLOOKUP(C1154,Locality_Reference!A:C,3,)</f>
        <v>Mid Suburb</v>
      </c>
      <c r="F1154" s="2" t="s">
        <v>2203</v>
      </c>
      <c r="G1154" s="8">
        <v>132000</v>
      </c>
      <c r="H1154">
        <v>3</v>
      </c>
      <c r="I1154">
        <v>3</v>
      </c>
      <c r="J1154">
        <v>9</v>
      </c>
      <c r="K1154">
        <v>16</v>
      </c>
      <c r="L1154">
        <v>1100</v>
      </c>
      <c r="M1154" t="s">
        <v>36</v>
      </c>
      <c r="N1154" t="s">
        <v>29</v>
      </c>
      <c r="O1154" t="s">
        <v>16</v>
      </c>
      <c r="P1154" t="s">
        <v>52</v>
      </c>
      <c r="Q1154" t="str">
        <f t="shared" si="137"/>
        <v>7.5</v>
      </c>
      <c r="R1154" s="5">
        <v>46204</v>
      </c>
      <c r="S1154" s="8">
        <f t="shared" si="138"/>
        <v>120</v>
      </c>
      <c r="T1154">
        <f t="shared" si="139"/>
        <v>1584000</v>
      </c>
      <c r="U1154" t="str">
        <f t="shared" si="140"/>
        <v>Luxury</v>
      </c>
      <c r="V1154" t="str">
        <f t="shared" si="141"/>
        <v>Large</v>
      </c>
      <c r="W1154" t="str">
        <f>IF(S1154 &lt; VLOOKUP(E1154, Locality_Tier_Benchmarks!A:B, 2, FALSE) * 0.7, "Below Tier Range", "Normal")</f>
        <v>Normal</v>
      </c>
      <c r="X1154" t="str">
        <f t="shared" si="142"/>
        <v>Normal</v>
      </c>
      <c r="Y1154" t="str">
        <f t="shared" si="143"/>
        <v>Normal</v>
      </c>
      <c r="Z1154" t="str">
        <f t="shared" ref="Z1154:Z1156" si="144">IF(OR(W1154&lt;&gt;"Normal",X1154&lt;&gt;"Normal",Y1154&lt;&gt;"Normal"),"Review","Pass")</f>
        <v>Pass</v>
      </c>
    </row>
    <row r="1155" spans="1:26" x14ac:dyDescent="0.25">
      <c r="A1155" s="2" t="s">
        <v>2335</v>
      </c>
      <c r="B1155" t="s">
        <v>17</v>
      </c>
      <c r="C1155" t="s">
        <v>511</v>
      </c>
      <c r="D1155" s="2" t="str">
        <f>VLOOKUP(C1155,Locality_Reference!A:C,2,)</f>
        <v>Western Line</v>
      </c>
      <c r="E1155" s="2" t="str">
        <f>VLOOKUP(C1155,Locality_Reference!A:C,3,)</f>
        <v>Mid Suburb</v>
      </c>
      <c r="F1155" s="2" t="s">
        <v>2204</v>
      </c>
      <c r="G1155" s="8">
        <v>150000</v>
      </c>
      <c r="H1155">
        <v>3</v>
      </c>
      <c r="I1155">
        <v>3</v>
      </c>
      <c r="J1155">
        <v>9</v>
      </c>
      <c r="K1155">
        <v>12</v>
      </c>
      <c r="L1155">
        <v>1150</v>
      </c>
      <c r="M1155" t="s">
        <v>14</v>
      </c>
      <c r="N1155" t="s">
        <v>15</v>
      </c>
      <c r="O1155" t="s">
        <v>16</v>
      </c>
      <c r="P1155" t="s">
        <v>34</v>
      </c>
      <c r="Q1155" t="str">
        <f t="shared" ref="Q1155:Q1156" si="145">IF(P1155="20+ Years","20",IF(P1155="15-20 Years","17.5",IF(P1155="10+ Years","10",IF(P1155="5-10 Years","7.5",IF(P1155="1-5 Years","3",IF(P1155="0-1 Year","1",""))))))</f>
        <v/>
      </c>
      <c r="R1155" s="5">
        <v>46186</v>
      </c>
      <c r="S1155" s="8">
        <f t="shared" ref="S1155:S1156" si="146">G1155/L1155</f>
        <v>130.43478260869566</v>
      </c>
      <c r="T1155">
        <f t="shared" ref="T1155:T1156" si="147">G1155*12</f>
        <v>1800000</v>
      </c>
      <c r="U1155" t="str">
        <f t="shared" ref="U1155:U1156" si="148">IF(G1155&lt;=30000,"Budget",IF(G1155&lt;=60000,"Mid",IF(G1155&lt;=100000,"Premium","Luxury")))</f>
        <v>Luxury</v>
      </c>
      <c r="V1155" t="str">
        <f t="shared" ref="V1155:V1156" si="149">IF(L1155&lt;=500,"Compact",IF(L1155&lt;=800,"Medium",IF(L1155&lt;=1200,"Large","Spacious")))</f>
        <v>Large</v>
      </c>
      <c r="W1155" t="str">
        <f>IF(S1155 &lt; VLOOKUP(E1155, Locality_Tier_Benchmarks!A:B, 2, FALSE) * 0.7, "Below Tier Range", "Normal")</f>
        <v>Normal</v>
      </c>
      <c r="X1155" t="str">
        <f t="shared" ref="X1155:X1156" si="150">IF(G1155&lt;7000,"Below Absolute Floor","Normal")</f>
        <v>Normal</v>
      </c>
      <c r="Y1155" t="str">
        <f t="shared" ref="Y1155:Y1156" si="151">IF(S1155&gt;500,"Possible Typo - Check Zero","Normal")</f>
        <v>Normal</v>
      </c>
      <c r="Z1155" t="str">
        <f t="shared" si="144"/>
        <v>Pass</v>
      </c>
    </row>
    <row r="1156" spans="1:26" x14ac:dyDescent="0.25">
      <c r="A1156" s="2" t="s">
        <v>2336</v>
      </c>
      <c r="B1156" t="s">
        <v>17</v>
      </c>
      <c r="C1156" t="s">
        <v>511</v>
      </c>
      <c r="D1156" s="2" t="str">
        <f>VLOOKUP(C1156,Locality_Reference!A:C,2,)</f>
        <v>Western Line</v>
      </c>
      <c r="E1156" s="2" t="str">
        <f>VLOOKUP(C1156,Locality_Reference!A:C,3,)</f>
        <v>Mid Suburb</v>
      </c>
      <c r="F1156" s="2" t="s">
        <v>2192</v>
      </c>
      <c r="G1156" s="8">
        <v>115000</v>
      </c>
      <c r="H1156">
        <v>3</v>
      </c>
      <c r="I1156">
        <v>2</v>
      </c>
      <c r="J1156">
        <v>3</v>
      </c>
      <c r="K1156">
        <v>22</v>
      </c>
      <c r="L1156">
        <v>900</v>
      </c>
      <c r="M1156" t="s">
        <v>14</v>
      </c>
      <c r="N1156" t="s">
        <v>29</v>
      </c>
      <c r="O1156" t="s">
        <v>16</v>
      </c>
      <c r="P1156" t="s">
        <v>31</v>
      </c>
      <c r="Q1156" t="str">
        <f t="shared" si="145"/>
        <v>3</v>
      </c>
      <c r="R1156" s="5">
        <v>46151</v>
      </c>
      <c r="S1156" s="8">
        <f t="shared" si="146"/>
        <v>127.77777777777777</v>
      </c>
      <c r="T1156">
        <f t="shared" si="147"/>
        <v>1380000</v>
      </c>
      <c r="U1156" t="str">
        <f t="shared" si="148"/>
        <v>Luxury</v>
      </c>
      <c r="V1156" t="str">
        <f t="shared" si="149"/>
        <v>Large</v>
      </c>
      <c r="W1156" t="str">
        <f>IF(S1156 &lt; VLOOKUP(E1156, Locality_Tier_Benchmarks!A:B, 2, FALSE) * 0.7, "Below Tier Range", "Normal")</f>
        <v>Normal</v>
      </c>
      <c r="X1156" t="str">
        <f t="shared" si="150"/>
        <v>Normal</v>
      </c>
      <c r="Y1156" t="str">
        <f t="shared" si="151"/>
        <v>Normal</v>
      </c>
      <c r="Z1156" t="str">
        <f t="shared" si="144"/>
        <v>Pass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C579-EC16-42AF-A946-51A5BA482457}">
  <dimension ref="A1:C92"/>
  <sheetViews>
    <sheetView topLeftCell="A75" workbookViewId="0">
      <selection activeCell="A92" sqref="A92"/>
    </sheetView>
  </sheetViews>
  <sheetFormatPr defaultRowHeight="15" x14ac:dyDescent="0.25"/>
  <cols>
    <col min="1" max="1" width="16.5703125" bestFit="1" customWidth="1"/>
    <col min="2" max="2" width="12.7109375" bestFit="1" customWidth="1"/>
    <col min="3" max="3" width="15.42578125" bestFit="1" customWidth="1"/>
  </cols>
  <sheetData>
    <row r="1" spans="1:3" x14ac:dyDescent="0.25">
      <c r="A1" s="9" t="s">
        <v>2</v>
      </c>
      <c r="B1" s="9" t="s">
        <v>180</v>
      </c>
      <c r="C1" s="9" t="s">
        <v>451</v>
      </c>
    </row>
    <row r="2" spans="1:3" x14ac:dyDescent="0.25">
      <c r="A2" t="s">
        <v>452</v>
      </c>
      <c r="B2" t="s">
        <v>181</v>
      </c>
      <c r="C2" t="s">
        <v>453</v>
      </c>
    </row>
    <row r="3" spans="1:3" x14ac:dyDescent="0.25">
      <c r="A3" t="s">
        <v>454</v>
      </c>
      <c r="B3" t="s">
        <v>181</v>
      </c>
      <c r="C3" t="s">
        <v>453</v>
      </c>
    </row>
    <row r="4" spans="1:3" x14ac:dyDescent="0.25">
      <c r="A4" t="s">
        <v>455</v>
      </c>
      <c r="B4" t="s">
        <v>181</v>
      </c>
      <c r="C4" t="s">
        <v>453</v>
      </c>
    </row>
    <row r="5" spans="1:3" x14ac:dyDescent="0.25">
      <c r="A5" t="s">
        <v>456</v>
      </c>
      <c r="B5" t="s">
        <v>181</v>
      </c>
      <c r="C5" t="s">
        <v>453</v>
      </c>
    </row>
    <row r="6" spans="1:3" x14ac:dyDescent="0.25">
      <c r="A6" t="s">
        <v>457</v>
      </c>
      <c r="B6" t="s">
        <v>181</v>
      </c>
      <c r="C6" t="s">
        <v>453</v>
      </c>
    </row>
    <row r="7" spans="1:3" x14ac:dyDescent="0.25">
      <c r="A7" t="s">
        <v>458</v>
      </c>
      <c r="B7" t="s">
        <v>181</v>
      </c>
      <c r="C7" t="s">
        <v>453</v>
      </c>
    </row>
    <row r="8" spans="1:3" x14ac:dyDescent="0.25">
      <c r="A8" t="s">
        <v>1302</v>
      </c>
      <c r="B8" t="s">
        <v>181</v>
      </c>
      <c r="C8" t="s">
        <v>453</v>
      </c>
    </row>
    <row r="9" spans="1:3" x14ac:dyDescent="0.25">
      <c r="A9" t="s">
        <v>1303</v>
      </c>
      <c r="B9" t="s">
        <v>181</v>
      </c>
      <c r="C9" t="s">
        <v>453</v>
      </c>
    </row>
    <row r="10" spans="1:3" x14ac:dyDescent="0.25">
      <c r="A10" t="s">
        <v>459</v>
      </c>
      <c r="B10" t="s">
        <v>181</v>
      </c>
      <c r="C10" t="s">
        <v>453</v>
      </c>
    </row>
    <row r="11" spans="1:3" x14ac:dyDescent="0.25">
      <c r="A11" t="s">
        <v>489</v>
      </c>
      <c r="B11" t="s">
        <v>181</v>
      </c>
      <c r="C11" t="s">
        <v>453</v>
      </c>
    </row>
    <row r="12" spans="1:3" x14ac:dyDescent="0.25">
      <c r="A12" t="s">
        <v>460</v>
      </c>
      <c r="B12" t="s">
        <v>181</v>
      </c>
      <c r="C12" t="s">
        <v>453</v>
      </c>
    </row>
    <row r="13" spans="1:3" x14ac:dyDescent="0.25">
      <c r="A13" t="s">
        <v>461</v>
      </c>
      <c r="B13" t="s">
        <v>181</v>
      </c>
      <c r="C13" t="s">
        <v>453</v>
      </c>
    </row>
    <row r="14" spans="1:3" x14ac:dyDescent="0.25">
      <c r="A14" t="s">
        <v>1232</v>
      </c>
      <c r="B14" t="s">
        <v>181</v>
      </c>
      <c r="C14" t="s">
        <v>464</v>
      </c>
    </row>
    <row r="15" spans="1:3" x14ac:dyDescent="0.25">
      <c r="A15" t="s">
        <v>1233</v>
      </c>
      <c r="B15" t="s">
        <v>181</v>
      </c>
      <c r="C15" t="s">
        <v>453</v>
      </c>
    </row>
    <row r="16" spans="1:3" x14ac:dyDescent="0.25">
      <c r="A16" t="s">
        <v>462</v>
      </c>
      <c r="B16" t="s">
        <v>181</v>
      </c>
      <c r="C16" t="s">
        <v>453</v>
      </c>
    </row>
    <row r="17" spans="1:3" x14ac:dyDescent="0.25">
      <c r="A17" t="s">
        <v>463</v>
      </c>
      <c r="B17" t="s">
        <v>181</v>
      </c>
      <c r="C17" t="s">
        <v>464</v>
      </c>
    </row>
    <row r="18" spans="1:3" x14ac:dyDescent="0.25">
      <c r="A18" t="s">
        <v>465</v>
      </c>
      <c r="B18" t="s">
        <v>181</v>
      </c>
      <c r="C18" t="s">
        <v>453</v>
      </c>
    </row>
    <row r="19" spans="1:3" x14ac:dyDescent="0.25">
      <c r="A19" t="s">
        <v>1189</v>
      </c>
      <c r="B19" t="s">
        <v>181</v>
      </c>
      <c r="C19" t="s">
        <v>464</v>
      </c>
    </row>
    <row r="20" spans="1:3" x14ac:dyDescent="0.25">
      <c r="A20" t="s">
        <v>466</v>
      </c>
      <c r="B20" t="s">
        <v>181</v>
      </c>
      <c r="C20" t="s">
        <v>453</v>
      </c>
    </row>
    <row r="21" spans="1:3" x14ac:dyDescent="0.25">
      <c r="A21" t="s">
        <v>467</v>
      </c>
      <c r="B21" t="s">
        <v>181</v>
      </c>
      <c r="C21" t="s">
        <v>464</v>
      </c>
    </row>
    <row r="22" spans="1:3" x14ac:dyDescent="0.25">
      <c r="A22" t="s">
        <v>468</v>
      </c>
      <c r="B22" t="s">
        <v>181</v>
      </c>
      <c r="C22" t="s">
        <v>464</v>
      </c>
    </row>
    <row r="23" spans="1:3" x14ac:dyDescent="0.25">
      <c r="A23" t="s">
        <v>469</v>
      </c>
      <c r="B23" t="s">
        <v>181</v>
      </c>
      <c r="C23" t="s">
        <v>464</v>
      </c>
    </row>
    <row r="24" spans="1:3" x14ac:dyDescent="0.25">
      <c r="A24" t="s">
        <v>27</v>
      </c>
      <c r="B24" t="s">
        <v>181</v>
      </c>
      <c r="C24" t="s">
        <v>464</v>
      </c>
    </row>
    <row r="25" spans="1:3" x14ac:dyDescent="0.25">
      <c r="A25" t="s">
        <v>12</v>
      </c>
      <c r="B25" t="s">
        <v>181</v>
      </c>
      <c r="C25" t="s">
        <v>464</v>
      </c>
    </row>
    <row r="26" spans="1:3" x14ac:dyDescent="0.25">
      <c r="A26" t="s">
        <v>470</v>
      </c>
      <c r="B26" t="s">
        <v>181</v>
      </c>
      <c r="C26" t="s">
        <v>464</v>
      </c>
    </row>
    <row r="27" spans="1:3" x14ac:dyDescent="0.25">
      <c r="A27" t="s">
        <v>471</v>
      </c>
      <c r="B27" t="s">
        <v>181</v>
      </c>
      <c r="C27" t="s">
        <v>464</v>
      </c>
    </row>
    <row r="28" spans="1:3" x14ac:dyDescent="0.25">
      <c r="A28" t="s">
        <v>472</v>
      </c>
      <c r="B28" t="s">
        <v>181</v>
      </c>
      <c r="C28" t="s">
        <v>464</v>
      </c>
    </row>
    <row r="29" spans="1:3" x14ac:dyDescent="0.25">
      <c r="A29" t="s">
        <v>473</v>
      </c>
      <c r="B29" t="s">
        <v>181</v>
      </c>
      <c r="C29" t="s">
        <v>464</v>
      </c>
    </row>
    <row r="30" spans="1:3" x14ac:dyDescent="0.25">
      <c r="A30" t="s">
        <v>474</v>
      </c>
      <c r="B30" t="s">
        <v>181</v>
      </c>
      <c r="C30" t="s">
        <v>464</v>
      </c>
    </row>
    <row r="31" spans="1:3" x14ac:dyDescent="0.25">
      <c r="A31" t="s">
        <v>475</v>
      </c>
      <c r="B31" t="s">
        <v>181</v>
      </c>
      <c r="C31" t="s">
        <v>464</v>
      </c>
    </row>
    <row r="32" spans="1:3" x14ac:dyDescent="0.25">
      <c r="A32" t="s">
        <v>476</v>
      </c>
      <c r="B32" t="s">
        <v>181</v>
      </c>
      <c r="C32" t="s">
        <v>464</v>
      </c>
    </row>
    <row r="33" spans="1:3" x14ac:dyDescent="0.25">
      <c r="A33" t="s">
        <v>477</v>
      </c>
      <c r="B33" t="s">
        <v>181</v>
      </c>
      <c r="C33" t="s">
        <v>464</v>
      </c>
    </row>
    <row r="34" spans="1:3" x14ac:dyDescent="0.25">
      <c r="A34" t="s">
        <v>478</v>
      </c>
      <c r="B34" t="s">
        <v>181</v>
      </c>
      <c r="C34" t="s">
        <v>464</v>
      </c>
    </row>
    <row r="35" spans="1:3" x14ac:dyDescent="0.25">
      <c r="A35" t="s">
        <v>479</v>
      </c>
      <c r="B35" t="s">
        <v>181</v>
      </c>
      <c r="C35" t="s">
        <v>464</v>
      </c>
    </row>
    <row r="36" spans="1:3" x14ac:dyDescent="0.25">
      <c r="A36" t="s">
        <v>393</v>
      </c>
      <c r="B36" t="s">
        <v>181</v>
      </c>
      <c r="C36" t="s">
        <v>464</v>
      </c>
    </row>
    <row r="37" spans="1:3" x14ac:dyDescent="0.25">
      <c r="A37" t="s">
        <v>394</v>
      </c>
      <c r="B37" t="s">
        <v>181</v>
      </c>
      <c r="C37" t="s">
        <v>464</v>
      </c>
    </row>
    <row r="38" spans="1:3" x14ac:dyDescent="0.25">
      <c r="A38" t="s">
        <v>74</v>
      </c>
      <c r="B38" t="s">
        <v>181</v>
      </c>
      <c r="C38" t="s">
        <v>464</v>
      </c>
    </row>
    <row r="39" spans="1:3" x14ac:dyDescent="0.25">
      <c r="A39" t="s">
        <v>102</v>
      </c>
      <c r="B39" t="s">
        <v>181</v>
      </c>
      <c r="C39" t="s">
        <v>480</v>
      </c>
    </row>
    <row r="40" spans="1:3" x14ac:dyDescent="0.25">
      <c r="A40" t="s">
        <v>103</v>
      </c>
      <c r="B40" t="s">
        <v>181</v>
      </c>
      <c r="C40" t="s">
        <v>480</v>
      </c>
    </row>
    <row r="41" spans="1:3" x14ac:dyDescent="0.25">
      <c r="A41" t="s">
        <v>126</v>
      </c>
      <c r="B41" t="s">
        <v>181</v>
      </c>
      <c r="C41" t="s">
        <v>480</v>
      </c>
    </row>
    <row r="42" spans="1:3" x14ac:dyDescent="0.25">
      <c r="A42" t="s">
        <v>127</v>
      </c>
      <c r="B42" t="s">
        <v>181</v>
      </c>
      <c r="C42" t="s">
        <v>480</v>
      </c>
    </row>
    <row r="43" spans="1:3" x14ac:dyDescent="0.25">
      <c r="A43" t="s">
        <v>481</v>
      </c>
      <c r="B43" t="s">
        <v>181</v>
      </c>
      <c r="C43" t="s">
        <v>482</v>
      </c>
    </row>
    <row r="44" spans="1:3" x14ac:dyDescent="0.25">
      <c r="A44" t="s">
        <v>141</v>
      </c>
      <c r="B44" t="s">
        <v>181</v>
      </c>
      <c r="C44" t="s">
        <v>482</v>
      </c>
    </row>
    <row r="45" spans="1:3" x14ac:dyDescent="0.25">
      <c r="A45" t="s">
        <v>142</v>
      </c>
      <c r="B45" t="s">
        <v>181</v>
      </c>
      <c r="C45" t="s">
        <v>482</v>
      </c>
    </row>
    <row r="46" spans="1:3" x14ac:dyDescent="0.25">
      <c r="A46" t="s">
        <v>183</v>
      </c>
      <c r="B46" t="s">
        <v>181</v>
      </c>
      <c r="C46" t="s">
        <v>482</v>
      </c>
    </row>
    <row r="47" spans="1:3" x14ac:dyDescent="0.25">
      <c r="A47" t="s">
        <v>184</v>
      </c>
      <c r="B47" t="s">
        <v>181</v>
      </c>
      <c r="C47" t="s">
        <v>482</v>
      </c>
    </row>
    <row r="48" spans="1:3" x14ac:dyDescent="0.25">
      <c r="A48" t="s">
        <v>368</v>
      </c>
      <c r="B48" t="s">
        <v>181</v>
      </c>
      <c r="C48" t="s">
        <v>482</v>
      </c>
    </row>
    <row r="49" spans="1:3" x14ac:dyDescent="0.25">
      <c r="A49" t="s">
        <v>369</v>
      </c>
      <c r="B49" t="s">
        <v>181</v>
      </c>
      <c r="C49" t="s">
        <v>482</v>
      </c>
    </row>
    <row r="50" spans="1:3" x14ac:dyDescent="0.25">
      <c r="A50" t="s">
        <v>483</v>
      </c>
      <c r="B50" t="s">
        <v>181</v>
      </c>
      <c r="C50" t="s">
        <v>482</v>
      </c>
    </row>
    <row r="51" spans="1:3" x14ac:dyDescent="0.25">
      <c r="A51" t="s">
        <v>484</v>
      </c>
      <c r="B51" t="s">
        <v>181</v>
      </c>
      <c r="C51" t="s">
        <v>482</v>
      </c>
    </row>
    <row r="52" spans="1:3" x14ac:dyDescent="0.25">
      <c r="A52" t="s">
        <v>485</v>
      </c>
      <c r="B52" t="s">
        <v>486</v>
      </c>
      <c r="C52" t="s">
        <v>453</v>
      </c>
    </row>
    <row r="53" spans="1:3" x14ac:dyDescent="0.25">
      <c r="A53" t="s">
        <v>487</v>
      </c>
      <c r="B53" t="s">
        <v>486</v>
      </c>
      <c r="C53" t="s">
        <v>453</v>
      </c>
    </row>
    <row r="54" spans="1:3" x14ac:dyDescent="0.25">
      <c r="A54" t="s">
        <v>488</v>
      </c>
      <c r="B54" t="s">
        <v>486</v>
      </c>
      <c r="C54" t="s">
        <v>453</v>
      </c>
    </row>
    <row r="55" spans="1:3" x14ac:dyDescent="0.25">
      <c r="A55" t="s">
        <v>1462</v>
      </c>
      <c r="B55" t="s">
        <v>486</v>
      </c>
      <c r="C55" t="s">
        <v>453</v>
      </c>
    </row>
    <row r="56" spans="1:3" x14ac:dyDescent="0.25">
      <c r="A56" t="s">
        <v>1463</v>
      </c>
      <c r="B56" t="s">
        <v>486</v>
      </c>
      <c r="C56" t="s">
        <v>453</v>
      </c>
    </row>
    <row r="57" spans="1:3" x14ac:dyDescent="0.25">
      <c r="A57" t="s">
        <v>490</v>
      </c>
      <c r="B57" t="s">
        <v>486</v>
      </c>
      <c r="C57" t="s">
        <v>464</v>
      </c>
    </row>
    <row r="58" spans="1:3" x14ac:dyDescent="0.25">
      <c r="A58" t="s">
        <v>1504</v>
      </c>
      <c r="B58" t="s">
        <v>486</v>
      </c>
      <c r="C58" t="s">
        <v>464</v>
      </c>
    </row>
    <row r="59" spans="1:3" x14ac:dyDescent="0.25">
      <c r="A59" t="s">
        <v>1505</v>
      </c>
      <c r="B59" t="s">
        <v>486</v>
      </c>
      <c r="C59" t="s">
        <v>464</v>
      </c>
    </row>
    <row r="60" spans="1:3" x14ac:dyDescent="0.25">
      <c r="A60" t="s">
        <v>1606</v>
      </c>
      <c r="B60" t="s">
        <v>486</v>
      </c>
      <c r="C60" t="s">
        <v>464</v>
      </c>
    </row>
    <row r="61" spans="1:3" x14ac:dyDescent="0.25">
      <c r="A61" t="s">
        <v>1607</v>
      </c>
      <c r="B61" t="s">
        <v>486</v>
      </c>
      <c r="C61" t="s">
        <v>464</v>
      </c>
    </row>
    <row r="62" spans="1:3" x14ac:dyDescent="0.25">
      <c r="A62" t="s">
        <v>1626</v>
      </c>
      <c r="B62" t="s">
        <v>486</v>
      </c>
      <c r="C62" t="s">
        <v>464</v>
      </c>
    </row>
    <row r="63" spans="1:3" x14ac:dyDescent="0.25">
      <c r="A63" t="s">
        <v>1627</v>
      </c>
      <c r="B63" t="s">
        <v>486</v>
      </c>
      <c r="C63" t="s">
        <v>464</v>
      </c>
    </row>
    <row r="64" spans="1:3" x14ac:dyDescent="0.25">
      <c r="A64" t="s">
        <v>1654</v>
      </c>
      <c r="B64" t="s">
        <v>486</v>
      </c>
      <c r="C64" t="s">
        <v>464</v>
      </c>
    </row>
    <row r="65" spans="1:3" x14ac:dyDescent="0.25">
      <c r="A65" t="s">
        <v>1655</v>
      </c>
      <c r="B65" t="s">
        <v>486</v>
      </c>
      <c r="C65" t="s">
        <v>464</v>
      </c>
    </row>
    <row r="66" spans="1:3" x14ac:dyDescent="0.25">
      <c r="A66" t="s">
        <v>1739</v>
      </c>
      <c r="B66" t="s">
        <v>486</v>
      </c>
      <c r="C66" t="s">
        <v>464</v>
      </c>
    </row>
    <row r="67" spans="1:3" x14ac:dyDescent="0.25">
      <c r="A67" t="s">
        <v>512</v>
      </c>
      <c r="B67" t="s">
        <v>486</v>
      </c>
      <c r="C67" t="s">
        <v>464</v>
      </c>
    </row>
    <row r="68" spans="1:3" x14ac:dyDescent="0.25">
      <c r="A68" t="s">
        <v>1759</v>
      </c>
      <c r="B68" t="s">
        <v>486</v>
      </c>
      <c r="C68" t="s">
        <v>480</v>
      </c>
    </row>
    <row r="69" spans="1:3" x14ac:dyDescent="0.25">
      <c r="A69" t="s">
        <v>1760</v>
      </c>
      <c r="B69" t="s">
        <v>486</v>
      </c>
      <c r="C69" t="s">
        <v>480</v>
      </c>
    </row>
    <row r="70" spans="1:3" x14ac:dyDescent="0.25">
      <c r="A70" t="s">
        <v>491</v>
      </c>
      <c r="B70" t="s">
        <v>486</v>
      </c>
      <c r="C70" t="s">
        <v>480</v>
      </c>
    </row>
    <row r="71" spans="1:3" x14ac:dyDescent="0.25">
      <c r="A71" t="s">
        <v>492</v>
      </c>
      <c r="B71" t="s">
        <v>486</v>
      </c>
      <c r="C71" t="s">
        <v>480</v>
      </c>
    </row>
    <row r="72" spans="1:3" x14ac:dyDescent="0.25">
      <c r="A72" t="s">
        <v>493</v>
      </c>
      <c r="B72" t="s">
        <v>486</v>
      </c>
      <c r="C72" t="s">
        <v>480</v>
      </c>
    </row>
    <row r="73" spans="1:3" x14ac:dyDescent="0.25">
      <c r="A73" t="s">
        <v>494</v>
      </c>
      <c r="B73" t="s">
        <v>486</v>
      </c>
      <c r="C73" t="s">
        <v>480</v>
      </c>
    </row>
    <row r="74" spans="1:3" x14ac:dyDescent="0.25">
      <c r="A74" t="s">
        <v>495</v>
      </c>
      <c r="B74" t="s">
        <v>486</v>
      </c>
      <c r="C74" t="s">
        <v>480</v>
      </c>
    </row>
    <row r="75" spans="1:3" x14ac:dyDescent="0.25">
      <c r="A75" t="s">
        <v>1975</v>
      </c>
      <c r="B75" t="s">
        <v>486</v>
      </c>
      <c r="C75" t="s">
        <v>482</v>
      </c>
    </row>
    <row r="76" spans="1:3" x14ac:dyDescent="0.25">
      <c r="A76" t="s">
        <v>1976</v>
      </c>
      <c r="B76" t="s">
        <v>486</v>
      </c>
      <c r="C76" t="s">
        <v>482</v>
      </c>
    </row>
    <row r="77" spans="1:3" x14ac:dyDescent="0.25">
      <c r="A77" t="s">
        <v>1999</v>
      </c>
      <c r="B77" t="s">
        <v>486</v>
      </c>
      <c r="C77" t="s">
        <v>482</v>
      </c>
    </row>
    <row r="78" spans="1:3" x14ac:dyDescent="0.25">
      <c r="A78" t="s">
        <v>2000</v>
      </c>
      <c r="B78" t="s">
        <v>486</v>
      </c>
      <c r="C78" t="s">
        <v>482</v>
      </c>
    </row>
    <row r="79" spans="1:3" x14ac:dyDescent="0.25">
      <c r="A79" t="s">
        <v>496</v>
      </c>
      <c r="B79" t="s">
        <v>486</v>
      </c>
      <c r="C79" t="s">
        <v>482</v>
      </c>
    </row>
    <row r="80" spans="1:3" x14ac:dyDescent="0.25">
      <c r="A80" t="s">
        <v>497</v>
      </c>
      <c r="B80" t="s">
        <v>486</v>
      </c>
      <c r="C80" t="s">
        <v>482</v>
      </c>
    </row>
    <row r="81" spans="1:3" x14ac:dyDescent="0.25">
      <c r="A81" t="s">
        <v>498</v>
      </c>
      <c r="B81" t="s">
        <v>499</v>
      </c>
      <c r="C81" t="s">
        <v>464</v>
      </c>
    </row>
    <row r="82" spans="1:3" x14ac:dyDescent="0.25">
      <c r="A82" t="s">
        <v>500</v>
      </c>
      <c r="B82" t="s">
        <v>499</v>
      </c>
      <c r="C82" t="s">
        <v>464</v>
      </c>
    </row>
    <row r="83" spans="1:3" x14ac:dyDescent="0.25">
      <c r="A83" t="s">
        <v>501</v>
      </c>
      <c r="B83" t="s">
        <v>499</v>
      </c>
      <c r="C83" t="s">
        <v>453</v>
      </c>
    </row>
    <row r="84" spans="1:3" x14ac:dyDescent="0.25">
      <c r="A84" t="s">
        <v>2092</v>
      </c>
      <c r="B84" t="s">
        <v>499</v>
      </c>
      <c r="C84" t="s">
        <v>464</v>
      </c>
    </row>
    <row r="85" spans="1:3" x14ac:dyDescent="0.25">
      <c r="A85" t="s">
        <v>2093</v>
      </c>
      <c r="B85" t="s">
        <v>499</v>
      </c>
      <c r="C85" t="s">
        <v>464</v>
      </c>
    </row>
    <row r="86" spans="1:3" x14ac:dyDescent="0.25">
      <c r="A86" t="s">
        <v>502</v>
      </c>
      <c r="B86" t="s">
        <v>503</v>
      </c>
      <c r="C86" t="s">
        <v>503</v>
      </c>
    </row>
    <row r="87" spans="1:3" x14ac:dyDescent="0.25">
      <c r="A87" t="s">
        <v>504</v>
      </c>
      <c r="B87" t="s">
        <v>503</v>
      </c>
      <c r="C87" t="s">
        <v>503</v>
      </c>
    </row>
    <row r="88" spans="1:3" x14ac:dyDescent="0.25">
      <c r="A88" t="s">
        <v>505</v>
      </c>
      <c r="B88" t="s">
        <v>503</v>
      </c>
      <c r="C88" t="s">
        <v>503</v>
      </c>
    </row>
    <row r="89" spans="1:3" x14ac:dyDescent="0.25">
      <c r="A89" t="s">
        <v>506</v>
      </c>
      <c r="B89" t="s">
        <v>503</v>
      </c>
      <c r="C89" t="s">
        <v>503</v>
      </c>
    </row>
    <row r="90" spans="1:3" x14ac:dyDescent="0.25">
      <c r="A90" t="s">
        <v>59</v>
      </c>
      <c r="B90" t="s">
        <v>182</v>
      </c>
      <c r="C90" t="s">
        <v>509</v>
      </c>
    </row>
    <row r="91" spans="1:3" x14ac:dyDescent="0.25">
      <c r="A91" t="s">
        <v>510</v>
      </c>
      <c r="B91" t="s">
        <v>181</v>
      </c>
      <c r="C91" t="s">
        <v>453</v>
      </c>
    </row>
    <row r="92" spans="1:3" x14ac:dyDescent="0.25">
      <c r="A92" t="s">
        <v>511</v>
      </c>
      <c r="B92" t="s">
        <v>181</v>
      </c>
      <c r="C92" t="s">
        <v>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C7F03-4926-4C73-A054-D751004327B6}">
  <dimension ref="A1:C7"/>
  <sheetViews>
    <sheetView workbookViewId="0">
      <selection activeCell="A8" sqref="A8"/>
    </sheetView>
  </sheetViews>
  <sheetFormatPr defaultRowHeight="15" x14ac:dyDescent="0.25"/>
  <cols>
    <col min="1" max="1" width="16" bestFit="1" customWidth="1"/>
    <col min="2" max="2" width="17.85546875" bestFit="1" customWidth="1"/>
    <col min="3" max="3" width="18.140625" bestFit="1" customWidth="1"/>
  </cols>
  <sheetData>
    <row r="1" spans="1:3" x14ac:dyDescent="0.25">
      <c r="A1" s="9" t="s">
        <v>451</v>
      </c>
      <c r="B1" s="9" t="s">
        <v>507</v>
      </c>
      <c r="C1" s="9" t="s">
        <v>508</v>
      </c>
    </row>
    <row r="2" spans="1:3" x14ac:dyDescent="0.25">
      <c r="A2" t="s">
        <v>482</v>
      </c>
      <c r="B2">
        <v>8</v>
      </c>
      <c r="C2">
        <v>15</v>
      </c>
    </row>
    <row r="3" spans="1:3" x14ac:dyDescent="0.25">
      <c r="A3" t="s">
        <v>480</v>
      </c>
      <c r="B3">
        <v>15</v>
      </c>
      <c r="C3">
        <v>25</v>
      </c>
    </row>
    <row r="4" spans="1:3" x14ac:dyDescent="0.25">
      <c r="A4" t="s">
        <v>503</v>
      </c>
      <c r="B4">
        <v>25</v>
      </c>
      <c r="C4">
        <v>50</v>
      </c>
    </row>
    <row r="5" spans="1:3" x14ac:dyDescent="0.25">
      <c r="A5" t="s">
        <v>464</v>
      </c>
      <c r="B5">
        <v>50</v>
      </c>
      <c r="C5">
        <v>120</v>
      </c>
    </row>
    <row r="6" spans="1:3" x14ac:dyDescent="0.25">
      <c r="A6" t="s">
        <v>509</v>
      </c>
      <c r="B6">
        <v>80</v>
      </c>
      <c r="C6">
        <v>150</v>
      </c>
    </row>
    <row r="7" spans="1:3" x14ac:dyDescent="0.25">
      <c r="A7" t="s">
        <v>453</v>
      </c>
      <c r="B7">
        <v>100</v>
      </c>
      <c r="C7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73C67-F722-4A70-8827-1E9CE8D42774}">
  <dimension ref="A1:D5"/>
  <sheetViews>
    <sheetView workbookViewId="0">
      <selection activeCell="D7" sqref="D7"/>
    </sheetView>
  </sheetViews>
  <sheetFormatPr defaultRowHeight="15" x14ac:dyDescent="0.25"/>
  <cols>
    <col min="1" max="1" width="23.28515625" bestFit="1" customWidth="1"/>
    <col min="2" max="2" width="24.42578125" bestFit="1" customWidth="1"/>
    <col min="3" max="3" width="37.42578125" bestFit="1" customWidth="1"/>
    <col min="4" max="4" width="12" bestFit="1" customWidth="1"/>
  </cols>
  <sheetData>
    <row r="1" spans="1:4" x14ac:dyDescent="0.25">
      <c r="A1" s="1" t="s">
        <v>169</v>
      </c>
      <c r="B1" s="1" t="s">
        <v>170</v>
      </c>
      <c r="C1" s="1" t="s">
        <v>1</v>
      </c>
      <c r="D1" s="1" t="s">
        <v>171</v>
      </c>
    </row>
    <row r="2" spans="1:4" x14ac:dyDescent="0.25">
      <c r="A2" s="2" t="s">
        <v>172</v>
      </c>
      <c r="B2" s="2">
        <v>65000</v>
      </c>
      <c r="C2" s="2" t="s">
        <v>173</v>
      </c>
      <c r="D2" s="2">
        <v>2026</v>
      </c>
    </row>
    <row r="3" spans="1:4" x14ac:dyDescent="0.25">
      <c r="A3" s="2" t="s">
        <v>174</v>
      </c>
      <c r="B3" s="2">
        <v>66900</v>
      </c>
      <c r="C3" s="2" t="s">
        <v>175</v>
      </c>
      <c r="D3" s="2">
        <v>2026</v>
      </c>
    </row>
    <row r="4" spans="1:4" x14ac:dyDescent="0.25">
      <c r="A4" s="2" t="s">
        <v>176</v>
      </c>
      <c r="B4" s="2">
        <v>65000</v>
      </c>
      <c r="C4" s="2" t="s">
        <v>177</v>
      </c>
      <c r="D4" s="2">
        <v>2026</v>
      </c>
    </row>
    <row r="5" spans="1:4" x14ac:dyDescent="0.25">
      <c r="A5" s="2" t="s">
        <v>178</v>
      </c>
      <c r="B5" s="2">
        <v>30000</v>
      </c>
      <c r="C5" s="2" t="s">
        <v>179</v>
      </c>
      <c r="D5" s="2">
        <v>2026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936DD-B53B-4E0B-8B8A-284B2F04F684}">
  <dimension ref="A1:B12"/>
  <sheetViews>
    <sheetView workbookViewId="0">
      <selection activeCell="A13" sqref="A13"/>
    </sheetView>
  </sheetViews>
  <sheetFormatPr defaultRowHeight="15" x14ac:dyDescent="0.25"/>
  <cols>
    <col min="1" max="1" width="21" bestFit="1" customWidth="1"/>
    <col min="2" max="2" width="10.42578125" bestFit="1" customWidth="1"/>
  </cols>
  <sheetData>
    <row r="1" spans="1:2" x14ac:dyDescent="0.25">
      <c r="A1" s="15" t="s">
        <v>2337</v>
      </c>
      <c r="B1" s="15" t="s">
        <v>2338</v>
      </c>
    </row>
    <row r="2" spans="1:2" x14ac:dyDescent="0.25">
      <c r="A2" s="2" t="s">
        <v>2339</v>
      </c>
      <c r="B2" s="2">
        <f>ROWS(tblRentListings[])</f>
        <v>1155</v>
      </c>
    </row>
    <row r="3" spans="1:2" x14ac:dyDescent="0.25">
      <c r="A3" s="2" t="s">
        <v>2340</v>
      </c>
      <c r="B3" s="2">
        <f>COLUMNS(tblRentListings[])</f>
        <v>26</v>
      </c>
    </row>
    <row r="4" spans="1:2" x14ac:dyDescent="0.25">
      <c r="A4" s="2" t="s">
        <v>2341</v>
      </c>
      <c r="B4" s="2">
        <f>COUNTA(_xlfn.UNIQUE(tblRentListings[Locality]))</f>
        <v>86</v>
      </c>
    </row>
    <row r="5" spans="1:2" x14ac:dyDescent="0.25">
      <c r="A5" s="2" t="s">
        <v>2342</v>
      </c>
      <c r="B5" s="2">
        <f>COUNTA(_xlfn.UNIQUE(tblRentListings[Society_Name]))</f>
        <v>1023</v>
      </c>
    </row>
    <row r="6" spans="1:2" x14ac:dyDescent="0.25">
      <c r="A6" s="2" t="s">
        <v>2343</v>
      </c>
      <c r="B6" s="2">
        <f>COUNTA(_xlfn.UNIQUE(tblRentListings[BHK]))</f>
        <v>4</v>
      </c>
    </row>
    <row r="7" spans="1:2" x14ac:dyDescent="0.25">
      <c r="A7" s="2" t="s">
        <v>2344</v>
      </c>
      <c r="B7" s="2">
        <f>COUNTA(_xlfn.UNIQUE(tblRentListings[Property_Type]))</f>
        <v>1</v>
      </c>
    </row>
    <row r="8" spans="1:2" x14ac:dyDescent="0.25">
      <c r="A8" s="2" t="s">
        <v>2345</v>
      </c>
      <c r="B8" s="2">
        <f>COUNTA(_xlfn.UNIQUE(tblRentListings[Source]))</f>
        <v>2</v>
      </c>
    </row>
    <row r="9" spans="1:2" x14ac:dyDescent="0.25">
      <c r="A9" s="2" t="s">
        <v>2346</v>
      </c>
      <c r="B9" s="2">
        <f>COUNTA(_xlfn.UNIQUE(tblRentListings[Furnishing]))</f>
        <v>3</v>
      </c>
    </row>
    <row r="10" spans="1:2" x14ac:dyDescent="0.25">
      <c r="A10" s="2" t="s">
        <v>2347</v>
      </c>
      <c r="B10" s="2">
        <f>COUNTA(_xlfn.UNIQUE(tblRentListings[Tenant_Type]))</f>
        <v>4</v>
      </c>
    </row>
    <row r="11" spans="1:2" x14ac:dyDescent="0.25">
      <c r="A11" s="2" t="s">
        <v>2348</v>
      </c>
      <c r="B11" s="13">
        <f>MIN(tblRentListings[Posted_Date])</f>
        <v>46115</v>
      </c>
    </row>
    <row r="12" spans="1:2" x14ac:dyDescent="0.25">
      <c r="A12" s="2" t="s">
        <v>2349</v>
      </c>
      <c r="B12" s="14">
        <f>MAX(tblRentListings[Posted_Date])</f>
        <v>46204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1345-54C1-4969-8F05-38BC29A0B8A9}">
  <dimension ref="A1:L26"/>
  <sheetViews>
    <sheetView tabSelected="1" workbookViewId="0">
      <pane ySplit="1" topLeftCell="A2" activePane="bottomLeft" state="frozen"/>
      <selection pane="bottomLeft" activeCell="C28" sqref="C28"/>
    </sheetView>
  </sheetViews>
  <sheetFormatPr defaultRowHeight="15" x14ac:dyDescent="0.25"/>
  <cols>
    <col min="1" max="1" width="22.42578125" bestFit="1" customWidth="1"/>
    <col min="2" max="2" width="22.42578125" customWidth="1"/>
    <col min="3" max="3" width="70.28515625" bestFit="1" customWidth="1"/>
    <col min="4" max="4" width="13.42578125" bestFit="1" customWidth="1"/>
    <col min="5" max="5" width="19.28515625" bestFit="1" customWidth="1"/>
    <col min="6" max="6" width="18.28515625" bestFit="1" customWidth="1"/>
    <col min="7" max="7" width="15.7109375" bestFit="1" customWidth="1"/>
    <col min="8" max="8" width="11.140625" bestFit="1" customWidth="1"/>
    <col min="9" max="9" width="70.7109375" bestFit="1" customWidth="1"/>
    <col min="10" max="10" width="18.140625" bestFit="1" customWidth="1"/>
    <col min="11" max="11" width="23.42578125" bestFit="1" customWidth="1"/>
    <col min="12" max="12" width="52.5703125" bestFit="1" customWidth="1"/>
  </cols>
  <sheetData>
    <row r="1" spans="1:12" s="15" customFormat="1" x14ac:dyDescent="0.25">
      <c r="A1" s="1" t="s">
        <v>2350</v>
      </c>
      <c r="B1" s="1" t="s">
        <v>2351</v>
      </c>
      <c r="C1" s="1" t="s">
        <v>2388</v>
      </c>
      <c r="D1" s="1" t="s">
        <v>2352</v>
      </c>
      <c r="E1" s="1" t="s">
        <v>2389</v>
      </c>
      <c r="F1" s="1" t="s">
        <v>2353</v>
      </c>
      <c r="G1" s="1" t="s">
        <v>2354</v>
      </c>
      <c r="H1" s="1" t="s">
        <v>2355</v>
      </c>
      <c r="I1" s="1" t="s">
        <v>2356</v>
      </c>
      <c r="J1" s="1" t="s">
        <v>2382</v>
      </c>
      <c r="K1" s="1" t="s">
        <v>2408</v>
      </c>
      <c r="L1" s="1" t="s">
        <v>2386</v>
      </c>
    </row>
    <row r="2" spans="1:12" x14ac:dyDescent="0.25">
      <c r="A2" s="2" t="s">
        <v>0</v>
      </c>
      <c r="B2" s="2" t="s">
        <v>2384</v>
      </c>
      <c r="C2" s="2" t="s">
        <v>2357</v>
      </c>
      <c r="D2" s="2" t="s">
        <v>2358</v>
      </c>
      <c r="E2" s="2" t="s">
        <v>185</v>
      </c>
      <c r="F2" s="2" t="s">
        <v>2359</v>
      </c>
      <c r="G2" t="s">
        <v>2385</v>
      </c>
      <c r="H2" s="2" t="s">
        <v>2361</v>
      </c>
      <c r="I2" s="2" t="s">
        <v>2362</v>
      </c>
      <c r="J2" s="2" t="s">
        <v>2409</v>
      </c>
      <c r="K2" s="2" t="s">
        <v>2359</v>
      </c>
      <c r="L2" s="2" t="s">
        <v>2410</v>
      </c>
    </row>
    <row r="3" spans="1:12" x14ac:dyDescent="0.25">
      <c r="A3" s="2" t="s">
        <v>1</v>
      </c>
      <c r="B3" s="2" t="s">
        <v>2384</v>
      </c>
      <c r="C3" s="2" t="s">
        <v>2363</v>
      </c>
      <c r="D3" s="2" t="s">
        <v>2364</v>
      </c>
      <c r="E3" s="2" t="s">
        <v>17</v>
      </c>
      <c r="F3" s="2" t="s">
        <v>2359</v>
      </c>
      <c r="G3" s="2" t="s">
        <v>2365</v>
      </c>
      <c r="H3" s="2" t="s">
        <v>2361</v>
      </c>
      <c r="I3" s="2" t="s">
        <v>2366</v>
      </c>
      <c r="J3" s="2" t="s">
        <v>2409</v>
      </c>
      <c r="K3" s="2" t="s">
        <v>2361</v>
      </c>
      <c r="L3" s="2" t="s">
        <v>2411</v>
      </c>
    </row>
    <row r="4" spans="1:12" x14ac:dyDescent="0.25">
      <c r="A4" s="2" t="s">
        <v>2</v>
      </c>
      <c r="B4" s="2" t="s">
        <v>2384</v>
      </c>
      <c r="C4" s="2" t="s">
        <v>2367</v>
      </c>
      <c r="D4" s="2" t="s">
        <v>2364</v>
      </c>
      <c r="E4" s="2" t="s">
        <v>12</v>
      </c>
      <c r="F4" s="2" t="s">
        <v>2359</v>
      </c>
      <c r="G4" t="s">
        <v>2385</v>
      </c>
      <c r="H4" s="2" t="s">
        <v>2361</v>
      </c>
      <c r="I4" s="2" t="s">
        <v>2368</v>
      </c>
      <c r="J4" s="2" t="s">
        <v>2383</v>
      </c>
      <c r="K4" s="2" t="s">
        <v>2361</v>
      </c>
      <c r="L4" s="2" t="s">
        <v>2412</v>
      </c>
    </row>
    <row r="5" spans="1:12" x14ac:dyDescent="0.25">
      <c r="A5" s="2" t="s">
        <v>180</v>
      </c>
      <c r="B5" s="2" t="s">
        <v>2384</v>
      </c>
      <c r="C5" s="2" t="s">
        <v>2369</v>
      </c>
      <c r="D5" s="2" t="s">
        <v>2364</v>
      </c>
      <c r="E5" s="2" t="s">
        <v>181</v>
      </c>
      <c r="F5" s="2" t="s">
        <v>2359</v>
      </c>
      <c r="G5" s="2" t="s">
        <v>2360</v>
      </c>
      <c r="H5" s="2" t="s">
        <v>2361</v>
      </c>
      <c r="I5" s="2" t="s">
        <v>2370</v>
      </c>
      <c r="J5" s="2" t="s">
        <v>2413</v>
      </c>
      <c r="K5" s="2" t="s">
        <v>2361</v>
      </c>
      <c r="L5" s="2" t="s">
        <v>2414</v>
      </c>
    </row>
    <row r="6" spans="1:12" x14ac:dyDescent="0.25">
      <c r="A6" s="2" t="s">
        <v>451</v>
      </c>
      <c r="B6" s="2" t="s">
        <v>2384</v>
      </c>
      <c r="C6" s="2" t="s">
        <v>2371</v>
      </c>
      <c r="D6" s="2" t="s">
        <v>2364</v>
      </c>
      <c r="E6" s="2" t="s">
        <v>464</v>
      </c>
      <c r="F6" s="2" t="s">
        <v>2359</v>
      </c>
      <c r="G6" s="2" t="s">
        <v>2360</v>
      </c>
      <c r="H6" s="2" t="s">
        <v>2361</v>
      </c>
      <c r="I6" s="2" t="s">
        <v>2372</v>
      </c>
      <c r="J6" s="2" t="s">
        <v>2409</v>
      </c>
      <c r="K6" s="2" t="s">
        <v>2361</v>
      </c>
      <c r="L6" s="2" t="s">
        <v>2415</v>
      </c>
    </row>
    <row r="7" spans="1:12" x14ac:dyDescent="0.25">
      <c r="A7" s="2" t="s">
        <v>3</v>
      </c>
      <c r="B7" s="2" t="s">
        <v>2384</v>
      </c>
      <c r="C7" s="2" t="s">
        <v>2373</v>
      </c>
      <c r="D7" s="2" t="s">
        <v>2364</v>
      </c>
      <c r="E7" s="2" t="s">
        <v>13</v>
      </c>
      <c r="F7" s="2" t="s">
        <v>2361</v>
      </c>
      <c r="G7" s="2" t="s">
        <v>2374</v>
      </c>
      <c r="H7" s="2" t="s">
        <v>2361</v>
      </c>
      <c r="I7" s="2" t="s">
        <v>2375</v>
      </c>
      <c r="J7" s="2" t="s">
        <v>2416</v>
      </c>
      <c r="K7" s="2" t="s">
        <v>2359</v>
      </c>
      <c r="L7" s="2" t="s">
        <v>2417</v>
      </c>
    </row>
    <row r="8" spans="1:12" x14ac:dyDescent="0.25">
      <c r="A8" s="2" t="s">
        <v>4</v>
      </c>
      <c r="B8" s="2" t="s">
        <v>2468</v>
      </c>
      <c r="C8" s="2" t="s">
        <v>2376</v>
      </c>
      <c r="D8" s="2" t="s">
        <v>2377</v>
      </c>
      <c r="E8" s="2">
        <v>48000</v>
      </c>
      <c r="F8" s="2" t="s">
        <v>2359</v>
      </c>
      <c r="G8" t="s">
        <v>2385</v>
      </c>
      <c r="H8" s="2" t="s">
        <v>2361</v>
      </c>
      <c r="I8" s="2" t="s">
        <v>2390</v>
      </c>
      <c r="J8" s="2" t="s">
        <v>2418</v>
      </c>
      <c r="K8" s="2" t="s">
        <v>2361</v>
      </c>
      <c r="L8" s="2" t="s">
        <v>2419</v>
      </c>
    </row>
    <row r="9" spans="1:12" x14ac:dyDescent="0.25">
      <c r="A9" s="2" t="s">
        <v>5</v>
      </c>
      <c r="B9" s="2" t="s">
        <v>2469</v>
      </c>
      <c r="C9" s="2" t="s">
        <v>2378</v>
      </c>
      <c r="D9" s="2" t="s">
        <v>2364</v>
      </c>
      <c r="E9" s="2">
        <v>1</v>
      </c>
      <c r="F9" s="2" t="s">
        <v>2359</v>
      </c>
      <c r="G9" t="s">
        <v>2385</v>
      </c>
      <c r="H9" s="2" t="s">
        <v>2361</v>
      </c>
      <c r="I9" s="2" t="s">
        <v>2391</v>
      </c>
      <c r="J9" s="2" t="s">
        <v>2420</v>
      </c>
      <c r="K9" s="2" t="s">
        <v>2361</v>
      </c>
      <c r="L9" s="2" t="s">
        <v>2421</v>
      </c>
    </row>
    <row r="10" spans="1:12" x14ac:dyDescent="0.25">
      <c r="A10" s="2" t="s">
        <v>6</v>
      </c>
      <c r="B10" s="2" t="s">
        <v>2469</v>
      </c>
      <c r="C10" s="2" t="s">
        <v>2379</v>
      </c>
      <c r="D10" s="2" t="s">
        <v>2364</v>
      </c>
      <c r="E10" s="2">
        <v>2</v>
      </c>
      <c r="F10" s="2" t="s">
        <v>2359</v>
      </c>
      <c r="G10" t="s">
        <v>2360</v>
      </c>
      <c r="H10" s="2" t="s">
        <v>2361</v>
      </c>
      <c r="I10" s="2" t="s">
        <v>2380</v>
      </c>
      <c r="J10" s="2" t="s">
        <v>2420</v>
      </c>
      <c r="K10" s="2" t="s">
        <v>2422</v>
      </c>
      <c r="L10" s="2" t="s">
        <v>2423</v>
      </c>
    </row>
    <row r="11" spans="1:12" x14ac:dyDescent="0.25">
      <c r="A11" s="2" t="s">
        <v>18</v>
      </c>
      <c r="B11" s="2" t="s">
        <v>2469</v>
      </c>
      <c r="C11" s="2" t="s">
        <v>2381</v>
      </c>
      <c r="D11" s="2" t="s">
        <v>2364</v>
      </c>
      <c r="E11" s="2">
        <v>3</v>
      </c>
      <c r="F11" s="2" t="s">
        <v>2361</v>
      </c>
      <c r="G11" t="s">
        <v>2360</v>
      </c>
      <c r="H11" s="2" t="s">
        <v>2361</v>
      </c>
      <c r="I11" s="2" t="s">
        <v>2387</v>
      </c>
      <c r="J11" s="2" t="s">
        <v>2420</v>
      </c>
      <c r="K11" s="2" t="s">
        <v>2422</v>
      </c>
      <c r="L11" s="2" t="s">
        <v>2424</v>
      </c>
    </row>
    <row r="12" spans="1:12" x14ac:dyDescent="0.25">
      <c r="A12" s="2" t="s">
        <v>2392</v>
      </c>
      <c r="B12" s="2" t="s">
        <v>2469</v>
      </c>
      <c r="C12" s="2" t="s">
        <v>2393</v>
      </c>
      <c r="D12" s="2" t="s">
        <v>2364</v>
      </c>
      <c r="E12" s="2">
        <v>7</v>
      </c>
      <c r="F12" s="2" t="s">
        <v>2361</v>
      </c>
      <c r="G12" s="2" t="s">
        <v>2365</v>
      </c>
      <c r="H12" s="2" t="s">
        <v>2361</v>
      </c>
      <c r="I12" s="2" t="s">
        <v>2394</v>
      </c>
      <c r="J12" s="2" t="s">
        <v>2420</v>
      </c>
      <c r="K12" s="2" t="s">
        <v>2422</v>
      </c>
      <c r="L12" s="2" t="s">
        <v>2425</v>
      </c>
    </row>
    <row r="13" spans="1:12" x14ac:dyDescent="0.25">
      <c r="A13" s="2" t="s">
        <v>7</v>
      </c>
      <c r="B13" s="2" t="s">
        <v>2468</v>
      </c>
      <c r="C13" s="2" t="s">
        <v>2395</v>
      </c>
      <c r="D13" s="2" t="s">
        <v>2377</v>
      </c>
      <c r="E13" s="2">
        <v>450</v>
      </c>
      <c r="F13" s="2" t="s">
        <v>2359</v>
      </c>
      <c r="G13" s="2" t="s">
        <v>2385</v>
      </c>
      <c r="H13" s="2" t="s">
        <v>2361</v>
      </c>
      <c r="I13" s="2" t="s">
        <v>2396</v>
      </c>
      <c r="J13" s="2" t="s">
        <v>2418</v>
      </c>
      <c r="K13" s="2" t="s">
        <v>2361</v>
      </c>
      <c r="L13" s="2" t="s">
        <v>2426</v>
      </c>
    </row>
    <row r="14" spans="1:12" x14ac:dyDescent="0.25">
      <c r="A14" s="2" t="s">
        <v>8</v>
      </c>
      <c r="B14" s="2" t="s">
        <v>2384</v>
      </c>
      <c r="C14" s="2" t="s">
        <v>2397</v>
      </c>
      <c r="D14" s="2" t="s">
        <v>2364</v>
      </c>
      <c r="E14" s="2" t="s">
        <v>14</v>
      </c>
      <c r="F14" s="2" t="s">
        <v>2359</v>
      </c>
      <c r="G14" s="2" t="s">
        <v>2385</v>
      </c>
      <c r="H14" s="2" t="s">
        <v>2361</v>
      </c>
      <c r="I14" s="2" t="s">
        <v>2398</v>
      </c>
      <c r="J14" s="2" t="s">
        <v>2427</v>
      </c>
      <c r="K14" s="2" t="s">
        <v>2361</v>
      </c>
      <c r="L14" s="2" t="s">
        <v>2428</v>
      </c>
    </row>
    <row r="15" spans="1:12" x14ac:dyDescent="0.25">
      <c r="A15" s="2" t="s">
        <v>9</v>
      </c>
      <c r="B15" s="2" t="s">
        <v>2384</v>
      </c>
      <c r="C15" s="2" t="s">
        <v>2399</v>
      </c>
      <c r="D15" s="2" t="s">
        <v>2364</v>
      </c>
      <c r="E15" s="2" t="s">
        <v>15</v>
      </c>
      <c r="F15" s="2" t="s">
        <v>2361</v>
      </c>
      <c r="G15" s="2" t="s">
        <v>2365</v>
      </c>
      <c r="H15" s="2" t="s">
        <v>2361</v>
      </c>
      <c r="I15" s="2" t="s">
        <v>2400</v>
      </c>
      <c r="J15" s="2" t="s">
        <v>2427</v>
      </c>
      <c r="K15" s="2" t="s">
        <v>2422</v>
      </c>
      <c r="L15" s="2" t="s">
        <v>2429</v>
      </c>
    </row>
    <row r="16" spans="1:12" x14ac:dyDescent="0.25">
      <c r="A16" s="2" t="s">
        <v>22</v>
      </c>
      <c r="B16" s="2" t="s">
        <v>2384</v>
      </c>
      <c r="C16" s="2" t="s">
        <v>2401</v>
      </c>
      <c r="D16" s="2" t="s">
        <v>2364</v>
      </c>
      <c r="E16" s="2" t="s">
        <v>23</v>
      </c>
      <c r="F16" s="2" t="s">
        <v>2361</v>
      </c>
      <c r="G16" s="2" t="s">
        <v>2365</v>
      </c>
      <c r="H16" s="2" t="s">
        <v>2361</v>
      </c>
      <c r="I16" s="2" t="s">
        <v>2402</v>
      </c>
      <c r="J16" s="2" t="s">
        <v>2427</v>
      </c>
      <c r="K16" s="2" t="s">
        <v>2422</v>
      </c>
      <c r="L16" s="2" t="s">
        <v>2430</v>
      </c>
    </row>
    <row r="17" spans="1:12" x14ac:dyDescent="0.25">
      <c r="A17" s="2" t="s">
        <v>24</v>
      </c>
      <c r="B17" s="2" t="s">
        <v>2468</v>
      </c>
      <c r="C17" s="2" t="s">
        <v>2403</v>
      </c>
      <c r="D17" s="2" t="s">
        <v>2377</v>
      </c>
      <c r="E17" s="2">
        <v>10</v>
      </c>
      <c r="F17" s="2" t="s">
        <v>2361</v>
      </c>
      <c r="G17" s="2" t="s">
        <v>2360</v>
      </c>
      <c r="H17" s="2" t="s">
        <v>2361</v>
      </c>
      <c r="I17" s="2" t="s">
        <v>2404</v>
      </c>
      <c r="J17" s="2" t="s">
        <v>2420</v>
      </c>
      <c r="K17" s="2" t="s">
        <v>2422</v>
      </c>
      <c r="L17" s="2" t="s">
        <v>2431</v>
      </c>
    </row>
    <row r="18" spans="1:12" x14ac:dyDescent="0.25">
      <c r="A18" s="2" t="s">
        <v>11</v>
      </c>
      <c r="B18" s="2" t="s">
        <v>2406</v>
      </c>
      <c r="C18" s="2" t="s">
        <v>2405</v>
      </c>
      <c r="D18" s="2" t="s">
        <v>2364</v>
      </c>
      <c r="E18" s="13">
        <v>46193</v>
      </c>
      <c r="F18" s="2" t="s">
        <v>2359</v>
      </c>
      <c r="G18" s="2" t="s">
        <v>2360</v>
      </c>
      <c r="H18" s="2" t="s">
        <v>2361</v>
      </c>
      <c r="I18" s="2" t="s">
        <v>2407</v>
      </c>
      <c r="J18" s="2" t="s">
        <v>2432</v>
      </c>
      <c r="K18" s="2" t="s">
        <v>2361</v>
      </c>
      <c r="L18" s="2" t="s">
        <v>2433</v>
      </c>
    </row>
    <row r="19" spans="1:12" x14ac:dyDescent="0.25">
      <c r="A19" s="12" t="s">
        <v>20</v>
      </c>
      <c r="B19" s="12" t="s">
        <v>2468</v>
      </c>
      <c r="C19" s="12" t="s">
        <v>2440</v>
      </c>
      <c r="D19" s="18" t="s">
        <v>2447</v>
      </c>
      <c r="E19" s="12">
        <v>106.67</v>
      </c>
      <c r="F19" s="12" t="s">
        <v>2359</v>
      </c>
      <c r="G19" s="12" t="s">
        <v>2385</v>
      </c>
      <c r="H19" s="17" t="s">
        <v>2359</v>
      </c>
      <c r="I19" s="12" t="s">
        <v>2448</v>
      </c>
      <c r="J19" s="2"/>
      <c r="K19" s="2" t="s">
        <v>2361</v>
      </c>
      <c r="L19" s="2"/>
    </row>
    <row r="20" spans="1:12" x14ac:dyDescent="0.25">
      <c r="A20" s="12" t="s">
        <v>21</v>
      </c>
      <c r="B20" s="12" t="s">
        <v>2468</v>
      </c>
      <c r="C20" s="12" t="s">
        <v>2449</v>
      </c>
      <c r="D20" s="16" t="s">
        <v>2447</v>
      </c>
      <c r="E20" s="12">
        <v>576000</v>
      </c>
      <c r="F20" s="12" t="s">
        <v>2359</v>
      </c>
      <c r="G20" s="12" t="s">
        <v>2365</v>
      </c>
      <c r="H20" s="17" t="s">
        <v>2359</v>
      </c>
      <c r="I20" t="s">
        <v>2465</v>
      </c>
      <c r="J20" s="2"/>
      <c r="K20" s="2" t="s">
        <v>2359</v>
      </c>
      <c r="L20" s="2"/>
    </row>
    <row r="21" spans="1:12" x14ac:dyDescent="0.25">
      <c r="A21" s="12" t="s">
        <v>25</v>
      </c>
      <c r="B21" s="12" t="s">
        <v>2384</v>
      </c>
      <c r="C21" s="12" t="s">
        <v>2450</v>
      </c>
      <c r="D21" s="18" t="s">
        <v>2447</v>
      </c>
      <c r="E21" s="12" t="s">
        <v>2461</v>
      </c>
      <c r="F21" s="12" t="s">
        <v>2359</v>
      </c>
      <c r="G21" s="12" t="s">
        <v>2360</v>
      </c>
      <c r="H21" s="17" t="s">
        <v>2359</v>
      </c>
      <c r="I21" s="12" t="s">
        <v>2451</v>
      </c>
      <c r="J21" s="2"/>
      <c r="K21" s="2" t="s">
        <v>2361</v>
      </c>
      <c r="L21" s="2"/>
    </row>
    <row r="22" spans="1:12" x14ac:dyDescent="0.25">
      <c r="A22" s="12" t="s">
        <v>26</v>
      </c>
      <c r="B22" s="12" t="s">
        <v>2384</v>
      </c>
      <c r="C22" s="12" t="s">
        <v>2452</v>
      </c>
      <c r="D22" s="16" t="s">
        <v>2447</v>
      </c>
      <c r="E22" s="12" t="s">
        <v>2462</v>
      </c>
      <c r="F22" s="12" t="s">
        <v>2359</v>
      </c>
      <c r="G22" s="12" t="s">
        <v>2365</v>
      </c>
      <c r="H22" s="17" t="s">
        <v>2359</v>
      </c>
      <c r="I22" s="12" t="s">
        <v>2453</v>
      </c>
      <c r="J22" s="2"/>
      <c r="K22" s="2" t="s">
        <v>2361</v>
      </c>
      <c r="L22" s="2"/>
    </row>
    <row r="23" spans="1:12" x14ac:dyDescent="0.25">
      <c r="A23" s="12" t="s">
        <v>513</v>
      </c>
      <c r="B23" s="12" t="s">
        <v>2384</v>
      </c>
      <c r="C23" s="12" t="s">
        <v>2454</v>
      </c>
      <c r="D23" s="18" t="s">
        <v>2447</v>
      </c>
      <c r="E23" s="12" t="s">
        <v>2463</v>
      </c>
      <c r="F23" s="12" t="s">
        <v>2359</v>
      </c>
      <c r="G23" s="12" t="s">
        <v>2365</v>
      </c>
      <c r="H23" s="17" t="s">
        <v>2359</v>
      </c>
      <c r="I23" s="12" t="s">
        <v>2455</v>
      </c>
      <c r="J23" s="2"/>
      <c r="K23" s="2" t="s">
        <v>2422</v>
      </c>
      <c r="L23" s="2"/>
    </row>
    <row r="24" spans="1:12" x14ac:dyDescent="0.25">
      <c r="A24" s="12" t="s">
        <v>514</v>
      </c>
      <c r="B24" s="12" t="s">
        <v>2384</v>
      </c>
      <c r="C24" s="12" t="s">
        <v>2456</v>
      </c>
      <c r="D24" s="16" t="s">
        <v>2447</v>
      </c>
      <c r="E24" s="12" t="s">
        <v>2463</v>
      </c>
      <c r="F24" s="12" t="s">
        <v>2359</v>
      </c>
      <c r="G24" s="12" t="s">
        <v>2365</v>
      </c>
      <c r="H24" s="17" t="s">
        <v>2359</v>
      </c>
      <c r="I24" t="s">
        <v>2467</v>
      </c>
      <c r="J24" s="2"/>
      <c r="K24" s="2" t="s">
        <v>2361</v>
      </c>
      <c r="L24" s="2"/>
    </row>
    <row r="25" spans="1:12" x14ac:dyDescent="0.25">
      <c r="A25" s="12" t="s">
        <v>704</v>
      </c>
      <c r="B25" s="12" t="s">
        <v>2384</v>
      </c>
      <c r="C25" s="12" t="s">
        <v>2457</v>
      </c>
      <c r="D25" s="18" t="s">
        <v>2447</v>
      </c>
      <c r="E25" s="12" t="s">
        <v>2463</v>
      </c>
      <c r="F25" s="12" t="s">
        <v>2359</v>
      </c>
      <c r="G25" s="12" t="s">
        <v>2374</v>
      </c>
      <c r="H25" s="17" t="s">
        <v>2359</v>
      </c>
      <c r="I25" s="12" t="s">
        <v>2458</v>
      </c>
      <c r="J25" s="2"/>
      <c r="K25" s="2" t="s">
        <v>2464</v>
      </c>
      <c r="L25" s="2"/>
    </row>
    <row r="26" spans="1:12" x14ac:dyDescent="0.25">
      <c r="A26" s="12" t="s">
        <v>450</v>
      </c>
      <c r="B26" s="12" t="s">
        <v>2384</v>
      </c>
      <c r="C26" s="12" t="s">
        <v>2459</v>
      </c>
      <c r="D26" s="16" t="s">
        <v>2447</v>
      </c>
      <c r="E26" s="12" t="s">
        <v>2460</v>
      </c>
      <c r="F26" s="12" t="s">
        <v>2359</v>
      </c>
      <c r="G26" s="12" t="s">
        <v>2360</v>
      </c>
      <c r="H26" s="17" t="s">
        <v>2359</v>
      </c>
      <c r="I26" t="s">
        <v>2466</v>
      </c>
      <c r="J26" s="2"/>
      <c r="K26" s="2" t="s">
        <v>2361</v>
      </c>
      <c r="L26" s="2"/>
    </row>
  </sheetData>
  <conditionalFormatting sqref="D1:D18">
    <cfRule type="cellIs" dxfId="7" priority="2" operator="equal">
      <formula>"Dimension"</formula>
    </cfRule>
    <cfRule type="cellIs" dxfId="6" priority="3" operator="equal">
      <formula>"Fact"</formula>
    </cfRule>
    <cfRule type="cellIs" dxfId="5" priority="4" operator="equal">
      <formula>"Primary Key"</formula>
    </cfRule>
  </conditionalFormatting>
  <conditionalFormatting sqref="D1:D1048576">
    <cfRule type="cellIs" dxfId="4" priority="5" operator="equal">
      <formula>"Derived"</formula>
    </cfRule>
  </conditionalFormatting>
  <conditionalFormatting sqref="D17">
    <cfRule type="cellIs" dxfId="3" priority="1" operator="equal">
      <formula>"Derived"</formula>
    </cfRule>
  </conditionalFormatting>
  <conditionalFormatting sqref="D27:D1048576">
    <cfRule type="cellIs" dxfId="2" priority="6" operator="equal">
      <formula>"Dimension"</formula>
    </cfRule>
    <cfRule type="cellIs" dxfId="1" priority="7" operator="equal">
      <formula>"Fact"</formula>
    </cfRule>
    <cfRule type="cellIs" dxfId="0" priority="9" operator="equal">
      <formula>"Primary Key"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CF27E-776D-43CC-A62A-23F990E0D1BE}">
  <dimension ref="A1:B7"/>
  <sheetViews>
    <sheetView workbookViewId="0">
      <selection activeCell="H19" sqref="H19"/>
    </sheetView>
  </sheetViews>
  <sheetFormatPr defaultRowHeight="15" x14ac:dyDescent="0.25"/>
  <cols>
    <col min="1" max="1" width="19.140625" bestFit="1" customWidth="1"/>
    <col min="2" max="2" width="44.42578125" bestFit="1" customWidth="1"/>
  </cols>
  <sheetData>
    <row r="1" spans="1:2" x14ac:dyDescent="0.25">
      <c r="A1" s="1" t="s">
        <v>2434</v>
      </c>
      <c r="B1" s="1" t="s">
        <v>2435</v>
      </c>
    </row>
    <row r="2" spans="1:2" x14ac:dyDescent="0.25">
      <c r="A2" s="2" t="s">
        <v>5</v>
      </c>
      <c r="B2" s="2" t="s">
        <v>2436</v>
      </c>
    </row>
    <row r="3" spans="1:2" x14ac:dyDescent="0.25">
      <c r="A3" s="2" t="s">
        <v>2437</v>
      </c>
      <c r="B3" s="2" t="s">
        <v>2438</v>
      </c>
    </row>
    <row r="4" spans="1:2" x14ac:dyDescent="0.25">
      <c r="A4" s="2" t="s">
        <v>2439</v>
      </c>
      <c r="B4" s="2" t="s">
        <v>2440</v>
      </c>
    </row>
    <row r="5" spans="1:2" x14ac:dyDescent="0.25">
      <c r="A5" s="2" t="s">
        <v>2441</v>
      </c>
      <c r="B5" s="2" t="s">
        <v>2442</v>
      </c>
    </row>
    <row r="6" spans="1:2" x14ac:dyDescent="0.25">
      <c r="A6" s="2" t="s">
        <v>2443</v>
      </c>
      <c r="B6" s="2" t="s">
        <v>2444</v>
      </c>
    </row>
    <row r="7" spans="1:2" x14ac:dyDescent="0.25">
      <c r="A7" s="2" t="s">
        <v>2445</v>
      </c>
      <c r="B7" s="2" t="s">
        <v>2446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Rent_Data</vt:lpstr>
      <vt:lpstr>Locality_Reference</vt:lpstr>
      <vt:lpstr>Locality_Tier_Benchmarks</vt:lpstr>
      <vt:lpstr>Income_Benchmarks</vt:lpstr>
      <vt:lpstr>Data_Profile</vt:lpstr>
      <vt:lpstr>Data_Dictionary</vt:lpstr>
      <vt:lpstr>Business_Glossary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Achary</dc:creator>
  <cp:lastModifiedBy>Aishwarya Achary</cp:lastModifiedBy>
  <dcterms:created xsi:type="dcterms:W3CDTF">2026-06-23T14:47:43Z</dcterms:created>
  <dcterms:modified xsi:type="dcterms:W3CDTF">2026-07-08T13:48:53Z</dcterms:modified>
</cp:coreProperties>
</file>